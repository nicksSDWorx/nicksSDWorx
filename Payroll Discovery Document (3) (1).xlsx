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comments3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sd-my.sharepoint.com/personal/nick_schepel_sdworx_com/Documents/Documents/"/>
    </mc:Choice>
  </mc:AlternateContent>
  <xr:revisionPtr revIDLastSave="0" documentId="8_{1C43AD6D-0D25-4940-8019-A23416F0CFA7}" xr6:coauthVersionLast="47" xr6:coauthVersionMax="47" xr10:uidLastSave="{00000000-0000-0000-0000-000000000000}"/>
  <workbookProtection workbookAlgorithmName="SHA-512" workbookHashValue="MoAAknbbIFXnIu32Ad1Gh8O5Jb1sGqZW6ldSxBuDiFBPeSw8NjDmIDSn/qy2XehDCoMhI+pONkdkMt9ExIYD5g==" workbookSaltValue="pPKgN/0aOo6YrW9RouSRPg==" workbookSpinCount="100000" lockStructure="1"/>
  <bookViews>
    <workbookView xWindow="-120" yWindow="-120" windowWidth="29040" windowHeight="15720" tabRatio="792" firstSheet="6" activeTab="15" xr2:uid="{00000000-000D-0000-FFFF-FFFF00000000}"/>
  </bookViews>
  <sheets>
    <sheet name="Explanation" sheetId="1" r:id="rId1"/>
    <sheet name="General Company Info" sheetId="2" r:id="rId2"/>
    <sheet name="Payroll settings" sheetId="24" r:id="rId3"/>
    <sheet name="Payroll tax data" sheetId="25" r:id="rId4"/>
    <sheet name="Accruals" sheetId="4" r:id="rId5"/>
    <sheet name="Accruals (2)" sheetId="20" r:id="rId6"/>
    <sheet name="Accruals (IKB)" sheetId="21" r:id="rId7"/>
    <sheet name="(Pension)Scheme" sheetId="12" r:id="rId8"/>
    <sheet name="(Pension)Scheme (2)" sheetId="13" r:id="rId9"/>
    <sheet name="(WGA_WIA)Scheme (3)" sheetId="14" r:id="rId10"/>
    <sheet name="(Other)Scheme (4)" sheetId="15" r:id="rId11"/>
    <sheet name="GL Legders &amp; Cost centers" sheetId="26" r:id="rId12"/>
    <sheet name="GL file export" sheetId="28" r:id="rId13"/>
    <sheet name="WAZO" sheetId="9" r:id="rId14"/>
    <sheet name="Wage codes" sheetId="7" r:id="rId15"/>
    <sheet name="Approval" sheetId="31" r:id="rId16"/>
    <sheet name="Languages" sheetId="29" state="hidden" r:id="rId17"/>
    <sheet name="Validation values" sheetId="10" state="hidden" r:id="rId18"/>
  </sheets>
  <definedNames>
    <definedName name="_xlnm.Print_Area" localSheetId="15">Approval!$A$1:$F$23</definedName>
    <definedName name="_xlnm.Print_Area" localSheetId="1">'General Company Info'!$A$1:$W$29</definedName>
    <definedName name="_xlnm.Print_Area" localSheetId="12">'GL file export'!$A$1:$W$29</definedName>
    <definedName name="_xlnm.Print_Area" localSheetId="11">'GL Legders &amp; Cost centers'!$A$1:$K$28</definedName>
    <definedName name="_xlnm.Print_Area" localSheetId="2">'Payroll settings'!$A$1:$W$29</definedName>
    <definedName name="_xlnm.Print_Area" localSheetId="3">'Payroll tax data'!$A$1:$W$29</definedName>
    <definedName name="_xlnm.Print_Area" localSheetId="14">'Wage codes'!$A$1:$V$206</definedName>
    <definedName name="_xlnm.Print_Titles" localSheetId="15">Approval!$1:$5</definedName>
    <definedName name="_xlnm.Print_Titles" localSheetId="11">'GL Legders &amp; Cost centers'!$1:$4</definedName>
    <definedName name="_xlnm.Print_Titles" localSheetId="14">'Wage codes'!$A:$C,'Wage codes'!$1:$1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104" i="10" l="1"/>
  <c r="A103" i="10"/>
  <c r="A102" i="10"/>
  <c r="A99" i="10"/>
  <c r="A98" i="10"/>
  <c r="A89" i="10"/>
  <c r="A68" i="29"/>
  <c r="A67" i="29"/>
  <c r="A66" i="29"/>
  <c r="A25" i="1" s="1"/>
  <c r="A65" i="29"/>
  <c r="E13" i="4" s="1"/>
  <c r="A64" i="29"/>
  <c r="G13" i="12" s="1"/>
  <c r="A63" i="29"/>
  <c r="E13" i="12" s="1"/>
  <c r="A62" i="29"/>
  <c r="G4" i="4" s="1"/>
  <c r="A61" i="29"/>
  <c r="E4" i="4" s="1"/>
  <c r="A95" i="10"/>
  <c r="A90" i="10"/>
  <c r="A91" i="10"/>
  <c r="A92" i="10"/>
  <c r="A93" i="10"/>
  <c r="A94" i="10"/>
  <c r="A88" i="10"/>
  <c r="A87" i="10"/>
  <c r="A84" i="10"/>
  <c r="A83" i="10"/>
  <c r="A78" i="10"/>
  <c r="A79" i="10"/>
  <c r="A80" i="10"/>
  <c r="A77" i="10"/>
  <c r="A76" i="10"/>
  <c r="A73" i="10"/>
  <c r="A72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48" i="10"/>
  <c r="A47" i="10"/>
  <c r="A46" i="10"/>
  <c r="A45" i="10"/>
  <c r="A42" i="10"/>
  <c r="A41" i="10"/>
  <c r="A40" i="10"/>
  <c r="A39" i="10"/>
  <c r="A36" i="10"/>
  <c r="A35" i="10"/>
  <c r="A34" i="10"/>
  <c r="A31" i="10"/>
  <c r="A30" i="10"/>
  <c r="A27" i="10"/>
  <c r="A26" i="10"/>
  <c r="A23" i="10"/>
  <c r="A22" i="10"/>
  <c r="A21" i="10"/>
  <c r="A18" i="10"/>
  <c r="A17" i="10"/>
  <c r="A16" i="10"/>
  <c r="A12" i="10"/>
  <c r="A13" i="10"/>
  <c r="A11" i="10"/>
  <c r="A10" i="10"/>
  <c r="A7" i="10"/>
  <c r="A6" i="10"/>
  <c r="A2" i="10"/>
  <c r="A3" i="10"/>
  <c r="A2" i="29"/>
  <c r="A221" i="29"/>
  <c r="A222" i="29"/>
  <c r="A223" i="29"/>
  <c r="A224" i="29"/>
  <c r="A225" i="29"/>
  <c r="A226" i="29"/>
  <c r="A227" i="29"/>
  <c r="A228" i="29"/>
  <c r="A229" i="29"/>
  <c r="A230" i="29"/>
  <c r="A231" i="29"/>
  <c r="A232" i="29"/>
  <c r="A233" i="29"/>
  <c r="A234" i="29"/>
  <c r="A235" i="29"/>
  <c r="A236" i="29"/>
  <c r="A237" i="29"/>
  <c r="A238" i="29"/>
  <c r="A239" i="29"/>
  <c r="A240" i="29"/>
  <c r="A241" i="29"/>
  <c r="A33" i="29"/>
  <c r="A8" i="2" s="1"/>
  <c r="A45" i="29"/>
  <c r="I3" i="2" s="1"/>
  <c r="A196" i="29"/>
  <c r="I17" i="24" s="1"/>
  <c r="A197" i="29"/>
  <c r="I18" i="24" s="1"/>
  <c r="A198" i="29"/>
  <c r="I19" i="24" s="1"/>
  <c r="A199" i="29"/>
  <c r="I20" i="24" s="1"/>
  <c r="A200" i="29"/>
  <c r="I3" i="24" s="1"/>
  <c r="A201" i="29"/>
  <c r="I4" i="24" s="1"/>
  <c r="A202" i="29"/>
  <c r="I5" i="24" s="1"/>
  <c r="A203" i="29"/>
  <c r="A23" i="25" s="1"/>
  <c r="A204" i="29"/>
  <c r="A23" i="21" s="1"/>
  <c r="A205" i="29"/>
  <c r="A1" i="31" s="1"/>
  <c r="A206" i="29"/>
  <c r="A5" i="31" s="1"/>
  <c r="A207" i="29"/>
  <c r="A3" i="31" s="1"/>
  <c r="A208" i="29"/>
  <c r="A13" i="31" s="1"/>
  <c r="A209" i="29"/>
  <c r="A11" i="31" s="1"/>
  <c r="A210" i="29"/>
  <c r="A8" i="31" s="1"/>
  <c r="A211" i="29"/>
  <c r="A9" i="31" s="1"/>
  <c r="A212" i="29"/>
  <c r="A213" i="29"/>
  <c r="A214" i="29"/>
  <c r="A215" i="29"/>
  <c r="A216" i="29"/>
  <c r="A217" i="29"/>
  <c r="A218" i="29"/>
  <c r="A219" i="29"/>
  <c r="A220" i="29"/>
  <c r="A144" i="29"/>
  <c r="P13" i="12" s="1"/>
  <c r="A145" i="29"/>
  <c r="Q13" i="12" s="1"/>
  <c r="A146" i="29"/>
  <c r="A3" i="13" s="1"/>
  <c r="A147" i="29"/>
  <c r="A3" i="14" s="1"/>
  <c r="A148" i="29"/>
  <c r="A3" i="15" s="1"/>
  <c r="A149" i="29"/>
  <c r="A1" i="26" s="1"/>
  <c r="A150" i="29"/>
  <c r="A3" i="26" s="1"/>
  <c r="A151" i="29"/>
  <c r="A4" i="26" s="1"/>
  <c r="A152" i="29"/>
  <c r="B4" i="26" s="1"/>
  <c r="A153" i="29"/>
  <c r="D3" i="26" s="1"/>
  <c r="A154" i="29"/>
  <c r="G3" i="26" s="1"/>
  <c r="A155" i="29"/>
  <c r="J3" i="26" s="1"/>
  <c r="A156" i="29"/>
  <c r="A4" i="28" s="1"/>
  <c r="A157" i="29"/>
  <c r="A3" i="28" s="1"/>
  <c r="A158" i="29"/>
  <c r="A5" i="28" s="1"/>
  <c r="A159" i="29"/>
  <c r="A7" i="28" s="1"/>
  <c r="A160" i="29"/>
  <c r="A8" i="28" s="1"/>
  <c r="A161" i="29"/>
  <c r="A9" i="28" s="1"/>
  <c r="A162" i="29"/>
  <c r="A10" i="28" s="1"/>
  <c r="A163" i="29"/>
  <c r="A13" i="28" s="1"/>
  <c r="A164" i="29"/>
  <c r="A14" i="28" s="1"/>
  <c r="A165" i="29"/>
  <c r="A15" i="28" s="1"/>
  <c r="A166" i="29"/>
  <c r="A16" i="28" s="1"/>
  <c r="A167" i="29"/>
  <c r="A17" i="28" s="1"/>
  <c r="A168" i="29"/>
  <c r="A18" i="28" s="1"/>
  <c r="A169" i="29"/>
  <c r="A19" i="28" s="1"/>
  <c r="A170" i="29"/>
  <c r="A20" i="28" s="1"/>
  <c r="A171" i="29"/>
  <c r="A21" i="28" s="1"/>
  <c r="A172" i="29"/>
  <c r="A22" i="28" s="1"/>
  <c r="A173" i="29"/>
  <c r="A23" i="28" s="1"/>
  <c r="A174" i="29"/>
  <c r="I3" i="28" s="1"/>
  <c r="A175" i="29"/>
  <c r="I4" i="28" s="1"/>
  <c r="A176" i="29"/>
  <c r="I5" i="28" s="1"/>
  <c r="A177" i="29"/>
  <c r="I6" i="28" s="1"/>
  <c r="A178" i="29"/>
  <c r="I7" i="28" s="1"/>
  <c r="A179" i="29"/>
  <c r="A1" i="9" s="1"/>
  <c r="A180" i="29"/>
  <c r="A3" i="9" s="1"/>
  <c r="A181" i="29"/>
  <c r="A4" i="9" s="1"/>
  <c r="A182" i="29"/>
  <c r="A5" i="9" s="1"/>
  <c r="A183" i="29"/>
  <c r="A6" i="9" s="1"/>
  <c r="A184" i="29"/>
  <c r="A7" i="9" s="1"/>
  <c r="A185" i="29"/>
  <c r="A8" i="9" s="1"/>
  <c r="A186" i="29"/>
  <c r="A9" i="9" s="1"/>
  <c r="A187" i="29"/>
  <c r="A10" i="9" s="1"/>
  <c r="A188" i="29"/>
  <c r="A12" i="9" s="1"/>
  <c r="A189" i="29"/>
  <c r="A13" i="9" s="1"/>
  <c r="A190" i="29"/>
  <c r="A14" i="9" s="1"/>
  <c r="A191" i="29"/>
  <c r="B3" i="9" s="1"/>
  <c r="A192" i="29"/>
  <c r="D3" i="9" s="1"/>
  <c r="A193" i="29"/>
  <c r="E8" i="9" s="1"/>
  <c r="A194" i="29"/>
  <c r="A6" i="25" s="1"/>
  <c r="A195" i="29"/>
  <c r="P24" i="24" s="1"/>
  <c r="A140" i="29"/>
  <c r="K12" i="12" s="1"/>
  <c r="A141" i="29"/>
  <c r="K13" i="12" s="1"/>
  <c r="A142" i="29"/>
  <c r="A143" i="29"/>
  <c r="O13" i="15" s="1"/>
  <c r="A128" i="29"/>
  <c r="A12" i="14" s="1"/>
  <c r="A129" i="29"/>
  <c r="A13" i="12" s="1"/>
  <c r="A130" i="29"/>
  <c r="A17" i="15" s="1"/>
  <c r="A131" i="29"/>
  <c r="A16" i="15" s="1"/>
  <c r="A132" i="29"/>
  <c r="A18" i="15" s="1"/>
  <c r="A133" i="29"/>
  <c r="A19" i="15" s="1"/>
  <c r="A134" i="29"/>
  <c r="A21" i="15" s="1"/>
  <c r="A135" i="29"/>
  <c r="A22" i="15" s="1"/>
  <c r="A136" i="29"/>
  <c r="A3" i="25" s="1"/>
  <c r="A137" i="29"/>
  <c r="A26" i="15" s="1"/>
  <c r="A138" i="29"/>
  <c r="K4" i="15" s="1"/>
  <c r="A139" i="29"/>
  <c r="K7" i="12" s="1"/>
  <c r="A56" i="29"/>
  <c r="M14" i="2" s="1"/>
  <c r="A57" i="29"/>
  <c r="O14" i="2" s="1"/>
  <c r="A58" i="29"/>
  <c r="Q14" i="2" s="1"/>
  <c r="A59" i="29"/>
  <c r="S14" i="2" s="1"/>
  <c r="A60" i="29"/>
  <c r="U14" i="2" s="1"/>
  <c r="A69" i="29"/>
  <c r="A1" i="24" s="1"/>
  <c r="A70" i="29"/>
  <c r="A4" i="24" s="1"/>
  <c r="A71" i="29"/>
  <c r="A5" i="24" s="1"/>
  <c r="A72" i="29"/>
  <c r="A7" i="24" s="1"/>
  <c r="A73" i="29"/>
  <c r="A8" i="24" s="1"/>
  <c r="A74" i="29"/>
  <c r="A9" i="24" s="1"/>
  <c r="A75" i="29"/>
  <c r="A10" i="24" s="1"/>
  <c r="A76" i="29"/>
  <c r="A11" i="24" s="1"/>
  <c r="A77" i="29"/>
  <c r="A15" i="24" s="1"/>
  <c r="A78" i="29"/>
  <c r="A16" i="24" s="1"/>
  <c r="A79" i="29"/>
  <c r="A18" i="24" s="1"/>
  <c r="A80" i="29"/>
  <c r="A19" i="24" s="1"/>
  <c r="A81" i="29"/>
  <c r="I10" i="24" s="1"/>
  <c r="A82" i="29"/>
  <c r="I11" i="24" s="1"/>
  <c r="A83" i="29"/>
  <c r="I12" i="24" s="1"/>
  <c r="A84" i="29"/>
  <c r="I14" i="24" s="1"/>
  <c r="A85" i="29"/>
  <c r="I15" i="24" s="1"/>
  <c r="A86" i="29"/>
  <c r="I16" i="24" s="1"/>
  <c r="A87" i="29"/>
  <c r="I22" i="24" s="1"/>
  <c r="A88" i="29"/>
  <c r="I23" i="24" s="1"/>
  <c r="A89" i="29"/>
  <c r="I24" i="24" s="1"/>
  <c r="A90" i="29"/>
  <c r="A1" i="25" s="1"/>
  <c r="A91" i="29"/>
  <c r="A4" i="25" s="1"/>
  <c r="A92" i="29"/>
  <c r="A5" i="25" s="1"/>
  <c r="A93" i="29"/>
  <c r="A10" i="25" s="1"/>
  <c r="A94" i="29"/>
  <c r="A12" i="25" s="1"/>
  <c r="A95" i="29"/>
  <c r="A13" i="25" s="1"/>
  <c r="A96" i="29"/>
  <c r="A97" i="29"/>
  <c r="A16" i="25" s="1"/>
  <c r="A98" i="29"/>
  <c r="A17" i="25" s="1"/>
  <c r="A99" i="29"/>
  <c r="A18" i="25" s="1"/>
  <c r="A100" i="29"/>
  <c r="A19" i="25" s="1"/>
  <c r="A101" i="29"/>
  <c r="A21" i="25" s="1"/>
  <c r="A102" i="29"/>
  <c r="A22" i="25" s="1"/>
  <c r="A103" i="29"/>
  <c r="A1" i="21" s="1"/>
  <c r="A104" i="29"/>
  <c r="A4" i="21" s="1"/>
  <c r="A105" i="29"/>
  <c r="A5" i="21" s="1"/>
  <c r="A106" i="29"/>
  <c r="J6" i="20" s="1"/>
  <c r="A107" i="29"/>
  <c r="J7" i="4" s="1"/>
  <c r="A108" i="29"/>
  <c r="A8" i="21" s="1"/>
  <c r="A109" i="29"/>
  <c r="J10" i="4" s="1"/>
  <c r="A110" i="29"/>
  <c r="J11" i="4" s="1"/>
  <c r="A111" i="29"/>
  <c r="J13" i="4" s="1"/>
  <c r="A112" i="29"/>
  <c r="A14" i="21" s="1"/>
  <c r="A113" i="29"/>
  <c r="A18" i="21" s="1"/>
  <c r="A114" i="29"/>
  <c r="A19" i="21" s="1"/>
  <c r="A115" i="29"/>
  <c r="A21" i="21" s="1"/>
  <c r="A116" i="29"/>
  <c r="J3" i="4" s="1"/>
  <c r="A117" i="29"/>
  <c r="A3" i="20" s="1"/>
  <c r="A118" i="29"/>
  <c r="J3" i="20" s="1"/>
  <c r="A119" i="29"/>
  <c r="A3" i="21" s="1"/>
  <c r="A120" i="29"/>
  <c r="A1" i="15" s="1"/>
  <c r="A121" i="29"/>
  <c r="A3" i="12" s="1"/>
  <c r="A122" i="29"/>
  <c r="A4" i="15" s="1"/>
  <c r="A123" i="29"/>
  <c r="A5" i="15" s="1"/>
  <c r="A124" i="29"/>
  <c r="A6" i="15" s="1"/>
  <c r="A125" i="29"/>
  <c r="A8" i="15" s="1"/>
  <c r="A126" i="29"/>
  <c r="A9" i="15" s="1"/>
  <c r="A127" i="29"/>
  <c r="A10" i="15" s="1"/>
  <c r="A46" i="29"/>
  <c r="I4" i="2" s="1"/>
  <c r="A47" i="29"/>
  <c r="I5" i="2" s="1"/>
  <c r="A48" i="29"/>
  <c r="I6" i="2" s="1"/>
  <c r="A49" i="29"/>
  <c r="I7" i="2" s="1"/>
  <c r="A50" i="29"/>
  <c r="I8" i="2" s="1"/>
  <c r="A51" i="29"/>
  <c r="I10" i="2" s="1"/>
  <c r="A52" i="29"/>
  <c r="I11" i="2" s="1"/>
  <c r="A53" i="29"/>
  <c r="I12" i="2" s="1"/>
  <c r="A54" i="29"/>
  <c r="I13" i="2" s="1"/>
  <c r="A55" i="29"/>
  <c r="I14" i="2" s="1"/>
  <c r="A42" i="29"/>
  <c r="A25" i="2" s="1"/>
  <c r="A43" i="29"/>
  <c r="A44" i="29"/>
  <c r="A27" i="29"/>
  <c r="A1" i="2" s="1"/>
  <c r="A28" i="29"/>
  <c r="A3" i="2" s="1"/>
  <c r="A29" i="29"/>
  <c r="A4" i="2" s="1"/>
  <c r="A30" i="29"/>
  <c r="A5" i="2" s="1"/>
  <c r="A31" i="29"/>
  <c r="A6" i="2" s="1"/>
  <c r="A32" i="29"/>
  <c r="A7" i="2" s="1"/>
  <c r="A34" i="29"/>
  <c r="A8" i="25" s="1"/>
  <c r="A35" i="29"/>
  <c r="A12" i="2" s="1"/>
  <c r="A36" i="29"/>
  <c r="A9" i="25" s="1"/>
  <c r="A37" i="29"/>
  <c r="A14" i="2" s="1"/>
  <c r="A38" i="29"/>
  <c r="A16" i="2" s="1"/>
  <c r="A39" i="29"/>
  <c r="A17" i="2" s="1"/>
  <c r="A40" i="29"/>
  <c r="A18" i="2" s="1"/>
  <c r="A41" i="29"/>
  <c r="A19" i="2" s="1"/>
  <c r="A19" i="29"/>
  <c r="A20" i="1" s="1"/>
  <c r="A20" i="29"/>
  <c r="A21" i="1" s="1"/>
  <c r="A21" i="29"/>
  <c r="A22" i="1" s="1"/>
  <c r="A22" i="29"/>
  <c r="A23" i="1" s="1"/>
  <c r="A23" i="29"/>
  <c r="A24" i="1" s="1"/>
  <c r="A24" i="29"/>
  <c r="A27" i="1" s="1"/>
  <c r="A25" i="29"/>
  <c r="A28" i="1" s="1"/>
  <c r="A26" i="29"/>
  <c r="A29" i="1" s="1"/>
  <c r="A3" i="29"/>
  <c r="A1" i="1" s="1"/>
  <c r="A4" i="29"/>
  <c r="A3" i="1" s="1"/>
  <c r="A5" i="29"/>
  <c r="A4" i="1" s="1"/>
  <c r="A6" i="29"/>
  <c r="A5" i="1" s="1"/>
  <c r="A7" i="29"/>
  <c r="A6" i="1" s="1"/>
  <c r="A8" i="29"/>
  <c r="A8" i="1" s="1"/>
  <c r="A9" i="29"/>
  <c r="A9" i="1" s="1"/>
  <c r="A10" i="29"/>
  <c r="A11" i="1" s="1"/>
  <c r="A11" i="29"/>
  <c r="A12" i="1" s="1"/>
  <c r="A12" i="29"/>
  <c r="A13" i="1" s="1"/>
  <c r="A13" i="29"/>
  <c r="A14" i="1" s="1"/>
  <c r="A14" i="29"/>
  <c r="A15" i="1" s="1"/>
  <c r="A15" i="29"/>
  <c r="A16" i="1" s="1"/>
  <c r="A16" i="29"/>
  <c r="A17" i="1" s="1"/>
  <c r="A17" i="29"/>
  <c r="A18" i="1" s="1"/>
  <c r="A18" i="29"/>
  <c r="A19" i="1" s="1"/>
  <c r="P13" i="15" l="1"/>
  <c r="Q13" i="15"/>
  <c r="A6" i="31"/>
  <c r="P13" i="14"/>
  <c r="Q13" i="14"/>
  <c r="P13" i="13"/>
  <c r="Q13" i="13"/>
  <c r="D4" i="26"/>
  <c r="E4" i="26"/>
  <c r="G4" i="26"/>
  <c r="H4" i="26"/>
  <c r="A23" i="20"/>
  <c r="J23" i="20"/>
  <c r="J4" i="26"/>
  <c r="K4" i="26"/>
  <c r="A21" i="4"/>
  <c r="J21" i="4"/>
  <c r="N4" i="4"/>
  <c r="P4" i="4"/>
  <c r="N13" i="4"/>
  <c r="O6" i="12"/>
  <c r="E13" i="14"/>
  <c r="G13" i="14"/>
  <c r="E9" i="15"/>
  <c r="G9" i="15"/>
  <c r="E13" i="15"/>
  <c r="G13" i="15"/>
  <c r="E9" i="13"/>
  <c r="G9" i="13"/>
  <c r="E13" i="13"/>
  <c r="G13" i="13"/>
  <c r="E9" i="14"/>
  <c r="G9" i="14"/>
  <c r="E4" i="20"/>
  <c r="N4" i="20"/>
  <c r="G4" i="20"/>
  <c r="P4" i="20"/>
  <c r="E4" i="21"/>
  <c r="G4" i="21"/>
  <c r="E9" i="12"/>
  <c r="G9" i="12"/>
  <c r="A16" i="13"/>
  <c r="K12" i="15"/>
  <c r="A13" i="13"/>
  <c r="K6" i="13"/>
  <c r="K12" i="13"/>
  <c r="A13" i="14"/>
  <c r="A16" i="14"/>
  <c r="K6" i="14"/>
  <c r="E9" i="9"/>
  <c r="K12" i="14"/>
  <c r="A16" i="12"/>
  <c r="A12" i="15"/>
  <c r="A26" i="12"/>
  <c r="A14" i="15"/>
  <c r="K6" i="15"/>
  <c r="A1" i="12"/>
  <c r="A17" i="12"/>
  <c r="O13" i="12"/>
  <c r="A14" i="13"/>
  <c r="K7" i="13"/>
  <c r="A14" i="14"/>
  <c r="K7" i="14"/>
  <c r="A13" i="15"/>
  <c r="K7" i="15"/>
  <c r="A4" i="12"/>
  <c r="A19" i="12"/>
  <c r="A17" i="13"/>
  <c r="K13" i="13"/>
  <c r="A17" i="14"/>
  <c r="K13" i="14"/>
  <c r="K13" i="15"/>
  <c r="A25" i="28"/>
  <c r="A18" i="12"/>
  <c r="A5" i="12"/>
  <c r="A21" i="12"/>
  <c r="A1" i="13"/>
  <c r="A18" i="13"/>
  <c r="A1" i="14"/>
  <c r="A18" i="14"/>
  <c r="O13" i="13"/>
  <c r="A25" i="9"/>
  <c r="A6" i="12"/>
  <c r="A22" i="12"/>
  <c r="A4" i="13"/>
  <c r="A19" i="13"/>
  <c r="A4" i="14"/>
  <c r="A19" i="14"/>
  <c r="A1" i="28"/>
  <c r="A8" i="12"/>
  <c r="K4" i="12"/>
  <c r="A5" i="13"/>
  <c r="A21" i="13"/>
  <c r="A5" i="14"/>
  <c r="A21" i="14"/>
  <c r="A9" i="12"/>
  <c r="K6" i="12"/>
  <c r="A6" i="13"/>
  <c r="A22" i="13"/>
  <c r="A6" i="14"/>
  <c r="A22" i="14"/>
  <c r="O13" i="14"/>
  <c r="A10" i="12"/>
  <c r="A8" i="13"/>
  <c r="A8" i="14"/>
  <c r="A25" i="14"/>
  <c r="A12" i="12"/>
  <c r="A9" i="13"/>
  <c r="A25" i="13"/>
  <c r="A9" i="14"/>
  <c r="A26" i="14"/>
  <c r="A25" i="15"/>
  <c r="A10" i="13"/>
  <c r="A26" i="13"/>
  <c r="A10" i="14"/>
  <c r="A14" i="12"/>
  <c r="A25" i="12"/>
  <c r="A12" i="13"/>
  <c r="K4" i="13"/>
  <c r="K4" i="14"/>
  <c r="A8" i="4"/>
  <c r="J8" i="4"/>
  <c r="A8" i="20"/>
  <c r="A11" i="20"/>
  <c r="J8" i="20"/>
  <c r="J11" i="20"/>
  <c r="A3" i="24"/>
  <c r="A14" i="4"/>
  <c r="J14" i="4"/>
  <c r="A6" i="21"/>
  <c r="A16" i="4"/>
  <c r="J16" i="4"/>
  <c r="A10" i="20"/>
  <c r="J10" i="20"/>
  <c r="A7" i="21"/>
  <c r="A1" i="4"/>
  <c r="A19" i="4"/>
  <c r="J19" i="4"/>
  <c r="A13" i="20"/>
  <c r="J13" i="20"/>
  <c r="A10" i="21"/>
  <c r="A3" i="4"/>
  <c r="A25" i="4"/>
  <c r="A14" i="20"/>
  <c r="J14" i="20"/>
  <c r="A11" i="21"/>
  <c r="A17" i="4"/>
  <c r="A4" i="4"/>
  <c r="J4" i="4"/>
  <c r="A1" i="20"/>
  <c r="A19" i="20"/>
  <c r="J18" i="20"/>
  <c r="A13" i="21"/>
  <c r="J17" i="4"/>
  <c r="A5" i="4"/>
  <c r="J5" i="4"/>
  <c r="A18" i="20"/>
  <c r="J19" i="20"/>
  <c r="A6" i="4"/>
  <c r="J6" i="4"/>
  <c r="A21" i="20"/>
  <c r="J21" i="20"/>
  <c r="A4" i="20"/>
  <c r="J4" i="20"/>
  <c r="A25" i="20"/>
  <c r="P23" i="24"/>
  <c r="A10" i="4"/>
  <c r="A5" i="20"/>
  <c r="J5" i="20"/>
  <c r="A11" i="4"/>
  <c r="A6" i="20"/>
  <c r="A25" i="24"/>
  <c r="A13" i="4"/>
  <c r="A7" i="20"/>
  <c r="J7" i="20"/>
  <c r="A25" i="21"/>
  <c r="A7" i="4"/>
  <c r="A25" i="25"/>
  <c r="A11" i="2"/>
  <c r="A10" i="2"/>
  <c r="A13" i="2"/>
  <c r="N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Gharbaran Prem</author>
  </authors>
  <commentList>
    <comment ref="E8" authorId="0" shapeId="0" xr:uid="{C9C5729E-E461-45A4-A9A0-8D70FB0DE56E}">
      <text>
        <r>
          <rPr>
            <sz val="9"/>
            <color indexed="81"/>
            <rFont val="Tahoma"/>
            <family val="2"/>
          </rPr>
          <t>Wage model is created either in Dutch or English. The definitions of the payslip can be set per employee but the wage code descriptions are always in 1 language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tc={413B352A-45EF-4B16-ACE7-7B1FF75242DA}</author>
    <author>Gharbaran Prem</author>
  </authors>
  <commentList>
    <comment ref="E12" authorId="0" shapeId="0" xr:uid="{413B352A-45EF-4B16-ACE7-7B1FF75242DA}">
      <text>
        <t>[Threaded comment]
Your version of Excel allows you to read this threaded comment; however, any edits to it will get removed if the file is opened in a newer version of Excel. Learn more: https://go.microsoft.com/fwlink/?linkid=870924
Comment:
    Geen idee welke sector het is. Waar kunnen we dit terugvinden?</t>
      </text>
    </comment>
    <comment ref="E18" authorId="1" shapeId="0" xr:uid="{CB663B00-9D7E-408F-8CF8-D892590FA584}">
      <text>
        <r>
          <rPr>
            <sz val="9"/>
            <color indexed="81"/>
            <rFont val="Tahoma"/>
            <family val="2"/>
          </rPr>
          <t>up to 50% of the total premium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Gharbaran Prem</author>
  </authors>
  <commentList>
    <comment ref="A1" authorId="0" shapeId="0" xr:uid="{117A740C-D8FD-461E-B26A-B5070A7FB697}">
      <text>
        <r>
          <rPr>
            <sz val="9"/>
            <color indexed="81"/>
            <rFont val="Tahoma"/>
            <family val="2"/>
          </rPr>
          <t>Column A to be completed by SDW</t>
        </r>
      </text>
    </comment>
  </commentList>
</comments>
</file>

<file path=xl/sharedStrings.xml><?xml version="1.0" encoding="utf-8"?>
<sst xmlns="http://schemas.openxmlformats.org/spreadsheetml/2006/main" count="740" uniqueCount="632">
  <si>
    <t>Nederlands</t>
  </si>
  <si>
    <t>Ja</t>
  </si>
  <si>
    <t>Nee</t>
  </si>
  <si>
    <t>IBAN nog niet bekend, kan dit later worden doorgegeven?</t>
  </si>
  <si>
    <t>Explanation tabblad &gt; Regel 13, 16, 17</t>
  </si>
  <si>
    <t xml:space="preserve"> </t>
  </si>
  <si>
    <t>Kalender dagen</t>
  </si>
  <si>
    <t>NVT</t>
  </si>
  <si>
    <t>Maand</t>
  </si>
  <si>
    <t>Op de betaaldatum</t>
  </si>
  <si>
    <t>Volledige kopie admin van DO-IT Organic B.V. qua regelingen en instellingen</t>
  </si>
  <si>
    <t>42 – Groothandel II</t>
  </si>
  <si>
    <t>Klein</t>
  </si>
  <si>
    <t>Whk</t>
  </si>
  <si>
    <t>Juni</t>
  </si>
  <si>
    <t>Mei</t>
  </si>
  <si>
    <t>Historisch loon</t>
  </si>
  <si>
    <t>Enkel vakantiegeld invullen</t>
  </si>
  <si>
    <t xml:space="preserve">Hoeft verder niet gevuld te worden </t>
  </si>
  <si>
    <t>Hoeft niet gevuld te worden</t>
  </si>
  <si>
    <t>Hoeft verder niet gevuld te worden</t>
  </si>
  <si>
    <t>if yes, please specify</t>
  </si>
  <si>
    <t>Graag vullen</t>
  </si>
  <si>
    <t>SDW 
Wage code</t>
  </si>
  <si>
    <t>Existing code</t>
  </si>
  <si>
    <t>Description</t>
  </si>
  <si>
    <t>Fixed</t>
  </si>
  <si>
    <t>Variable</t>
  </si>
  <si>
    <t>Gross</t>
  </si>
  <si>
    <t>Nett
to Gross</t>
  </si>
  <si>
    <t>Fiscal addition</t>
  </si>
  <si>
    <t>Normal
Rate</t>
  </si>
  <si>
    <t>Special
Rate</t>
  </si>
  <si>
    <t>Nett</t>
  </si>
  <si>
    <t>Input</t>
  </si>
  <si>
    <t>Input type</t>
  </si>
  <si>
    <r>
      <t xml:space="preserve">Calculation method
</t>
    </r>
    <r>
      <rPr>
        <sz val="8"/>
        <color theme="0"/>
        <rFont val="Arial"/>
        <family val="2"/>
      </rPr>
      <t>(when input type is hours/number)</t>
    </r>
  </si>
  <si>
    <t>Earning/
Deduction</t>
  </si>
  <si>
    <t>Labor Cost Scheme (WKR)</t>
  </si>
  <si>
    <t>Basis for 
pension</t>
  </si>
  <si>
    <t>Basis for 
holliday allowance</t>
  </si>
  <si>
    <t>Basis for 
13th month</t>
  </si>
  <si>
    <t>Ledger accout
debit</t>
  </si>
  <si>
    <t>Ledger account
credit</t>
  </si>
  <si>
    <t>Remarks</t>
  </si>
  <si>
    <t>Value based on users choice</t>
  </si>
  <si>
    <t>Order</t>
  </si>
  <si>
    <t>Dutch</t>
  </si>
  <si>
    <t>English</t>
  </si>
  <si>
    <t>Voorkeurstaal document:</t>
  </si>
  <si>
    <t>Preferred language:</t>
  </si>
  <si>
    <t>Payroll inventarisatie document</t>
  </si>
  <si>
    <t>Payroll discovery document</t>
  </si>
  <si>
    <t>De gegevens in dit Excel-document zullen worden gebruikt voor de inrichting van het HRM- en salarissysteem (Cobra)</t>
  </si>
  <si>
    <t>The data in this Excel document will be used for the setup of the HRM and Salary system (Cobra)</t>
  </si>
  <si>
    <t>Het is belangrijk dat alle tabbladen worden ingevuld. Als een veld niet van toepassing is, geef dat dan aan met NVT</t>
  </si>
  <si>
    <t>It is important that all tabs are completed and filled in. If a field is not applicable, please indicate with N/A</t>
  </si>
  <si>
    <t>Als het niet helemaal duidelijk is wat er moet worden ingevuld, neem dan contact op met uw contactpersoon binnen SDWorx</t>
  </si>
  <si>
    <t>If it is not entirely clear what must be filled in, please contact your contactperson within SDWorx</t>
  </si>
  <si>
    <t>Onderaan elke pagina is een opmerkingen veld opgenomen voor aanvullende informatie en uitleg</t>
  </si>
  <si>
    <t>A comment box is included at the bottom of each page for additional information and explanation</t>
  </si>
  <si>
    <t>Indien dit document niet volledig is ingevuld kunnen we helaas niet starten met de (payroll) inrichting</t>
  </si>
  <si>
    <t xml:space="preserve">If this document is not completely filled in, we can unfortunately not start with the (payroll) setup </t>
  </si>
  <si>
    <t>omdat aanpassingen in een later stadium complex zijn om door te voeren en onnodige vertragingen veroorzaken</t>
  </si>
  <si>
    <t>because adjustments at a later stage are complex to implement and cause unnecessary delays</t>
  </si>
  <si>
    <t>Opstart documenten</t>
  </si>
  <si>
    <t>Start-up documents</t>
  </si>
  <si>
    <t>Voor de juiste opstart van de payroll hebben wij ook de volgende documenten nodig:</t>
  </si>
  <si>
    <t>For the correct start-up of the payroll, we also need the following documents:</t>
  </si>
  <si>
    <t>Kopie beschikking WHK premie lopend jaar</t>
  </si>
  <si>
    <t>Copy decision WHK premium current year</t>
  </si>
  <si>
    <t>Kopie historisch overzicht vorig jaar</t>
  </si>
  <si>
    <t>Copy of historical overview last year</t>
  </si>
  <si>
    <t>Kopie loonstroken (van de laatste maand, in ieder geval een “standaard” maand)</t>
  </si>
  <si>
    <t>Copy payslips (from the last month, at least a “standard” month)</t>
  </si>
  <si>
    <t>Kopie van de overige output van de laatste reguliere salarisadministratie</t>
  </si>
  <si>
    <t>Copy of the other output from the last regular payroll</t>
  </si>
  <si>
    <t>Kopie pensioenregeling (indien van toepassing)</t>
  </si>
  <si>
    <t>Copy of pension scheme (if applicable)</t>
  </si>
  <si>
    <t>Kopie WIA (excedent)regeling (indien van toepassing) (en/of andere regelingen)</t>
  </si>
  <si>
    <t>Copy Wia (excedent) scheme (if applicable) (and / or other schemes)</t>
  </si>
  <si>
    <t>Kopie van het grootboekschema, laatste journaalpost (rapport en importbestand)</t>
  </si>
  <si>
    <t>Copy of the general ledger schedule, the last journal entry (report and uploadfile)</t>
  </si>
  <si>
    <t>Salarisschalen indien van toepassing</t>
  </si>
  <si>
    <t>Salary scales if applicable</t>
  </si>
  <si>
    <t>Organogram (indien beschikbaar)?</t>
  </si>
  <si>
    <t>Organization chart (if available)?</t>
  </si>
  <si>
    <t>De vijf meest complexe loonstroken</t>
  </si>
  <si>
    <t>The five most complex payslips</t>
  </si>
  <si>
    <t>Indien van toepassing de CAO</t>
  </si>
  <si>
    <t>If applicable the collective labor agreement</t>
  </si>
  <si>
    <t>Indien van toepassing de regeling individueel keuzebudget (IKB).</t>
  </si>
  <si>
    <t>If applicable individual selection budget (IKB) scheme</t>
  </si>
  <si>
    <t>OPMERKING:</t>
  </si>
  <si>
    <t>NOTE:</t>
  </si>
  <si>
    <t>Indien de organisatie uit meerdere BV's (betaalgroepen) bestaat, gelieve dan voor elke BV een inventarisatiedocument in te vullen.</t>
  </si>
  <si>
    <t xml:space="preserve">If the organization consists of several paygroups, please complete a discovery document for each paygroup. </t>
  </si>
  <si>
    <t>Indien de bedrijfsregelingen identiek zijn, dan kunt u dit aangeven bij de opmerkingen.</t>
  </si>
  <si>
    <t>If schemes are identical then you can indicate this in the comments fields</t>
  </si>
  <si>
    <t>Algemene bedrijfsgegevens</t>
  </si>
  <si>
    <t>General Company Info</t>
  </si>
  <si>
    <t>Bedrijf</t>
  </si>
  <si>
    <t>Company</t>
  </si>
  <si>
    <t>Naam</t>
  </si>
  <si>
    <t>Name</t>
  </si>
  <si>
    <t>Adres</t>
  </si>
  <si>
    <t>Address</t>
  </si>
  <si>
    <t>Nummer</t>
  </si>
  <si>
    <t>Number</t>
  </si>
  <si>
    <t>Postcode</t>
  </si>
  <si>
    <t>Postcal code</t>
  </si>
  <si>
    <t>Plaats</t>
  </si>
  <si>
    <t>City</t>
  </si>
  <si>
    <t>Contactpersoon</t>
  </si>
  <si>
    <t>Contact person</t>
  </si>
  <si>
    <t>Afdeling</t>
  </si>
  <si>
    <t>Department</t>
  </si>
  <si>
    <t>Telefoon</t>
  </si>
  <si>
    <t>Telephone number</t>
  </si>
  <si>
    <t>E-mail</t>
  </si>
  <si>
    <t>Bedrijf details</t>
  </si>
  <si>
    <t>Company details</t>
  </si>
  <si>
    <t>Bedrijf is een aparte juridische entiteit</t>
  </si>
  <si>
    <t>Company is a seperate legal entity</t>
  </si>
  <si>
    <t>Bedrijf is een BV onder een juridische entiteit</t>
  </si>
  <si>
    <t>Company is a Ltd under a legal entity</t>
  </si>
  <si>
    <t>zo ja, onder welke</t>
  </si>
  <si>
    <t>if yes, under which?</t>
  </si>
  <si>
    <t>Opmerkingen:</t>
  </si>
  <si>
    <t>Remarks:</t>
  </si>
  <si>
    <t>Indien meerdere contactpersonen van toepassing zijn graag invullen op tabblad "Contacts"  (bijvoorbeeld HRM, Salaris en Taks &amp; Legal)</t>
  </si>
  <si>
    <t xml:space="preserve">If multible contacts apply please fill in the seperate sheet for contacts (e.g. HRM, Payroll and Taks &amp; Legal) </t>
  </si>
  <si>
    <t>Indien er een afwijkend postadres is, graag hier opgeven</t>
  </si>
  <si>
    <t>If a postal address also applies, please indicate here</t>
  </si>
  <si>
    <t>Bank gegevens</t>
  </si>
  <si>
    <t>Bank details</t>
  </si>
  <si>
    <t>SEPA betaalbestand t.b.v. nettolonen</t>
  </si>
  <si>
    <t>SEPA Payment file for net wages</t>
  </si>
  <si>
    <t>IBAN-rekeningnummer</t>
  </si>
  <si>
    <t>IBAN-account no.</t>
  </si>
  <si>
    <t>Naam bank</t>
  </si>
  <si>
    <t>Name bank</t>
  </si>
  <si>
    <t>BIC code</t>
  </si>
  <si>
    <t>Alleen als de bank niet in de IBAN zone zit</t>
  </si>
  <si>
    <t>Only if bankaccount is not within IBAN region</t>
  </si>
  <si>
    <t>Bedrijfsinstellingen</t>
  </si>
  <si>
    <t>Company settings</t>
  </si>
  <si>
    <t>Collectieve arbeidsovk (CAO)</t>
  </si>
  <si>
    <t>Collective labour agreement</t>
  </si>
  <si>
    <t>Uren per jaar</t>
  </si>
  <si>
    <t>Operating hours per year</t>
  </si>
  <si>
    <t>Uren per week</t>
  </si>
  <si>
    <t>Hours per week</t>
  </si>
  <si>
    <t>Uren per dag</t>
  </si>
  <si>
    <t>Hours per day</t>
  </si>
  <si>
    <t>ma:</t>
  </si>
  <si>
    <t>Mo:</t>
  </si>
  <si>
    <t>di:</t>
  </si>
  <si>
    <t>Tu:</t>
  </si>
  <si>
    <t>wo:</t>
  </si>
  <si>
    <t>We:</t>
  </si>
  <si>
    <t>do:</t>
  </si>
  <si>
    <t>Th:</t>
  </si>
  <si>
    <t>vr:</t>
  </si>
  <si>
    <t>Fr:</t>
  </si>
  <si>
    <t>van:</t>
  </si>
  <si>
    <t>from:</t>
  </si>
  <si>
    <t>tot:</t>
  </si>
  <si>
    <t>to:</t>
  </si>
  <si>
    <t>Jaren:</t>
  </si>
  <si>
    <t>Years:</t>
  </si>
  <si>
    <t>Maanden:</t>
  </si>
  <si>
    <t>Month:</t>
  </si>
  <si>
    <t>Graag opgeven op tabblad "Wage codes"</t>
  </si>
  <si>
    <t>Please specify in sheet "Wage codes"</t>
  </si>
  <si>
    <t>Overzicht van de functiecodes en omschrijvingen (lang en kort)</t>
  </si>
  <si>
    <t>Overview of functioncodes and jobtitles (long and short)</t>
  </si>
  <si>
    <t>Indien er afwijkende bedrijfsuren per week van toepassing kunnen zijn, gelieve deze hier te specificeren</t>
  </si>
  <si>
    <t>If deviating operating hours per week may apply, please indicate them here</t>
  </si>
  <si>
    <t>SEPA betaalbestand (locatie) overdracht &gt;SFTP?</t>
  </si>
  <si>
    <t>SEPA payment file transfer &gt;SFTP?</t>
  </si>
  <si>
    <t>Salaris instellingen</t>
  </si>
  <si>
    <t>Payroll settings</t>
  </si>
  <si>
    <t>Prorata berekening gebasseerd op</t>
  </si>
  <si>
    <t>Proration calculation based on</t>
  </si>
  <si>
    <t>Salaris periode</t>
  </si>
  <si>
    <t>Wage period</t>
  </si>
  <si>
    <t>Salarisstrook</t>
  </si>
  <si>
    <t>Payslip</t>
  </si>
  <si>
    <t>Voorkeurstaal</t>
  </si>
  <si>
    <t>Preferred language</t>
  </si>
  <si>
    <t>Logo op salarisstrook</t>
  </si>
  <si>
    <t>Logo on payslip</t>
  </si>
  <si>
    <t>Extra cumulatieven op salarisstrook</t>
  </si>
  <si>
    <t>Extra cumulative info on the payslip</t>
  </si>
  <si>
    <t>indien ja, welke</t>
  </si>
  <si>
    <t>if yes, which info</t>
  </si>
  <si>
    <t>Salarisstrook zichtbaar voor mdw</t>
  </si>
  <si>
    <t>Payslip visible for employee</t>
  </si>
  <si>
    <t># dagen na de betaaldatum</t>
  </si>
  <si>
    <t># of day after credit date</t>
  </si>
  <si>
    <t>Kostenplaats</t>
  </si>
  <si>
    <t>Cost Center</t>
  </si>
  <si>
    <t>Is afdelingscode gelijk aan kostenplaatscode?</t>
  </si>
  <si>
    <t>Is department code equal to cost center code?</t>
  </si>
  <si>
    <t>30% regeling</t>
  </si>
  <si>
    <t>30% ruling</t>
  </si>
  <si>
    <t>30% regeling van toepassing</t>
  </si>
  <si>
    <t>30% ruling applicable</t>
  </si>
  <si>
    <t>Aflaging in de berekening</t>
  </si>
  <si>
    <t>Reduction in the salary calc.</t>
  </si>
  <si>
    <t>Overige medewerker typen</t>
  </si>
  <si>
    <t>Other employee types</t>
  </si>
  <si>
    <t>Stagiaire</t>
  </si>
  <si>
    <t>Trainee</t>
  </si>
  <si>
    <t>Oproepkracht</t>
  </si>
  <si>
    <t>On-call employee</t>
  </si>
  <si>
    <t>Periodiek uitbetalen van reserveringen voor oproepkrachten</t>
  </si>
  <si>
    <t>Periodic payouts of accruals for on-call workers</t>
  </si>
  <si>
    <t>Vakantiegeld</t>
  </si>
  <si>
    <t>Holiday allowance</t>
  </si>
  <si>
    <t>Vakantiedagen</t>
  </si>
  <si>
    <t>Holiday hours</t>
  </si>
  <si>
    <t>Loonbelasting gegevens</t>
  </si>
  <si>
    <t>Payroll tax data</t>
  </si>
  <si>
    <t>Loonheffingsnummer</t>
  </si>
  <si>
    <t>Payroll tax number</t>
  </si>
  <si>
    <t>Bedrijfsnaam</t>
  </si>
  <si>
    <t>Company name</t>
  </si>
  <si>
    <t>E-mail adres</t>
  </si>
  <si>
    <t>Sector</t>
  </si>
  <si>
    <t>Indeling werkgever</t>
  </si>
  <si>
    <t>Classification employer</t>
  </si>
  <si>
    <t>Eigen risicodrager</t>
  </si>
  <si>
    <t>Self-insurer</t>
  </si>
  <si>
    <t>WGA premie (totaal)</t>
  </si>
  <si>
    <t>WGA contribution (total)</t>
  </si>
  <si>
    <t>Verhaal op de werknemer</t>
  </si>
  <si>
    <t>Employee WGA contribution</t>
  </si>
  <si>
    <t>ZW premie</t>
  </si>
  <si>
    <t>ZW contribution</t>
  </si>
  <si>
    <t>Overige info</t>
  </si>
  <si>
    <t>Other info</t>
  </si>
  <si>
    <t>CBS CAO code</t>
  </si>
  <si>
    <t>Central Bureau for Statistics CBA code</t>
  </si>
  <si>
    <t>Reserveringen</t>
  </si>
  <si>
    <t>Accruals</t>
  </si>
  <si>
    <t>Referentie jaar</t>
  </si>
  <si>
    <t>Reference period/month</t>
  </si>
  <si>
    <t>Uitbetalingspercentage</t>
  </si>
  <si>
    <t>Payout percentage</t>
  </si>
  <si>
    <t>Periodiek reserveren</t>
  </si>
  <si>
    <t>Periodic accrual</t>
  </si>
  <si>
    <t>Sociale lasten reserveren</t>
  </si>
  <si>
    <t>Extra accual for social security contr.</t>
  </si>
  <si>
    <t>zo ja, welk pecentage?</t>
  </si>
  <si>
    <t>if yes, what percentage?</t>
  </si>
  <si>
    <t>Betaling gebasseerd op</t>
  </si>
  <si>
    <t>Payment based on</t>
  </si>
  <si>
    <t>Indien peilmaand, wat is de peilmaand?</t>
  </si>
  <si>
    <t>if referral method, base period/month?</t>
  </si>
  <si>
    <t>Welke looncodes tellen in de</t>
  </si>
  <si>
    <t xml:space="preserve">Wage codes that counts towards </t>
  </si>
  <si>
    <t>grondslag</t>
  </si>
  <si>
    <t>accrual</t>
  </si>
  <si>
    <t>Uitbetaling in periode/maand</t>
  </si>
  <si>
    <t>Payment in period/month</t>
  </si>
  <si>
    <t>Uitbetaling in aparte run</t>
  </si>
  <si>
    <t>Payment in seperate run</t>
  </si>
  <si>
    <t>Minimum per periode/maand</t>
  </si>
  <si>
    <t>Minimum per period/month</t>
  </si>
  <si>
    <t>13e maand</t>
  </si>
  <si>
    <t>13th month</t>
  </si>
  <si>
    <t>Reservering 3</t>
  </si>
  <si>
    <t>Position 3</t>
  </si>
  <si>
    <t>Reservering 4</t>
  </si>
  <si>
    <t>Position 4</t>
  </si>
  <si>
    <t>Individueel keuze budget</t>
  </si>
  <si>
    <t>Individual selection budget</t>
  </si>
  <si>
    <t>Regelingen</t>
  </si>
  <si>
    <t>Schemes</t>
  </si>
  <si>
    <t>Pensioen regeling</t>
  </si>
  <si>
    <t>Pension scheme</t>
  </si>
  <si>
    <t>Aangesloten bij bedrijfspensioenfonds</t>
  </si>
  <si>
    <t>Member of company pension fund (BPF)</t>
  </si>
  <si>
    <t>zo ja, welke?</t>
  </si>
  <si>
    <t>if yes, which one?</t>
  </si>
  <si>
    <t>Berekeningsmethode conform BPF?</t>
  </si>
  <si>
    <t>Calculation method identical to BPF</t>
  </si>
  <si>
    <t>Start leeftijdsbepaling</t>
  </si>
  <si>
    <t>Start of age determination</t>
  </si>
  <si>
    <t>Minimum leeftijd</t>
  </si>
  <si>
    <t>Minimum age</t>
  </si>
  <si>
    <t>Begin of eind periode</t>
  </si>
  <si>
    <t>At the beginning or end of the period</t>
  </si>
  <si>
    <t>Einde leeftijdsbepaling</t>
  </si>
  <si>
    <t>End of age determination</t>
  </si>
  <si>
    <t>Maximum leeftijd</t>
  </si>
  <si>
    <t>Maximum age</t>
  </si>
  <si>
    <t>Werkgevers %</t>
  </si>
  <si>
    <t>Employee contribution rate</t>
  </si>
  <si>
    <t>Werknemers %</t>
  </si>
  <si>
    <t>Employer's premium rate</t>
  </si>
  <si>
    <t>Franchise</t>
  </si>
  <si>
    <t>Threshold</t>
  </si>
  <si>
    <t>Maximum jaarbedrag</t>
  </si>
  <si>
    <t>Maximum yearly wage</t>
  </si>
  <si>
    <t>Vermenigvuldigingsfactor</t>
  </si>
  <si>
    <t>Muliplier</t>
  </si>
  <si>
    <t>Deelfactor</t>
  </si>
  <si>
    <t>Denominator</t>
  </si>
  <si>
    <t>Loonbelasting</t>
  </si>
  <si>
    <t>Als UPA aangifte van toepassing is, geef hier dan de account informatie op. Zoals gebruikersinfo, wachtwoord en productcodes.</t>
  </si>
  <si>
    <t>If UPA declaration is applicable please share acocunt info here. Such as username, password and product identifier</t>
  </si>
  <si>
    <t>Basis periode</t>
  </si>
  <si>
    <t>Base period salary</t>
  </si>
  <si>
    <t>(pensioen)grondslag</t>
  </si>
  <si>
    <t>pension(base)</t>
  </si>
  <si>
    <t>Is er een leeftijdsstaffel van toepassing?</t>
  </si>
  <si>
    <t>Is the premium rate age dependent?</t>
  </si>
  <si>
    <t>zo ja, graag specificeren</t>
  </si>
  <si>
    <t>Leeftijd</t>
  </si>
  <si>
    <t>Age</t>
  </si>
  <si>
    <t>% Wkn</t>
  </si>
  <si>
    <t>% EE</t>
  </si>
  <si>
    <t>% Wkg</t>
  </si>
  <si>
    <t>% ER</t>
  </si>
  <si>
    <t>Pensioen excedent regeling</t>
  </si>
  <si>
    <t>Pension excedent scheme</t>
  </si>
  <si>
    <t>WGA - WIA regeling</t>
  </si>
  <si>
    <t>WGA - WIA scheme</t>
  </si>
  <si>
    <t>Overige regelingen</t>
  </si>
  <si>
    <t>Other scheme</t>
  </si>
  <si>
    <t>Grootboekrekeningen en kostenplaatsen</t>
  </si>
  <si>
    <t>GL Ledgers &amp; Cost centers</t>
  </si>
  <si>
    <t>Grootboekrekening</t>
  </si>
  <si>
    <t>GL Ledgers</t>
  </si>
  <si>
    <t>Code</t>
  </si>
  <si>
    <t>Omschrijving</t>
  </si>
  <si>
    <t>Discription</t>
  </si>
  <si>
    <t>Cost Centers</t>
  </si>
  <si>
    <t>Kostendrager</t>
  </si>
  <si>
    <t>Cost carrier</t>
  </si>
  <si>
    <t>Kostensoort</t>
  </si>
  <si>
    <t>Cost type</t>
  </si>
  <si>
    <t>Journaalpost export</t>
  </si>
  <si>
    <t>GL file export</t>
  </si>
  <si>
    <t>Journaalpost</t>
  </si>
  <si>
    <t>General ledger</t>
  </si>
  <si>
    <t>Voor welk financieel systeem</t>
  </si>
  <si>
    <t>For which financial software system</t>
  </si>
  <si>
    <t>Formaat</t>
  </si>
  <si>
    <t>Format</t>
  </si>
  <si>
    <t>Bestandstype</t>
  </si>
  <si>
    <t>File type</t>
  </si>
  <si>
    <t>Als anders, welk type?</t>
  </si>
  <si>
    <t>If other, what is the the file type</t>
  </si>
  <si>
    <t>Kopregel</t>
  </si>
  <si>
    <t>Header line</t>
  </si>
  <si>
    <t>Detail regels</t>
  </si>
  <si>
    <t>Detail lines</t>
  </si>
  <si>
    <t>Kolom 01</t>
  </si>
  <si>
    <t>Column 01</t>
  </si>
  <si>
    <t>Kolom 02</t>
  </si>
  <si>
    <t>Column 02</t>
  </si>
  <si>
    <t>Kolom 03</t>
  </si>
  <si>
    <t>Column 03</t>
  </si>
  <si>
    <t>Kolom 04</t>
  </si>
  <si>
    <t>Column 04</t>
  </si>
  <si>
    <t>Kolom 05</t>
  </si>
  <si>
    <t>Column 05</t>
  </si>
  <si>
    <t>Kolom 06</t>
  </si>
  <si>
    <t>Column 06</t>
  </si>
  <si>
    <t>Kolom 07</t>
  </si>
  <si>
    <t>Column 07</t>
  </si>
  <si>
    <t>Kolom 08</t>
  </si>
  <si>
    <t>Column 08</t>
  </si>
  <si>
    <t>Kolom 09</t>
  </si>
  <si>
    <t>Column 09</t>
  </si>
  <si>
    <t>Kolom 10</t>
  </si>
  <si>
    <t>Column 10</t>
  </si>
  <si>
    <t>Overige instellingen</t>
  </si>
  <si>
    <t>Other settings</t>
  </si>
  <si>
    <t>Afwijkende rekeningschema per kpl</t>
  </si>
  <si>
    <t>Deviating GL schedule per cost centre</t>
  </si>
  <si>
    <t>Consolideren op kostenplaats</t>
  </si>
  <si>
    <t>Consolidate GL entries by cost center</t>
  </si>
  <si>
    <t>Consolideren op GB-rekening</t>
  </si>
  <si>
    <t>Consolidate GL entries by GL account</t>
  </si>
  <si>
    <t>zo ja, specificeer</t>
  </si>
  <si>
    <t>If yes, please specifiy GL accounts</t>
  </si>
  <si>
    <t>Wettelijke verlofregelingen</t>
  </si>
  <si>
    <t>Statutory leave arrangements</t>
  </si>
  <si>
    <t>Soort verlof</t>
  </si>
  <si>
    <t>Type of absence</t>
  </si>
  <si>
    <t>Onbetaald verlof</t>
  </si>
  <si>
    <t>Unpaid leave</t>
  </si>
  <si>
    <t>Kortdurend zorgverlof</t>
  </si>
  <si>
    <t>Short-term care leave</t>
  </si>
  <si>
    <t>Langdurig zorgverlof</t>
  </si>
  <si>
    <t>Long-term care leave</t>
  </si>
  <si>
    <t>Geboorteverlof (1 week)</t>
  </si>
  <si>
    <t>Partner leave (1 week)</t>
  </si>
  <si>
    <t>Aanvullende geboorteverlof (5 weken)</t>
  </si>
  <si>
    <t>Additional partner leave (5 weeks)</t>
  </si>
  <si>
    <t>Betaald ouderschapsverlof</t>
  </si>
  <si>
    <t>Paid parental leave</t>
  </si>
  <si>
    <t>Onbetaald ouderschapsverlof</t>
  </si>
  <si>
    <t>Unpaid parental leave</t>
  </si>
  <si>
    <t>Generatiepact</t>
  </si>
  <si>
    <t>Is er een generatiepact regeling?</t>
  </si>
  <si>
    <t>Is there a "Generatierpact" scheme applicable?</t>
  </si>
  <si>
    <t>zo ja, wat zijn de percenages?</t>
  </si>
  <si>
    <t>if yes, what is the ratio?</t>
  </si>
  <si>
    <t>Pensioen naar rato</t>
  </si>
  <si>
    <t>Pro rata pension</t>
  </si>
  <si>
    <t>Vakakantiegeld naar rato</t>
  </si>
  <si>
    <t>Pro rata holiday allowance</t>
  </si>
  <si>
    <t>aanvullen tot</t>
  </si>
  <si>
    <t>supplement to</t>
  </si>
  <si>
    <t>Loontijdvak</t>
  </si>
  <si>
    <t>welk %</t>
  </si>
  <si>
    <t>which %</t>
  </si>
  <si>
    <t>Split payroll</t>
  </si>
  <si>
    <t>Expats</t>
  </si>
  <si>
    <t>Uitkeringsgerechtigen</t>
  </si>
  <si>
    <t>Beneficary</t>
  </si>
  <si>
    <t>Gepensioneerde</t>
  </si>
  <si>
    <t>Retired</t>
  </si>
  <si>
    <t>Uurloonberekening</t>
  </si>
  <si>
    <t>Calculation hourly rate</t>
  </si>
  <si>
    <t xml:space="preserve">Looncodes die meetellen </t>
  </si>
  <si>
    <t>Wage codes that are part of the</t>
  </si>
  <si>
    <t>voor de uurloonberekening</t>
  </si>
  <si>
    <t>hourly rate calculation</t>
  </si>
  <si>
    <t>WBSO subsidie</t>
  </si>
  <si>
    <t>R&amp;D subsidy</t>
  </si>
  <si>
    <t>Uitbetalen in periode/maand uitdienst</t>
  </si>
  <si>
    <t>Payout in periode/month of termination</t>
  </si>
  <si>
    <t>Goedkeuring setup en schaduwverwerking</t>
  </si>
  <si>
    <t>Approval setup and parallelrun</t>
  </si>
  <si>
    <t>Klant</t>
  </si>
  <si>
    <t>Cliënt</t>
  </si>
  <si>
    <t>Hierbij verklaart ondergetekende dat de inrichting van Cobra conform opgave in dit inventarisatie document is uitgevoerd.</t>
  </si>
  <si>
    <t>The undersigned hereby declares that the setup of Cobra has been done in accordance with the specifications in this discovery document</t>
  </si>
  <si>
    <t>Handtekening:</t>
  </si>
  <si>
    <t>Signature:</t>
  </si>
  <si>
    <t>Datum:</t>
  </si>
  <si>
    <t>Date:</t>
  </si>
  <si>
    <t>Akkoord met de Cobra setup:</t>
  </si>
  <si>
    <t>Accord with the Cobra setup:</t>
  </si>
  <si>
    <t>Akkoord met de schaduwverwerking(en):</t>
  </si>
  <si>
    <t>Accord with the parallelrun(s):</t>
  </si>
  <si>
    <t>1  – Agrarisch bedrijf</t>
  </si>
  <si>
    <t>2 – Tabakverwerkende industrie</t>
  </si>
  <si>
    <t>3 – Bouwbedrijf</t>
  </si>
  <si>
    <t>4 – Baggerbedrijf</t>
  </si>
  <si>
    <t>Yes/No</t>
  </si>
  <si>
    <t>5 – Hout en emballage- industrie</t>
  </si>
  <si>
    <t>Yes</t>
  </si>
  <si>
    <t>6 – Timmerindustrie</t>
  </si>
  <si>
    <t>No</t>
  </si>
  <si>
    <t>7 – Meubel- en orgelbouw industrie</t>
  </si>
  <si>
    <t>8 – Groothandel hout, zagerijen, schaverijen en houtbereidingsindustrie</t>
  </si>
  <si>
    <t>9 – Grafische industrie</t>
  </si>
  <si>
    <t>Ja, met verplichting te komen</t>
  </si>
  <si>
    <t>Yes, obliged to come</t>
  </si>
  <si>
    <t>10 – Metaal industrie</t>
  </si>
  <si>
    <t>Ja, zonder verplichting te komen</t>
  </si>
  <si>
    <t>Yes, not obliged to come</t>
  </si>
  <si>
    <t>11 – Elektronische industrie</t>
  </si>
  <si>
    <t>Ja, beide</t>
  </si>
  <si>
    <t>Yes, both</t>
  </si>
  <si>
    <t>12 – Metaal – en technische bedrijfstakken</t>
  </si>
  <si>
    <t>13 – Bakkerijen</t>
  </si>
  <si>
    <t>14 – Suikerverwerkende industrie</t>
  </si>
  <si>
    <t>15 – Slagersbedrijven</t>
  </si>
  <si>
    <t>Rooster dagen</t>
  </si>
  <si>
    <t>Work schedule days</t>
  </si>
  <si>
    <t>16 – Slagers overig</t>
  </si>
  <si>
    <t>Gemiddelde dagen</t>
  </si>
  <si>
    <t>Average days</t>
  </si>
  <si>
    <t>17 – Detailhandel en ambachten</t>
  </si>
  <si>
    <t>Calender days</t>
  </si>
  <si>
    <t>18 – Reiniging</t>
  </si>
  <si>
    <t>19 – Grootwinkelbedrijf</t>
  </si>
  <si>
    <t>20 – Havenbedrijven</t>
  </si>
  <si>
    <t>Week</t>
  </si>
  <si>
    <t>21 – Havenclassificeerders</t>
  </si>
  <si>
    <t>4 weken</t>
  </si>
  <si>
    <t>4 weeks</t>
  </si>
  <si>
    <t>22 – Binnenscheepvaart</t>
  </si>
  <si>
    <t>Month</t>
  </si>
  <si>
    <t>23 – Visserij</t>
  </si>
  <si>
    <t>24 – Koopvaardij</t>
  </si>
  <si>
    <t>Preferred language 2</t>
  </si>
  <si>
    <t>25 – Vervoer KLM</t>
  </si>
  <si>
    <t>26 – Vervoer NS</t>
  </si>
  <si>
    <t>Engels</t>
  </si>
  <si>
    <t>27 – Vervoer posterijen</t>
  </si>
  <si>
    <t>28 – Taxivervoer</t>
  </si>
  <si>
    <t>29 – Openbaar vervoer</t>
  </si>
  <si>
    <t>On credit date</t>
  </si>
  <si>
    <t>30 – Besloten busvervoer</t>
  </si>
  <si>
    <t># days after credit date</t>
  </si>
  <si>
    <t>31 – Overig personenvervoer te land en in de lucht</t>
  </si>
  <si>
    <t>32 – Overig goederenvervoer te land en in de lucht</t>
  </si>
  <si>
    <t>33 – Horeca algemeen</t>
  </si>
  <si>
    <t>Small</t>
  </si>
  <si>
    <t>34 – Horeca catering</t>
  </si>
  <si>
    <t>Middel</t>
  </si>
  <si>
    <t>Medium</t>
  </si>
  <si>
    <t>35 – Gezondheid, geestelijke en maatschappelijke belangen</t>
  </si>
  <si>
    <t>Groot</t>
  </si>
  <si>
    <t>Large</t>
  </si>
  <si>
    <t>38 – Banken</t>
  </si>
  <si>
    <t>39 – Verzekeringswezen en ziekenfondsen</t>
  </si>
  <si>
    <t>Own risk policy</t>
  </si>
  <si>
    <t>40 – Uitgeverij</t>
  </si>
  <si>
    <t>41 – Groothandel I</t>
  </si>
  <si>
    <t>WGA</t>
  </si>
  <si>
    <t>ZW</t>
  </si>
  <si>
    <t>43 – Zakelijke dienstverlening I</t>
  </si>
  <si>
    <t>WGA/ZW</t>
  </si>
  <si>
    <t>44 – Zakelijke dienstverlening II</t>
  </si>
  <si>
    <t>45 – Zakelijke dienstverlening III</t>
  </si>
  <si>
    <t>Period/Month</t>
  </si>
  <si>
    <t>46 – Zuivelindustrie</t>
  </si>
  <si>
    <t>Januari</t>
  </si>
  <si>
    <t>January</t>
  </si>
  <si>
    <t>47 – Textielindustrie</t>
  </si>
  <si>
    <t>Februari</t>
  </si>
  <si>
    <t>February</t>
  </si>
  <si>
    <t>48 – Steen-, cement-, glas- en keramische industrie</t>
  </si>
  <si>
    <t>Maart</t>
  </si>
  <si>
    <t>March</t>
  </si>
  <si>
    <t>49 – Chemische industrie</t>
  </si>
  <si>
    <t>April</t>
  </si>
  <si>
    <t>50 – Voedingsindustrie</t>
  </si>
  <si>
    <t>May</t>
  </si>
  <si>
    <t>51 – Algemene industrie</t>
  </si>
  <si>
    <t>June</t>
  </si>
  <si>
    <t>52 – Uitzendbedrijven</t>
  </si>
  <si>
    <t>Juli</t>
  </si>
  <si>
    <t>July</t>
  </si>
  <si>
    <t>53 – Bewakingsondernemingen</t>
  </si>
  <si>
    <t>Augustus</t>
  </si>
  <si>
    <t>August</t>
  </si>
  <si>
    <t>54 – Culturele instellingen</t>
  </si>
  <si>
    <t>September</t>
  </si>
  <si>
    <t>55 – Overige takken van bedrijf en beroep</t>
  </si>
  <si>
    <t>Oktober</t>
  </si>
  <si>
    <t>October</t>
  </si>
  <si>
    <t>56 – Schildersbedrijf</t>
  </si>
  <si>
    <t>November</t>
  </si>
  <si>
    <t>57 – Stukadoorsbedrijf</t>
  </si>
  <si>
    <t>December</t>
  </si>
  <si>
    <t>58 – Dakdekkersbedrijf</t>
  </si>
  <si>
    <t>Periode 1</t>
  </si>
  <si>
    <t>Period 1</t>
  </si>
  <si>
    <t>59 – Mortelbedrijf</t>
  </si>
  <si>
    <t>Periode 2</t>
  </si>
  <si>
    <t>Period 2</t>
  </si>
  <si>
    <t>60 – Steenhouwersbedrijf</t>
  </si>
  <si>
    <t>Periode 3</t>
  </si>
  <si>
    <t>Period 3</t>
  </si>
  <si>
    <t>61 – Overheid, onderwijs en wetenschapppen</t>
  </si>
  <si>
    <t>Periode 4</t>
  </si>
  <si>
    <t>Period 4</t>
  </si>
  <si>
    <t>62 – Overheid, rijk, politie en rechterlijke macht</t>
  </si>
  <si>
    <t>Periode 5</t>
  </si>
  <si>
    <t>Period 5</t>
  </si>
  <si>
    <t>63 – Overheid, defensie</t>
  </si>
  <si>
    <t>Periode 6</t>
  </si>
  <si>
    <t>Period 6</t>
  </si>
  <si>
    <t>64 – Overheid, provincies, gemeenten en waterschappen</t>
  </si>
  <si>
    <t>Periode 7</t>
  </si>
  <si>
    <t>Period 7</t>
  </si>
  <si>
    <t>65 – Overheid, openbare nutsbedrijven</t>
  </si>
  <si>
    <t>Periode 8</t>
  </si>
  <si>
    <t>Period 8</t>
  </si>
  <si>
    <t>66 – Overheid, overige instellingen</t>
  </si>
  <si>
    <t>Periode 9</t>
  </si>
  <si>
    <t>Period 9</t>
  </si>
  <si>
    <t>67 – Werk en (re)integratie</t>
  </si>
  <si>
    <t>Periode 10</t>
  </si>
  <si>
    <t>Period 10</t>
  </si>
  <si>
    <t>68 – Railbouw</t>
  </si>
  <si>
    <t>Periode 11</t>
  </si>
  <si>
    <t>Period 11</t>
  </si>
  <si>
    <t>69 – Telecommunicatie</t>
  </si>
  <si>
    <t>Periode 12</t>
  </si>
  <si>
    <t>Period 12</t>
  </si>
  <si>
    <t>Periode 13</t>
  </si>
  <si>
    <t>Period 13</t>
  </si>
  <si>
    <t>Begin periode</t>
  </si>
  <si>
    <t>Begin period</t>
  </si>
  <si>
    <t>Einde periode</t>
  </si>
  <si>
    <t>End period</t>
  </si>
  <si>
    <t>XML</t>
  </si>
  <si>
    <t>Excel</t>
  </si>
  <si>
    <t>CSV</t>
  </si>
  <si>
    <t>TXT</t>
  </si>
  <si>
    <t>Anders</t>
  </si>
  <si>
    <t>Other</t>
  </si>
  <si>
    <t>Historical wage</t>
  </si>
  <si>
    <t>Peilperiode</t>
  </si>
  <si>
    <t>Referral method</t>
  </si>
  <si>
    <t>Age determination</t>
  </si>
  <si>
    <t>In de periode</t>
  </si>
  <si>
    <t>In the pay period</t>
  </si>
  <si>
    <t>In de maand</t>
  </si>
  <si>
    <t>At month</t>
  </si>
  <si>
    <t>Per 1 Januari</t>
  </si>
  <si>
    <t>As at 1 Janaury</t>
  </si>
  <si>
    <t>Per 31 December</t>
  </si>
  <si>
    <t>As at 31 December</t>
  </si>
  <si>
    <t>Geboren voor</t>
  </si>
  <si>
    <t>Born before</t>
  </si>
  <si>
    <t>Geboren op of na</t>
  </si>
  <si>
    <t>Born on or after</t>
  </si>
  <si>
    <t>AOW Gerechtigd</t>
  </si>
  <si>
    <t>AOW entitled</t>
  </si>
  <si>
    <t>AOW gerechtigd -/- maanden</t>
  </si>
  <si>
    <t>AOW entitled -/- months</t>
  </si>
  <si>
    <t>Start leeftijd op basis van 4 weken</t>
  </si>
  <si>
    <t>Starting age on a 4-week basis</t>
  </si>
  <si>
    <t>data entry</t>
  </si>
  <si>
    <t>system calculated</t>
  </si>
  <si>
    <t>amount</t>
  </si>
  <si>
    <t>hours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</si>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</sst>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 * #,##0.00_ ;_ * \-#,##0.00_ ;_ * &quot;-&quot;??_ ;_ @_ "/>
    <numFmt numFmtId="164" formatCode="0.0000%"/>
    <numFmt numFmtId="165" formatCode="0.0"/>
    <numFmt numFmtId="166" formatCode="0.0000"/>
  </numFmts>
  <fonts count="34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Arial"/>
      <family val="2"/>
    </font>
    <font>
      <sz val="10"/>
      <color theme="4"/>
      <name val="Arial"/>
      <family val="2"/>
    </font>
    <font>
      <sz val="10"/>
      <color theme="1" tint="0.249977111117893"/>
      <name val="Arial"/>
      <family val="2"/>
    </font>
    <font>
      <sz val="10"/>
      <name val="Arial"/>
      <family val="2"/>
    </font>
    <font>
      <b/>
      <sz val="10"/>
      <color theme="1" tint="0.249977111117893"/>
      <name val="Arial"/>
      <family val="2"/>
    </font>
    <font>
      <b/>
      <sz val="12"/>
      <color theme="4"/>
      <name val="Arial"/>
      <family val="2"/>
    </font>
    <font>
      <b/>
      <sz val="20"/>
      <color theme="4"/>
      <name val="Arial"/>
      <family val="2"/>
    </font>
    <font>
      <sz val="10"/>
      <color rgb="FFD12E0A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b/>
      <u/>
      <sz val="10"/>
      <color theme="4"/>
      <name val="Arial"/>
      <family val="2"/>
    </font>
    <font>
      <i/>
      <sz val="9"/>
      <color theme="4"/>
      <name val="Arial"/>
      <family val="2"/>
    </font>
    <font>
      <i/>
      <sz val="11"/>
      <color theme="1"/>
      <name val="Calibri"/>
      <family val="2"/>
      <scheme val="minor"/>
    </font>
    <font>
      <i/>
      <sz val="10"/>
      <color theme="1" tint="0.249977111117893"/>
      <name val="Arial"/>
      <family val="2"/>
    </font>
    <font>
      <i/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i/>
      <sz val="9"/>
      <name val="Arial"/>
      <family val="2"/>
    </font>
    <font>
      <i/>
      <sz val="10"/>
      <name val="Arial"/>
      <family val="2"/>
    </font>
    <font>
      <i/>
      <sz val="11"/>
      <name val="Calibri"/>
      <family val="2"/>
      <scheme val="minor"/>
    </font>
    <font>
      <sz val="10"/>
      <color theme="0"/>
      <name val="Arial"/>
      <family val="2"/>
    </font>
    <font>
      <sz val="8"/>
      <color theme="0"/>
      <name val="Arial"/>
      <family val="2"/>
    </font>
    <font>
      <sz val="9"/>
      <color theme="1" tint="0.249977111117893"/>
      <name val="Arial"/>
      <family val="2"/>
    </font>
    <font>
      <i/>
      <sz val="8"/>
      <color theme="1" tint="0.249977111117893"/>
      <name val="Arial"/>
      <family val="2"/>
    </font>
    <font>
      <b/>
      <u/>
      <sz val="10"/>
      <color theme="1" tint="0.249977111117893"/>
      <name val="Arial"/>
      <family val="2"/>
    </font>
    <font>
      <strike/>
      <sz val="10"/>
      <name val="Arial"/>
      <family val="2"/>
    </font>
    <font>
      <b/>
      <sz val="10"/>
      <color theme="4"/>
      <name val="Arial"/>
      <family val="2"/>
    </font>
    <font>
      <sz val="12"/>
      <color theme="1" tint="0.249977111117893"/>
      <name val="Calibri"/>
      <family val="2"/>
      <scheme val="minor"/>
    </font>
    <font>
      <sz val="12"/>
      <color theme="4"/>
      <name val="Calibri"/>
      <family val="2"/>
      <scheme val="minor"/>
    </font>
    <font>
      <strike/>
      <sz val="10"/>
      <color theme="1" tint="0.24997711111789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0"/>
      </left>
      <right/>
      <top/>
      <bottom style="thin">
        <color theme="3"/>
      </bottom>
      <diagonal/>
    </border>
    <border>
      <left style="thin">
        <color theme="0"/>
      </left>
      <right style="thin">
        <color theme="0"/>
      </right>
      <top/>
      <bottom style="thin">
        <color theme="3"/>
      </bottom>
      <diagonal/>
    </border>
  </borders>
  <cellStyleXfs count="1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9" fontId="19" fillId="0" borderId="0" applyFont="0" applyFill="0" applyBorder="0" applyAlignment="0" applyProtection="0"/>
    <xf numFmtId="43" fontId="19" fillId="0" borderId="0" applyFont="0" applyFill="0" applyBorder="0" applyAlignment="0" applyProtection="0"/>
  </cellStyleXfs>
  <cellXfs count="178">
    <xf numFmtId="0" fontId="0" fillId="0" borderId="0" xfId="0"/>
    <xf numFmtId="0" fontId="9" fillId="0" borderId="1" xfId="0" applyFont="1" applyBorder="1"/>
    <xf numFmtId="0" fontId="5" fillId="0" borderId="1" xfId="0" applyFont="1" applyBorder="1"/>
    <xf numFmtId="0" fontId="4" fillId="0" borderId="0" xfId="0" applyFont="1"/>
    <xf numFmtId="0" fontId="5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8" fillId="0" borderId="6" xfId="0" applyFont="1" applyBorder="1" applyAlignment="1">
      <alignment horizontal="left" vertical="center"/>
    </xf>
    <xf numFmtId="0" fontId="18" fillId="0" borderId="8" xfId="0" applyFont="1" applyBorder="1" applyAlignment="1">
      <alignment horizontal="left" vertical="center"/>
    </xf>
    <xf numFmtId="0" fontId="15" fillId="0" borderId="0" xfId="0" applyFont="1" applyAlignment="1">
      <alignment vertical="center"/>
    </xf>
    <xf numFmtId="0" fontId="4" fillId="3" borderId="0" xfId="0" applyFont="1" applyFill="1"/>
    <xf numFmtId="0" fontId="11" fillId="3" borderId="0" xfId="0" applyFont="1" applyFill="1"/>
    <xf numFmtId="0" fontId="12" fillId="3" borderId="0" xfId="0" applyFont="1" applyFill="1"/>
    <xf numFmtId="0" fontId="6" fillId="3" borderId="0" xfId="0" applyFont="1" applyFill="1"/>
    <xf numFmtId="0" fontId="6" fillId="3" borderId="0" xfId="0" applyFont="1" applyFill="1" applyAlignment="1">
      <alignment vertical="center"/>
    </xf>
    <xf numFmtId="0" fontId="7" fillId="3" borderId="0" xfId="0" applyFont="1" applyFill="1"/>
    <xf numFmtId="0" fontId="13" fillId="3" borderId="0" xfId="0" applyFont="1" applyFill="1"/>
    <xf numFmtId="0" fontId="9" fillId="3" borderId="1" xfId="0" applyFont="1" applyFill="1" applyBorder="1"/>
    <xf numFmtId="0" fontId="4" fillId="3" borderId="1" xfId="0" applyFont="1" applyFill="1" applyBorder="1"/>
    <xf numFmtId="0" fontId="5" fillId="3" borderId="1" xfId="0" applyFont="1" applyFill="1" applyBorder="1"/>
    <xf numFmtId="0" fontId="5" fillId="3" borderId="0" xfId="0" applyFont="1" applyFill="1" applyAlignment="1">
      <alignment horizontal="left" vertical="center"/>
    </xf>
    <xf numFmtId="0" fontId="14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5" fillId="3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0" fontId="17" fillId="3" borderId="3" xfId="0" applyFont="1" applyFill="1" applyBorder="1" applyAlignment="1">
      <alignment horizontal="left" vertical="center"/>
    </xf>
    <xf numFmtId="0" fontId="8" fillId="3" borderId="4" xfId="0" applyFont="1" applyFill="1" applyBorder="1" applyAlignment="1">
      <alignment horizontal="left" vertical="center"/>
    </xf>
    <xf numFmtId="0" fontId="7" fillId="3" borderId="4" xfId="0" applyFont="1" applyFill="1" applyBorder="1" applyAlignment="1">
      <alignment horizontal="left" vertical="center"/>
    </xf>
    <xf numFmtId="0" fontId="6" fillId="3" borderId="4" xfId="0" applyFont="1" applyFill="1" applyBorder="1" applyAlignment="1">
      <alignment horizontal="left" vertical="center"/>
    </xf>
    <xf numFmtId="0" fontId="6" fillId="3" borderId="5" xfId="0" applyFont="1" applyFill="1" applyBorder="1" applyAlignment="1">
      <alignment horizontal="left" vertical="center"/>
    </xf>
    <xf numFmtId="0" fontId="17" fillId="3" borderId="6" xfId="0" applyFont="1" applyFill="1" applyBorder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0" fontId="6" fillId="3" borderId="7" xfId="0" applyFont="1" applyFill="1" applyBorder="1" applyAlignment="1">
      <alignment horizontal="left" vertical="center"/>
    </xf>
    <xf numFmtId="0" fontId="18" fillId="3" borderId="6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0" fontId="4" fillId="3" borderId="9" xfId="0" applyFont="1" applyFill="1" applyBorder="1" applyAlignment="1">
      <alignment horizontal="left" vertical="center"/>
    </xf>
    <xf numFmtId="0" fontId="4" fillId="3" borderId="10" xfId="0" applyFont="1" applyFill="1" applyBorder="1" applyAlignment="1">
      <alignment horizontal="left" vertical="center"/>
    </xf>
    <xf numFmtId="0" fontId="15" fillId="3" borderId="0" xfId="0" applyFont="1" applyFill="1" applyAlignment="1">
      <alignment vertical="center"/>
    </xf>
    <xf numFmtId="0" fontId="17" fillId="3" borderId="0" xfId="0" applyFont="1" applyFill="1" applyAlignment="1">
      <alignment horizontal="left" vertical="center"/>
    </xf>
    <xf numFmtId="0" fontId="8" fillId="2" borderId="11" xfId="0" applyFont="1" applyFill="1" applyBorder="1" applyAlignment="1">
      <alignment horizontal="right" vertical="center"/>
    </xf>
    <xf numFmtId="0" fontId="8" fillId="2" borderId="12" xfId="0" applyFont="1" applyFill="1" applyBorder="1" applyAlignment="1">
      <alignment horizontal="right" vertical="center"/>
    </xf>
    <xf numFmtId="0" fontId="6" fillId="3" borderId="0" xfId="0" applyFont="1" applyFill="1" applyAlignment="1">
      <alignment horizontal="left" indent="1"/>
    </xf>
    <xf numFmtId="0" fontId="6" fillId="3" borderId="0" xfId="0" applyFont="1" applyFill="1" applyAlignment="1">
      <alignment horizontal="left" vertical="center" indent="1"/>
    </xf>
    <xf numFmtId="0" fontId="8" fillId="3" borderId="0" xfId="0" applyFont="1" applyFill="1" applyAlignment="1">
      <alignment horizontal="left" vertical="center" indent="3"/>
    </xf>
    <xf numFmtId="0" fontId="6" fillId="3" borderId="0" xfId="0" applyFont="1" applyFill="1" applyAlignment="1">
      <alignment horizontal="left" indent="3"/>
    </xf>
    <xf numFmtId="0" fontId="6" fillId="3" borderId="0" xfId="0" applyFont="1" applyFill="1" applyAlignment="1">
      <alignment horizontal="left" vertical="center" indent="3"/>
    </xf>
    <xf numFmtId="0" fontId="8" fillId="3" borderId="0" xfId="0" applyFont="1" applyFill="1" applyAlignment="1">
      <alignment horizontal="left" indent="3"/>
    </xf>
    <xf numFmtId="0" fontId="8" fillId="3" borderId="0" xfId="0" applyFont="1" applyFill="1"/>
    <xf numFmtId="0" fontId="6" fillId="0" borderId="0" xfId="0" applyFont="1"/>
    <xf numFmtId="0" fontId="7" fillId="0" borderId="0" xfId="0" applyFont="1"/>
    <xf numFmtId="0" fontId="24" fillId="0" borderId="0" xfId="0" applyFont="1" applyAlignment="1">
      <alignment horizontal="left" wrapText="1"/>
    </xf>
    <xf numFmtId="0" fontId="24" fillId="3" borderId="0" xfId="0" applyFont="1" applyFill="1" applyAlignment="1">
      <alignment horizontal="left" wrapText="1"/>
    </xf>
    <xf numFmtId="0" fontId="24" fillId="0" borderId="0" xfId="0" applyFont="1" applyAlignment="1">
      <alignment wrapText="1"/>
    </xf>
    <xf numFmtId="0" fontId="6" fillId="3" borderId="14" xfId="0" applyFont="1" applyFill="1" applyBorder="1" applyAlignment="1">
      <alignment horizontal="left" vertical="center"/>
    </xf>
    <xf numFmtId="0" fontId="6" fillId="3" borderId="14" xfId="0" applyFont="1" applyFill="1" applyBorder="1" applyAlignment="1">
      <alignment horizontal="center" vertical="center"/>
    </xf>
    <xf numFmtId="0" fontId="24" fillId="0" borderId="15" xfId="0" applyFont="1" applyBorder="1" applyAlignment="1">
      <alignment horizontal="left" wrapText="1"/>
    </xf>
    <xf numFmtId="0" fontId="24" fillId="0" borderId="16" xfId="0" applyFont="1" applyBorder="1" applyAlignment="1">
      <alignment horizontal="left" wrapText="1"/>
    </xf>
    <xf numFmtId="0" fontId="7" fillId="3" borderId="14" xfId="0" applyFont="1" applyFill="1" applyBorder="1" applyAlignment="1">
      <alignment horizontal="left" vertical="center"/>
    </xf>
    <xf numFmtId="0" fontId="7" fillId="3" borderId="14" xfId="0" applyFont="1" applyFill="1" applyBorder="1" applyAlignment="1">
      <alignment horizontal="center" vertical="center"/>
    </xf>
    <xf numFmtId="0" fontId="7" fillId="0" borderId="14" xfId="0" applyFont="1" applyBorder="1"/>
    <xf numFmtId="0" fontId="21" fillId="3" borderId="14" xfId="0" applyFont="1" applyFill="1" applyBorder="1" applyAlignment="1">
      <alignment vertical="center"/>
    </xf>
    <xf numFmtId="0" fontId="22" fillId="3" borderId="14" xfId="0" applyFont="1" applyFill="1" applyBorder="1" applyAlignment="1">
      <alignment horizontal="left" vertical="center"/>
    </xf>
    <xf numFmtId="0" fontId="23" fillId="3" borderId="14" xfId="0" applyFont="1" applyFill="1" applyBorder="1" applyAlignment="1">
      <alignment horizontal="left" vertical="center"/>
    </xf>
    <xf numFmtId="0" fontId="8" fillId="2" borderId="12" xfId="0" applyFont="1" applyFill="1" applyBorder="1" applyAlignment="1">
      <alignment vertical="center"/>
    </xf>
    <xf numFmtId="0" fontId="8" fillId="2" borderId="11" xfId="0" applyFont="1" applyFill="1" applyBorder="1" applyAlignment="1">
      <alignment vertical="center"/>
    </xf>
    <xf numFmtId="0" fontId="6" fillId="2" borderId="12" xfId="0" applyFont="1" applyFill="1" applyBorder="1" applyAlignment="1">
      <alignment horizontal="left" vertical="center"/>
    </xf>
    <xf numFmtId="0" fontId="6" fillId="2" borderId="13" xfId="0" applyFont="1" applyFill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24" fillId="0" borderId="15" xfId="0" applyFont="1" applyBorder="1" applyAlignment="1">
      <alignment horizontal="center" wrapText="1"/>
    </xf>
    <xf numFmtId="0" fontId="24" fillId="0" borderId="16" xfId="0" applyFont="1" applyBorder="1" applyAlignment="1">
      <alignment horizontal="center" wrapText="1"/>
    </xf>
    <xf numFmtId="0" fontId="24" fillId="0" borderId="0" xfId="0" applyFont="1" applyAlignment="1">
      <alignment horizontal="center" wrapText="1"/>
    </xf>
    <xf numFmtId="0" fontId="0" fillId="0" borderId="14" xfId="0" applyBorder="1"/>
    <xf numFmtId="0" fontId="8" fillId="2" borderId="11" xfId="0" applyFont="1" applyFill="1" applyBorder="1" applyAlignment="1">
      <alignment horizontal="left" vertical="center"/>
    </xf>
    <xf numFmtId="0" fontId="8" fillId="2" borderId="12" xfId="0" applyFont="1" applyFill="1" applyBorder="1" applyAlignment="1">
      <alignment horizontal="left" vertical="center"/>
    </xf>
    <xf numFmtId="165" fontId="26" fillId="2" borderId="12" xfId="0" applyNumberFormat="1" applyFont="1" applyFill="1" applyBorder="1" applyAlignment="1">
      <alignment horizontal="left" vertical="center"/>
    </xf>
    <xf numFmtId="165" fontId="26" fillId="2" borderId="13" xfId="0" applyNumberFormat="1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center" vertical="center"/>
    </xf>
    <xf numFmtId="2" fontId="6" fillId="2" borderId="2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left" vertical="center"/>
    </xf>
    <xf numFmtId="0" fontId="27" fillId="3" borderId="0" xfId="0" applyFont="1" applyFill="1" applyAlignment="1">
      <alignment horizontal="left" vertical="top"/>
    </xf>
    <xf numFmtId="9" fontId="6" fillId="3" borderId="0" xfId="13" applyFont="1" applyFill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8" fillId="2" borderId="2" xfId="0" applyFont="1" applyFill="1" applyBorder="1" applyAlignment="1">
      <alignment horizontal="left" vertical="center"/>
    </xf>
    <xf numFmtId="0" fontId="17" fillId="0" borderId="6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17" fillId="0" borderId="8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29" fillId="0" borderId="0" xfId="0" applyFont="1"/>
    <xf numFmtId="9" fontId="6" fillId="3" borderId="0" xfId="13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6" fillId="3" borderId="6" xfId="0" applyFont="1" applyFill="1" applyBorder="1" applyAlignment="1">
      <alignment vertical="center"/>
    </xf>
    <xf numFmtId="0" fontId="6" fillId="3" borderId="6" xfId="0" applyFont="1" applyFill="1" applyBorder="1" applyAlignment="1">
      <alignment horizontal="left" vertical="center"/>
    </xf>
    <xf numFmtId="9" fontId="6" fillId="3" borderId="6" xfId="13" applyFont="1" applyFill="1" applyBorder="1" applyAlignment="1">
      <alignment vertical="center"/>
    </xf>
    <xf numFmtId="9" fontId="6" fillId="3" borderId="6" xfId="13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0" fontId="8" fillId="3" borderId="8" xfId="0" applyFont="1" applyFill="1" applyBorder="1" applyAlignment="1">
      <alignment vertical="center"/>
    </xf>
    <xf numFmtId="0" fontId="9" fillId="3" borderId="1" xfId="0" applyFont="1" applyFill="1" applyBorder="1" applyAlignment="1">
      <alignment horizontal="left"/>
    </xf>
    <xf numFmtId="0" fontId="6" fillId="0" borderId="6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15" fillId="3" borderId="0" xfId="0" applyFont="1" applyFill="1" applyAlignment="1">
      <alignment horizontal="left" vertical="center" indent="1"/>
    </xf>
    <xf numFmtId="0" fontId="4" fillId="2" borderId="2" xfId="0" applyFont="1" applyFill="1" applyBorder="1" applyAlignment="1">
      <alignment horizontal="left" vertical="center"/>
    </xf>
    <xf numFmtId="0" fontId="30" fillId="3" borderId="1" xfId="0" applyFont="1" applyFill="1" applyBorder="1" applyAlignment="1">
      <alignment vertical="center"/>
    </xf>
    <xf numFmtId="0" fontId="0" fillId="0" borderId="0" xfId="0" applyAlignment="1">
      <alignment horizontal="right"/>
    </xf>
    <xf numFmtId="0" fontId="18" fillId="3" borderId="0" xfId="0" applyFont="1" applyFill="1" applyAlignment="1">
      <alignment horizontal="left" vertical="center"/>
    </xf>
    <xf numFmtId="0" fontId="4" fillId="3" borderId="5" xfId="0" applyFont="1" applyFill="1" applyBorder="1"/>
    <xf numFmtId="0" fontId="4" fillId="3" borderId="7" xfId="0" applyFont="1" applyFill="1" applyBorder="1"/>
    <xf numFmtId="0" fontId="4" fillId="3" borderId="10" xfId="0" applyFont="1" applyFill="1" applyBorder="1"/>
    <xf numFmtId="0" fontId="32" fillId="4" borderId="1" xfId="0" applyFont="1" applyFill="1" applyBorder="1"/>
    <xf numFmtId="0" fontId="0" fillId="4" borderId="0" xfId="0" applyFill="1"/>
    <xf numFmtId="0" fontId="31" fillId="4" borderId="0" xfId="0" applyFont="1" applyFill="1"/>
    <xf numFmtId="0" fontId="8" fillId="3" borderId="0" xfId="0" applyFont="1" applyFill="1" applyAlignment="1">
      <alignment vertical="center"/>
    </xf>
    <xf numFmtId="0" fontId="8" fillId="3" borderId="9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left"/>
    </xf>
    <xf numFmtId="0" fontId="5" fillId="3" borderId="1" xfId="0" applyFont="1" applyFill="1" applyBorder="1" applyAlignment="1">
      <alignment horizontal="left"/>
    </xf>
    <xf numFmtId="0" fontId="6" fillId="2" borderId="2" xfId="0" applyFont="1" applyFill="1" applyBorder="1" applyAlignment="1">
      <alignment vertical="center"/>
    </xf>
    <xf numFmtId="0" fontId="6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/>
    </xf>
    <xf numFmtId="0" fontId="5" fillId="3" borderId="0" xfId="0" applyFont="1" applyFill="1"/>
    <xf numFmtId="0" fontId="33" fillId="3" borderId="14" xfId="0" applyFont="1" applyFill="1" applyBorder="1" applyAlignment="1">
      <alignment horizontal="left" vertical="center"/>
    </xf>
    <xf numFmtId="14" fontId="6" fillId="2" borderId="2" xfId="0" applyNumberFormat="1" applyFont="1" applyFill="1" applyBorder="1" applyAlignment="1">
      <alignment vertical="center"/>
    </xf>
    <xf numFmtId="0" fontId="10" fillId="3" borderId="0" xfId="0" applyFont="1" applyFill="1" applyAlignment="1">
      <alignment horizontal="left" vertical="center"/>
    </xf>
    <xf numFmtId="0" fontId="10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right" vertical="center"/>
    </xf>
    <xf numFmtId="0" fontId="30" fillId="3" borderId="0" xfId="0" applyFont="1" applyFill="1" applyAlignment="1">
      <alignment horizontal="right" vertical="center"/>
    </xf>
    <xf numFmtId="0" fontId="6" fillId="2" borderId="2" xfId="0" applyFont="1" applyFill="1" applyBorder="1" applyAlignment="1">
      <alignment horizontal="left" vertical="center"/>
    </xf>
    <xf numFmtId="0" fontId="6" fillId="2" borderId="11" xfId="0" applyFont="1" applyFill="1" applyBorder="1" applyAlignment="1">
      <alignment horizontal="left" vertical="center"/>
    </xf>
    <xf numFmtId="0" fontId="6" fillId="2" borderId="12" xfId="0" applyFont="1" applyFill="1" applyBorder="1" applyAlignment="1">
      <alignment horizontal="left" vertical="center"/>
    </xf>
    <xf numFmtId="0" fontId="6" fillId="2" borderId="13" xfId="0" applyFont="1" applyFill="1" applyBorder="1" applyAlignment="1">
      <alignment horizontal="left" vertical="center"/>
    </xf>
    <xf numFmtId="0" fontId="4" fillId="2" borderId="11" xfId="0" applyFont="1" applyFill="1" applyBorder="1" applyAlignment="1">
      <alignment horizontal="left" vertical="center"/>
    </xf>
    <xf numFmtId="0" fontId="4" fillId="2" borderId="12" xfId="0" applyFont="1" applyFill="1" applyBorder="1" applyAlignment="1">
      <alignment horizontal="left" vertical="center"/>
    </xf>
    <xf numFmtId="0" fontId="4" fillId="2" borderId="13" xfId="0" applyFont="1" applyFill="1" applyBorder="1" applyAlignment="1">
      <alignment horizontal="left" vertical="center"/>
    </xf>
    <xf numFmtId="0" fontId="7" fillId="2" borderId="11" xfId="0" applyFont="1" applyFill="1" applyBorder="1" applyAlignment="1">
      <alignment horizontal="left" vertical="center"/>
    </xf>
    <xf numFmtId="0" fontId="7" fillId="2" borderId="13" xfId="0" applyFont="1" applyFill="1" applyBorder="1" applyAlignment="1">
      <alignment horizontal="left" vertical="center"/>
    </xf>
    <xf numFmtId="0" fontId="8" fillId="2" borderId="12" xfId="0" applyFont="1" applyFill="1" applyBorder="1" applyAlignment="1">
      <alignment horizontal="right" vertical="center"/>
    </xf>
    <xf numFmtId="166" fontId="6" fillId="2" borderId="12" xfId="0" applyNumberFormat="1" applyFont="1" applyFill="1" applyBorder="1" applyAlignment="1">
      <alignment horizontal="center" vertical="center"/>
    </xf>
    <xf numFmtId="166" fontId="6" fillId="2" borderId="13" xfId="0" applyNumberFormat="1" applyFont="1" applyFill="1" applyBorder="1" applyAlignment="1">
      <alignment horizontal="center" vertical="center"/>
    </xf>
    <xf numFmtId="0" fontId="6" fillId="2" borderId="2" xfId="13" applyNumberFormat="1" applyFont="1" applyFill="1" applyBorder="1" applyAlignment="1">
      <alignment horizontal="left" vertical="center"/>
    </xf>
    <xf numFmtId="164" fontId="6" fillId="2" borderId="2" xfId="13" applyNumberFormat="1" applyFont="1" applyFill="1" applyBorder="1" applyAlignment="1">
      <alignment horizontal="left" vertical="center"/>
    </xf>
    <xf numFmtId="164" fontId="6" fillId="2" borderId="8" xfId="13" applyNumberFormat="1" applyFont="1" applyFill="1" applyBorder="1" applyAlignment="1">
      <alignment horizontal="left" vertical="center"/>
    </xf>
    <xf numFmtId="164" fontId="6" fillId="2" borderId="9" xfId="13" applyNumberFormat="1" applyFont="1" applyFill="1" applyBorder="1" applyAlignment="1">
      <alignment horizontal="left" vertical="center"/>
    </xf>
    <xf numFmtId="164" fontId="6" fillId="2" borderId="10" xfId="13" applyNumberFormat="1" applyFont="1" applyFill="1" applyBorder="1" applyAlignment="1">
      <alignment horizontal="left" vertical="center"/>
    </xf>
    <xf numFmtId="9" fontId="6" fillId="2" borderId="11" xfId="13" applyFont="1" applyFill="1" applyBorder="1" applyAlignment="1">
      <alignment horizontal="left" vertical="center"/>
    </xf>
    <xf numFmtId="9" fontId="6" fillId="2" borderId="12" xfId="13" applyFont="1" applyFill="1" applyBorder="1" applyAlignment="1">
      <alignment horizontal="left" vertical="center"/>
    </xf>
    <xf numFmtId="9" fontId="6" fillId="2" borderId="13" xfId="13" applyFont="1" applyFill="1" applyBorder="1" applyAlignment="1">
      <alignment horizontal="left" vertical="center"/>
    </xf>
    <xf numFmtId="0" fontId="6" fillId="2" borderId="11" xfId="13" applyNumberFormat="1" applyFont="1" applyFill="1" applyBorder="1" applyAlignment="1">
      <alignment horizontal="left" vertical="center"/>
    </xf>
    <xf numFmtId="0" fontId="6" fillId="2" borderId="12" xfId="13" applyNumberFormat="1" applyFont="1" applyFill="1" applyBorder="1" applyAlignment="1">
      <alignment horizontal="left" vertical="center"/>
    </xf>
    <xf numFmtId="0" fontId="6" fillId="2" borderId="13" xfId="13" applyNumberFormat="1" applyFont="1" applyFill="1" applyBorder="1" applyAlignment="1">
      <alignment horizontal="left" vertical="center"/>
    </xf>
    <xf numFmtId="9" fontId="6" fillId="3" borderId="0" xfId="13" applyFont="1" applyFill="1" applyBorder="1" applyAlignment="1">
      <alignment horizontal="left" vertical="center"/>
    </xf>
    <xf numFmtId="164" fontId="6" fillId="2" borderId="11" xfId="13" applyNumberFormat="1" applyFont="1" applyFill="1" applyBorder="1" applyAlignment="1">
      <alignment horizontal="left" vertical="center"/>
    </xf>
    <xf numFmtId="164" fontId="6" fillId="2" borderId="12" xfId="13" applyNumberFormat="1" applyFont="1" applyFill="1" applyBorder="1" applyAlignment="1">
      <alignment horizontal="left" vertical="center"/>
    </xf>
    <xf numFmtId="164" fontId="6" fillId="2" borderId="13" xfId="13" applyNumberFormat="1" applyFont="1" applyFill="1" applyBorder="1" applyAlignment="1">
      <alignment horizontal="left" vertical="center"/>
    </xf>
    <xf numFmtId="2" fontId="6" fillId="2" borderId="11" xfId="13" applyNumberFormat="1" applyFont="1" applyFill="1" applyBorder="1" applyAlignment="1">
      <alignment horizontal="left" vertical="center"/>
    </xf>
    <xf numFmtId="2" fontId="6" fillId="2" borderId="12" xfId="13" applyNumberFormat="1" applyFont="1" applyFill="1" applyBorder="1" applyAlignment="1">
      <alignment horizontal="left" vertical="center"/>
    </xf>
    <xf numFmtId="2" fontId="6" fillId="2" borderId="13" xfId="13" applyNumberFormat="1" applyFont="1" applyFill="1" applyBorder="1" applyAlignment="1">
      <alignment horizontal="left" vertical="center"/>
    </xf>
    <xf numFmtId="10" fontId="6" fillId="2" borderId="11" xfId="13" applyNumberFormat="1" applyFont="1" applyFill="1" applyBorder="1" applyAlignment="1">
      <alignment horizontal="left" vertical="center"/>
    </xf>
    <xf numFmtId="10" fontId="6" fillId="2" borderId="12" xfId="13" applyNumberFormat="1" applyFont="1" applyFill="1" applyBorder="1" applyAlignment="1">
      <alignment horizontal="left" vertical="center"/>
    </xf>
    <xf numFmtId="10" fontId="6" fillId="2" borderId="13" xfId="13" applyNumberFormat="1" applyFont="1" applyFill="1" applyBorder="1" applyAlignment="1">
      <alignment horizontal="left" vertical="center"/>
    </xf>
    <xf numFmtId="4" fontId="6" fillId="2" borderId="11" xfId="14" applyNumberFormat="1" applyFont="1" applyFill="1" applyBorder="1" applyAlignment="1">
      <alignment horizontal="left" vertical="center"/>
    </xf>
    <xf numFmtId="4" fontId="6" fillId="2" borderId="12" xfId="14" applyNumberFormat="1" applyFont="1" applyFill="1" applyBorder="1" applyAlignment="1">
      <alignment horizontal="left" vertical="center"/>
    </xf>
    <xf numFmtId="4" fontId="6" fillId="2" borderId="13" xfId="14" applyNumberFormat="1" applyFont="1" applyFill="1" applyBorder="1" applyAlignment="1">
      <alignment horizontal="left" vertical="center"/>
    </xf>
    <xf numFmtId="0" fontId="8" fillId="2" borderId="12" xfId="0" applyFont="1" applyFill="1" applyBorder="1" applyAlignment="1">
      <alignment horizontal="left" vertical="center"/>
    </xf>
    <xf numFmtId="0" fontId="8" fillId="2" borderId="13" xfId="0" applyFont="1" applyFill="1" applyBorder="1" applyAlignment="1">
      <alignment horizontal="left" vertical="center"/>
    </xf>
  </cellXfs>
  <cellStyles count="15">
    <cellStyle name="Comma" xfId="14" builtinId="3"/>
    <cellStyle name="Followed Hyperlink" xfId="6" builtinId="9" hidden="1"/>
    <cellStyle name="Followed Hyperlink" xfId="2" builtinId="9" hidden="1"/>
    <cellStyle name="Followed Hyperlink" xfId="4" builtinId="9" hidden="1"/>
    <cellStyle name="Followed Hyperlink" xfId="8" builtinId="9" hidden="1"/>
    <cellStyle name="Followed Hyperlink" xfId="12" builtinId="9" hidden="1"/>
    <cellStyle name="Followed Hyperlink" xfId="10" builtinId="9" hidden="1"/>
    <cellStyle name="Hyperlink" xfId="9" builtinId="8" hidden="1"/>
    <cellStyle name="Hyperlink" xfId="3" builtinId="8" hidden="1"/>
    <cellStyle name="Hyperlink" xfId="1" builtinId="8" hidden="1"/>
    <cellStyle name="Hyperlink" xfId="7" builtinId="8" hidden="1"/>
    <cellStyle name="Hyperlink" xfId="5" builtinId="8" hidden="1"/>
    <cellStyle name="Hyperlink" xfId="11" builtinId="8" hidden="1"/>
    <cellStyle name="Normal" xfId="0" builtinId="0"/>
    <cellStyle name="Percent" xfId="13" builtinId="5"/>
  </cellStyles>
  <dxfs count="14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77111117893"/>
        <name val="Calibri"/>
        <family val="2"/>
        <scheme val="minor"/>
      </font>
      <fill>
        <patternFill patternType="solid">
          <fgColor indexed="64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77111117893"/>
        <name val="Calibri"/>
        <family val="2"/>
        <scheme val="minor"/>
      </font>
      <fill>
        <patternFill patternType="solid">
          <fgColor indexed="64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77111117893"/>
        <name val="Calibri"/>
        <family val="2"/>
        <scheme val="minor"/>
      </font>
      <numFmt numFmtId="0" formatCode="General"/>
      <fill>
        <patternFill patternType="solid">
          <fgColor indexed="64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77111117893"/>
        <name val="Calibri"/>
        <family val="2"/>
        <scheme val="minor"/>
      </font>
      <fill>
        <patternFill patternType="solid">
          <fgColor indexed="64"/>
          <bgColor rgb="FFFFFFFF"/>
        </patternFill>
      </fill>
    </dxf>
    <dxf>
      <border outline="0"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/>
        <name val="Calibri"/>
        <family val="2"/>
        <scheme val="minor"/>
      </font>
      <fill>
        <patternFill patternType="solid">
          <fgColor indexed="64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77111117893"/>
        <name val="Calibri"/>
        <family val="2"/>
        <scheme val="minor"/>
      </font>
      <fill>
        <patternFill patternType="solid">
          <fgColor indexed="64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77111117893"/>
        <name val="Calibri"/>
        <family val="2"/>
        <scheme val="minor"/>
      </font>
      <fill>
        <patternFill patternType="solid">
          <fgColor indexed="64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77111117893"/>
        <name val="Calibri"/>
        <family val="2"/>
        <scheme val="minor"/>
      </font>
      <numFmt numFmtId="0" formatCode="General"/>
      <fill>
        <patternFill patternType="solid">
          <fgColor indexed="64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77111117893"/>
        <name val="Calibri"/>
        <family val="2"/>
        <scheme val="minor"/>
      </font>
      <fill>
        <patternFill patternType="solid">
          <fgColor indexed="64"/>
          <bgColor rgb="FFFFFFFF"/>
        </patternFill>
      </fill>
    </dxf>
    <dxf>
      <border outline="0"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/>
        <name val="Calibri"/>
        <family val="2"/>
        <scheme val="minor"/>
      </font>
      <fill>
        <patternFill patternType="solid">
          <fgColor indexed="64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77111117893"/>
        <name val="Calibri"/>
        <family val="2"/>
        <scheme val="minor"/>
      </font>
      <numFmt numFmtId="0" formatCode="General"/>
      <fill>
        <patternFill patternType="solid">
          <fgColor indexed="64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77111117893"/>
        <name val="Calibri"/>
        <family val="2"/>
        <scheme val="minor"/>
      </font>
      <numFmt numFmtId="0" formatCode="General"/>
      <fill>
        <patternFill patternType="solid">
          <fgColor indexed="64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77111117893"/>
        <name val="Calibri"/>
        <family val="2"/>
        <scheme val="minor"/>
      </font>
      <numFmt numFmtId="0" formatCode="General"/>
      <fill>
        <patternFill patternType="solid">
          <fgColor indexed="64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77111117893"/>
        <name val="Calibri"/>
        <family val="2"/>
        <scheme val="minor"/>
      </font>
      <fill>
        <patternFill patternType="solid">
          <fgColor indexed="64"/>
          <bgColor rgb="FFFFFFFF"/>
        </patternFill>
      </fill>
    </dxf>
    <dxf>
      <border outline="0"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/>
        <name val="Calibri"/>
        <family val="2"/>
        <scheme val="minor"/>
      </font>
      <fill>
        <patternFill patternType="solid">
          <fgColor indexed="64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77111117893"/>
        <name val="Calibri"/>
        <family val="2"/>
        <scheme val="minor"/>
      </font>
      <fill>
        <patternFill patternType="solid">
          <fgColor indexed="64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77111117893"/>
        <name val="Calibri"/>
        <family val="2"/>
        <scheme val="minor"/>
      </font>
      <fill>
        <patternFill patternType="solid">
          <fgColor indexed="64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77111117893"/>
        <name val="Calibri"/>
        <family val="2"/>
        <scheme val="minor"/>
      </font>
      <numFmt numFmtId="0" formatCode="General"/>
      <fill>
        <patternFill patternType="solid">
          <fgColor indexed="64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77111117893"/>
        <name val="Calibri"/>
        <family val="2"/>
        <scheme val="minor"/>
      </font>
      <fill>
        <patternFill patternType="solid">
          <fgColor indexed="64"/>
          <bgColor rgb="FFFFFFFF"/>
        </patternFill>
      </fill>
    </dxf>
    <dxf>
      <border outline="0"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/>
        <name val="Calibri"/>
        <family val="2"/>
        <scheme val="minor"/>
      </font>
      <fill>
        <patternFill patternType="solid">
          <fgColor indexed="64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77111117893"/>
        <name val="Calibri"/>
        <family val="2"/>
        <scheme val="minor"/>
      </font>
      <fill>
        <patternFill patternType="solid">
          <fgColor indexed="64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77111117893"/>
        <name val="Calibri"/>
        <family val="2"/>
        <scheme val="minor"/>
      </font>
      <fill>
        <patternFill patternType="solid">
          <fgColor indexed="64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77111117893"/>
        <name val="Calibri"/>
        <family val="2"/>
        <scheme val="minor"/>
      </font>
      <numFmt numFmtId="0" formatCode="General"/>
      <fill>
        <patternFill patternType="solid">
          <fgColor indexed="64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77111117893"/>
        <name val="Calibri"/>
        <family val="2"/>
        <scheme val="minor"/>
      </font>
      <fill>
        <patternFill patternType="solid">
          <fgColor indexed="64"/>
          <bgColor rgb="FFFFFFFF"/>
        </patternFill>
      </fill>
    </dxf>
    <dxf>
      <border outline="0"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/>
        <name val="Calibri"/>
        <family val="2"/>
        <scheme val="minor"/>
      </font>
      <fill>
        <patternFill patternType="solid">
          <fgColor indexed="64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77111117893"/>
        <name val="Calibri"/>
        <family val="2"/>
        <scheme val="minor"/>
      </font>
      <fill>
        <patternFill patternType="solid">
          <fgColor indexed="64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77111117893"/>
        <name val="Calibri"/>
        <family val="2"/>
        <scheme val="minor"/>
      </font>
      <fill>
        <patternFill patternType="solid">
          <fgColor indexed="64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77111117893"/>
        <name val="Calibri"/>
        <family val="2"/>
        <scheme val="minor"/>
      </font>
      <numFmt numFmtId="0" formatCode="General"/>
      <fill>
        <patternFill patternType="solid">
          <fgColor indexed="64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77111117893"/>
        <name val="Calibri"/>
        <family val="2"/>
        <scheme val="minor"/>
      </font>
      <fill>
        <patternFill patternType="solid">
          <fgColor indexed="64"/>
          <bgColor rgb="FFFFFFFF"/>
        </patternFill>
      </fill>
    </dxf>
    <dxf>
      <border outline="0"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/>
        <name val="Calibri"/>
        <family val="2"/>
        <scheme val="minor"/>
      </font>
      <fill>
        <patternFill patternType="solid">
          <fgColor indexed="64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77111117893"/>
        <name val="Calibri"/>
        <family val="2"/>
        <scheme val="minor"/>
      </font>
      <fill>
        <patternFill patternType="solid">
          <fgColor indexed="64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77111117893"/>
        <name val="Calibri"/>
        <family val="2"/>
        <scheme val="minor"/>
      </font>
      <fill>
        <patternFill patternType="solid">
          <fgColor indexed="64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77111117893"/>
        <name val="Calibri"/>
        <family val="2"/>
        <scheme val="minor"/>
      </font>
      <numFmt numFmtId="0" formatCode="General"/>
      <fill>
        <patternFill patternType="solid">
          <fgColor indexed="64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77111117893"/>
        <name val="Calibri"/>
        <family val="2"/>
        <scheme val="minor"/>
      </font>
      <fill>
        <patternFill patternType="solid">
          <fgColor indexed="64"/>
          <bgColor rgb="FFFFFFFF"/>
        </patternFill>
      </fill>
    </dxf>
    <dxf>
      <border outline="0"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/>
        <name val="Calibri"/>
        <family val="2"/>
        <scheme val="minor"/>
      </font>
      <fill>
        <patternFill patternType="solid">
          <fgColor indexed="64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77111117893"/>
        <name val="Calibri"/>
        <family val="2"/>
        <scheme val="minor"/>
      </font>
      <fill>
        <patternFill patternType="solid">
          <fgColor indexed="64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77111117893"/>
        <name val="Calibri"/>
        <family val="2"/>
        <scheme val="minor"/>
      </font>
      <fill>
        <patternFill patternType="solid">
          <fgColor indexed="64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77111117893"/>
        <name val="Calibri"/>
        <family val="2"/>
        <scheme val="minor"/>
      </font>
      <numFmt numFmtId="0" formatCode="General"/>
      <fill>
        <patternFill patternType="solid">
          <fgColor indexed="64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77111117893"/>
        <name val="Calibri"/>
        <family val="2"/>
        <scheme val="minor"/>
      </font>
      <fill>
        <patternFill patternType="solid">
          <fgColor indexed="64"/>
          <bgColor rgb="FFFFFFFF"/>
        </patternFill>
      </fill>
    </dxf>
    <dxf>
      <border outline="0"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/>
        <name val="Calibri"/>
        <family val="2"/>
        <scheme val="minor"/>
      </font>
      <fill>
        <patternFill patternType="solid">
          <fgColor indexed="64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77111117893"/>
        <name val="Calibri"/>
        <family val="2"/>
        <scheme val="minor"/>
      </font>
      <fill>
        <patternFill patternType="solid">
          <fgColor indexed="64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77111117893"/>
        <name val="Calibri"/>
        <family val="2"/>
        <scheme val="minor"/>
      </font>
      <fill>
        <patternFill patternType="solid">
          <fgColor indexed="64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77111117893"/>
        <name val="Calibri"/>
        <family val="2"/>
        <scheme val="minor"/>
      </font>
      <numFmt numFmtId="0" formatCode="General"/>
      <fill>
        <patternFill patternType="solid">
          <fgColor indexed="64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77111117893"/>
        <name val="Calibri"/>
        <family val="2"/>
        <scheme val="minor"/>
      </font>
      <fill>
        <patternFill patternType="solid">
          <fgColor indexed="64"/>
          <bgColor rgb="FFFFFFFF"/>
        </patternFill>
      </fill>
    </dxf>
    <dxf>
      <border outline="0"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/>
        <name val="Calibri"/>
        <family val="2"/>
        <scheme val="minor"/>
      </font>
      <fill>
        <patternFill patternType="solid">
          <fgColor indexed="64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77111117893"/>
        <name val="Calibri"/>
        <family val="2"/>
        <scheme val="minor"/>
      </font>
      <fill>
        <patternFill patternType="solid">
          <fgColor indexed="64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77111117893"/>
        <name val="Calibri"/>
        <family val="2"/>
        <scheme val="minor"/>
      </font>
      <fill>
        <patternFill patternType="solid">
          <fgColor indexed="64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77111117893"/>
        <name val="Calibri"/>
        <family val="2"/>
        <scheme val="minor"/>
      </font>
      <numFmt numFmtId="0" formatCode="General"/>
      <fill>
        <patternFill patternType="solid">
          <fgColor indexed="64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77111117893"/>
        <name val="Calibri"/>
        <family val="2"/>
        <scheme val="minor"/>
      </font>
      <fill>
        <patternFill patternType="solid">
          <fgColor indexed="64"/>
          <bgColor rgb="FFFFFFFF"/>
        </patternFill>
      </fill>
    </dxf>
    <dxf>
      <border outline="0"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/>
        <name val="Calibri"/>
        <family val="2"/>
        <scheme val="minor"/>
      </font>
      <fill>
        <patternFill patternType="solid">
          <fgColor indexed="64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77111117893"/>
        <name val="Calibri"/>
        <family val="2"/>
        <scheme val="minor"/>
      </font>
      <fill>
        <patternFill patternType="solid">
          <fgColor indexed="64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77111117893"/>
        <name val="Calibri"/>
        <family val="2"/>
        <scheme val="minor"/>
      </font>
      <fill>
        <patternFill patternType="solid">
          <fgColor indexed="64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77111117893"/>
        <name val="Calibri"/>
        <family val="2"/>
        <scheme val="minor"/>
      </font>
      <numFmt numFmtId="0" formatCode="General"/>
      <fill>
        <patternFill patternType="solid">
          <fgColor indexed="64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77111117893"/>
        <name val="Calibri"/>
        <family val="2"/>
        <scheme val="minor"/>
      </font>
      <fill>
        <patternFill patternType="solid">
          <fgColor indexed="64"/>
          <bgColor rgb="FFFFFFFF"/>
        </patternFill>
      </fill>
    </dxf>
    <dxf>
      <border outline="0"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/>
        <name val="Calibri"/>
        <family val="2"/>
        <scheme val="minor"/>
      </font>
      <fill>
        <patternFill patternType="solid">
          <fgColor indexed="64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77111117893"/>
        <name val="Calibri"/>
        <family val="2"/>
        <scheme val="minor"/>
      </font>
      <fill>
        <patternFill patternType="solid">
          <fgColor indexed="64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77111117893"/>
        <name val="Calibri"/>
        <family val="2"/>
        <scheme val="minor"/>
      </font>
      <fill>
        <patternFill patternType="solid">
          <fgColor indexed="64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77111117893"/>
        <name val="Calibri"/>
        <family val="2"/>
        <scheme val="minor"/>
      </font>
      <numFmt numFmtId="0" formatCode="General"/>
      <fill>
        <patternFill patternType="solid">
          <fgColor indexed="64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77111117893"/>
        <name val="Calibri"/>
        <family val="2"/>
        <scheme val="minor"/>
      </font>
      <fill>
        <patternFill patternType="solid">
          <fgColor indexed="64"/>
          <bgColor rgb="FFFFFFFF"/>
        </patternFill>
      </fill>
    </dxf>
    <dxf>
      <border outline="0"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/>
        <name val="Calibri"/>
        <family val="2"/>
        <scheme val="minor"/>
      </font>
      <fill>
        <patternFill patternType="solid">
          <fgColor indexed="64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77111117893"/>
        <name val="Calibri"/>
        <family val="2"/>
        <scheme val="minor"/>
      </font>
      <fill>
        <patternFill patternType="solid">
          <fgColor indexed="64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77111117893"/>
        <name val="Calibri"/>
        <family val="2"/>
        <scheme val="minor"/>
      </font>
      <fill>
        <patternFill patternType="solid">
          <fgColor indexed="64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77111117893"/>
        <name val="Calibri"/>
        <family val="2"/>
        <scheme val="minor"/>
      </font>
      <numFmt numFmtId="0" formatCode="General"/>
      <fill>
        <patternFill patternType="solid">
          <fgColor indexed="64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77111117893"/>
        <name val="Calibri"/>
        <family val="2"/>
        <scheme val="minor"/>
      </font>
      <fill>
        <patternFill patternType="solid">
          <fgColor indexed="64"/>
          <bgColor rgb="FFFFFFFF"/>
        </patternFill>
      </fill>
    </dxf>
    <dxf>
      <border outline="0"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/>
        <name val="Calibri"/>
        <family val="2"/>
        <scheme val="minor"/>
      </font>
      <fill>
        <patternFill patternType="solid">
          <fgColor indexed="64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77111117893"/>
        <name val="Calibri"/>
        <family val="2"/>
        <scheme val="minor"/>
      </font>
      <fill>
        <patternFill patternType="solid">
          <fgColor indexed="64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77111117893"/>
        <name val="Calibri"/>
        <family val="2"/>
        <scheme val="minor"/>
      </font>
      <fill>
        <patternFill patternType="solid">
          <fgColor indexed="64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77111117893"/>
        <name val="Calibri"/>
        <family val="2"/>
        <scheme val="minor"/>
      </font>
      <numFmt numFmtId="0" formatCode="General"/>
      <fill>
        <patternFill patternType="solid">
          <fgColor indexed="64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77111117893"/>
        <name val="Calibri"/>
        <family val="2"/>
        <scheme val="minor"/>
      </font>
      <fill>
        <patternFill patternType="solid">
          <fgColor indexed="64"/>
          <bgColor rgb="FFFFFFFF"/>
        </patternFill>
      </fill>
    </dxf>
    <dxf>
      <border outline="0"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/>
        <name val="Calibri"/>
        <family val="2"/>
        <scheme val="minor"/>
      </font>
      <fill>
        <patternFill patternType="solid">
          <fgColor indexed="64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77111117893"/>
        <name val="Calibri"/>
        <family val="2"/>
        <scheme val="minor"/>
      </font>
      <fill>
        <patternFill patternType="solid">
          <fgColor indexed="64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77111117893"/>
        <name val="Calibri"/>
        <family val="2"/>
        <scheme val="minor"/>
      </font>
      <fill>
        <patternFill patternType="solid">
          <fgColor indexed="64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77111117893"/>
        <name val="Calibri"/>
        <family val="2"/>
        <scheme val="minor"/>
      </font>
      <numFmt numFmtId="0" formatCode="General"/>
      <fill>
        <patternFill patternType="solid">
          <fgColor indexed="64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77111117893"/>
        <name val="Calibri"/>
        <family val="2"/>
        <scheme val="minor"/>
      </font>
      <fill>
        <patternFill patternType="solid">
          <fgColor indexed="64"/>
          <bgColor rgb="FFFFFFFF"/>
        </patternFill>
      </fill>
    </dxf>
    <dxf>
      <border outline="0"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/>
        <name val="Calibri"/>
        <family val="2"/>
        <scheme val="minor"/>
      </font>
      <fill>
        <patternFill patternType="solid">
          <fgColor indexed="64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77111117893"/>
        <name val="Calibri"/>
        <family val="2"/>
        <scheme val="minor"/>
      </font>
      <fill>
        <patternFill patternType="solid">
          <fgColor indexed="64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77111117893"/>
        <name val="Calibri"/>
        <family val="2"/>
        <scheme val="minor"/>
      </font>
      <fill>
        <patternFill patternType="solid">
          <fgColor indexed="64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77111117893"/>
        <name val="Calibri"/>
        <family val="2"/>
        <scheme val="minor"/>
      </font>
      <numFmt numFmtId="0" formatCode="General"/>
      <fill>
        <patternFill patternType="solid">
          <fgColor indexed="64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77111117893"/>
        <name val="Calibri"/>
        <family val="2"/>
        <scheme val="minor"/>
      </font>
      <fill>
        <patternFill patternType="solid">
          <fgColor indexed="64"/>
          <bgColor rgb="FFFFFFFF"/>
        </patternFill>
      </fill>
    </dxf>
    <dxf>
      <border outline="0"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/>
        <name val="Calibri"/>
        <family val="2"/>
        <scheme val="minor"/>
      </font>
      <fill>
        <patternFill patternType="solid">
          <fgColor indexed="64"/>
          <bgColor rgb="FFFFFFFF"/>
        </patternFill>
      </fill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3"/>
        </vertical>
        <horizontal style="thin">
          <color theme="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3"/>
        </vertical>
        <horizontal style="thin">
          <color theme="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/>
        <condense val="0"/>
        <extend val="0"/>
        <outline val="0"/>
        <shadow val="0"/>
        <u val="none"/>
        <vertAlign val="baseline"/>
        <sz val="10"/>
        <color theme="1" tint="0.24997711111789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/>
        <condense val="0"/>
        <extend val="0"/>
        <outline val="0"/>
        <shadow val="0"/>
        <u val="none"/>
        <vertAlign val="baseline"/>
        <sz val="10"/>
        <color theme="1" tint="0.24997711111789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3"/>
        </vertical>
        <horizontal style="thin">
          <color theme="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3"/>
        </vertical>
        <horizontal style="thin">
          <color theme="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3"/>
        </vertical>
        <horizontal style="thin">
          <color theme="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3"/>
        </vertical>
        <horizontal style="thin">
          <color theme="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3"/>
        </vertical>
        <horizontal style="thin">
          <color theme="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3"/>
        </vertical>
        <horizontal style="thin">
          <color theme="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3"/>
        </vertical>
        <horizontal style="thin">
          <color theme="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3"/>
        </vertical>
        <horizontal style="thin">
          <color theme="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3"/>
        </vertical>
        <horizontal style="thin">
          <color theme="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3"/>
        </vertical>
        <horizontal style="thin">
          <color theme="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3"/>
        </vertical>
        <horizontal style="thin">
          <color theme="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b/>
        <i val="0"/>
        <color theme="1"/>
      </font>
      <border>
        <left/>
        <right/>
        <top style="thin">
          <color theme="4"/>
        </top>
        <bottom/>
        <vertical/>
        <horizontal/>
      </border>
    </dxf>
    <dxf>
      <font>
        <b val="0"/>
        <i val="0"/>
        <color theme="4"/>
      </font>
      <border>
        <left/>
        <right/>
        <top/>
        <bottom style="thin">
          <color theme="4"/>
        </bottom>
        <vertical/>
        <horizontal/>
      </border>
    </dxf>
    <dxf>
      <font>
        <color theme="1" tint="0.249977111117893"/>
      </font>
    </dxf>
    <dxf>
      <font>
        <b/>
        <i val="0"/>
        <color theme="0"/>
      </font>
      <fill>
        <patternFill patternType="solid">
          <fgColor indexed="64"/>
          <bgColor theme="8"/>
        </patternFill>
      </fill>
    </dxf>
    <dxf>
      <font>
        <b val="0"/>
        <i val="0"/>
        <color theme="1" tint="0.249977111117893"/>
      </font>
    </dxf>
  </dxfs>
  <tableStyles count="2" defaultTableStyle="TableStyleMedium9" defaultPivotStyle="PivotStyleMedium4">
    <tableStyle name="sd worx 2" pivot="0" count="2" xr9:uid="{00000000-0011-0000-FFFF-FFFF00000000}">
      <tableStyleElement type="wholeTable" dxfId="148"/>
      <tableStyleElement type="headerRow" dxfId="147"/>
    </tableStyle>
    <tableStyle name="sdworx 1" pivot="0" count="3" xr9:uid="{00000000-0011-0000-FFFF-FFFF01000000}">
      <tableStyleElement type="wholeTable" dxfId="146"/>
      <tableStyleElement type="headerRow" dxfId="145"/>
      <tableStyleElement type="totalRow" dxfId="144"/>
    </tableStyle>
  </tableStyles>
  <colors>
    <mruColors>
      <color rgb="FFFF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iek Koornneef" id="{0E01DE76-3ABF-4CDE-94F8-13BAB8287CA6}" userId="S::Koornneef@DEHAASMAASSLUIS.NL::7691b9c6-beb4-42af-850b-26e18b553ca3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FF801B-DDAC-4048-82EE-6A1E3BDC863F}" name="Tabel1" displayName="Tabel1" ref="A1:V200" headerRowDxfId="143" dataDxfId="142">
  <autoFilter ref="A1:V200" xr:uid="{E6FF801B-DDAC-4048-82EE-6A1E3BDC863F}"/>
  <sortState xmlns:xlrd2="http://schemas.microsoft.com/office/spreadsheetml/2017/richdata2" ref="A2:V28">
    <sortCondition ref="A1:A28"/>
  </sortState>
  <tableColumns count="22">
    <tableColumn id="1" xr3:uid="{CAA81AAA-D733-44BD-A822-0FF5ADBEE41F}" name="SDW _x000a_Wage code" totalsRowLabel="Totaal" dataDxfId="141" totalsRowDxfId="140"/>
    <tableColumn id="2" xr3:uid="{C6B4D231-5F2C-4720-BA2C-21716DB80D72}" name="Existing code" dataDxfId="139" totalsRowDxfId="138"/>
    <tableColumn id="3" xr3:uid="{A5E3E801-324B-4BDD-B769-50CCF0B54279}" name="Description" dataDxfId="137" totalsRowDxfId="136"/>
    <tableColumn id="4" xr3:uid="{D75739FF-DEE9-4655-B926-03F58594003C}" name="Fixed" dataDxfId="135" totalsRowDxfId="134"/>
    <tableColumn id="5" xr3:uid="{C43F3FC3-F90F-4DA2-8BF6-2BDF10C159C6}" name="Variable" dataDxfId="133" totalsRowDxfId="132"/>
    <tableColumn id="6" xr3:uid="{A68DBE73-288A-42C2-BEA3-5AFE5ADC50C3}" name="Gross" dataDxfId="131" totalsRowDxfId="130"/>
    <tableColumn id="44" xr3:uid="{6DA9A80F-8A8B-4873-86AC-1F616DAB1447}" name="Nett_x000a_to Gross" dataDxfId="129" totalsRowDxfId="128"/>
    <tableColumn id="15" xr3:uid="{43FFB308-DBFE-4E53-9A0B-A2304AFF25C6}" name="Fiscal addition" dataDxfId="127" totalsRowDxfId="126"/>
    <tableColumn id="7" xr3:uid="{BDBB7050-1109-45B8-B3E0-5071BEC0C399}" name="Normal_x000a_Rate" dataDxfId="125" totalsRowDxfId="124"/>
    <tableColumn id="8" xr3:uid="{2C93176A-04D3-48A6-BF23-F1CAD53B0CD1}" name="Special_x000a_Rate" dataDxfId="123" totalsRowDxfId="122"/>
    <tableColumn id="9" xr3:uid="{7C9E1912-E8F1-49DB-B510-086E90418D17}" name="Nett" dataDxfId="121" totalsRowDxfId="120"/>
    <tableColumn id="13" xr3:uid="{F208A286-708E-4A65-824A-7A44F14994C9}" name="Input" dataDxfId="119" totalsRowDxfId="118"/>
    <tableColumn id="10" xr3:uid="{0AE25961-B78E-4842-8478-CFA37ACFC026}" name="Input type" dataDxfId="117" totalsRowDxfId="116"/>
    <tableColumn id="41" xr3:uid="{5B5EFD6E-BE6E-4EB0-ADBC-99DE28A4A139}" name="Calculation method_x000a_(when input type is hours/number)" dataDxfId="115" totalsRowDxfId="114"/>
    <tableColumn id="12" xr3:uid="{06C49484-1818-4399-81A2-37857041D3AD}" name="Earning/_x000a_Deduction" dataDxfId="113" totalsRowDxfId="112"/>
    <tableColumn id="45" xr3:uid="{8ABBA71D-1B67-4208-AE9D-13A0C7A7AFA9}" name="Labor Cost Scheme (WKR)" dataDxfId="111" totalsRowDxfId="110"/>
    <tableColumn id="46" xr3:uid="{C2A44B19-4DFC-45E3-A9FC-D5209CB85B10}" name="Basis for _x000a_pension" dataDxfId="109" totalsRowDxfId="108"/>
    <tableColumn id="11" xr3:uid="{3E57BD55-6389-49D2-BCB2-23F80CAFE38B}" name="Basis for _x000a_holliday allowance" dataDxfId="107" totalsRowDxfId="106"/>
    <tableColumn id="14" xr3:uid="{4DC9F6A0-1E48-4E56-864E-AD8980EDAB27}" name="Basis for _x000a_13th month" dataDxfId="105" totalsRowDxfId="104"/>
    <tableColumn id="48" xr3:uid="{9BD2B130-B699-41E1-B96B-015DF6BFEDC3}" name="Ledger accout_x000a_debit" dataDxfId="103" totalsRowDxfId="102"/>
    <tableColumn id="49" xr3:uid="{AF0786EE-9D85-4B3C-AB54-1D83E7BB14B4}" name="Ledger account_x000a_credit" dataDxfId="101" totalsRowDxfId="100"/>
    <tableColumn id="52" xr3:uid="{A3EF1D93-9AD5-40C5-B401-6C0646E705E7}" name="Remarks" dataDxfId="99" totalsRowDxfId="98"/>
  </tableColumns>
  <tableStyleInfo name="sd worx 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CA6170B-D571-4429-9C12-0E4285278255}" name="Tabel3" displayName="Tabel3" ref="A1:D241">
  <sortState xmlns:xlrd2="http://schemas.microsoft.com/office/spreadsheetml/2017/richdata2" ref="A2:D220">
    <sortCondition ref="B1:B220"/>
  </sortState>
  <tableColumns count="4">
    <tableColumn id="1" xr3:uid="{80B9D2CD-C5F7-43D8-8814-7ACCF39B35B0}" name="Value based on users choice" totalsRowLabel="Totaal" dataDxfId="97">
      <calculatedColumnFormula>IF(Explanation!$P$2="Nederlands",Tabel3[[#This Row],[Dutch]],Tabel3[[#This Row],[English]])</calculatedColumnFormula>
    </tableColumn>
    <tableColumn id="14" xr3:uid="{F7BABAC8-9DCA-4F8A-B506-B7188C5084AA}" name="Order" dataDxfId="96"/>
    <tableColumn id="2" xr3:uid="{0FAE8FC3-1A23-49A2-8032-61719E32C572}" name="Dutch"/>
    <tableColumn id="4" xr3:uid="{20A7F736-39A4-4DB3-8ACA-055E603BF23C}" name="English" totalsRowFunction="count"/>
  </tableColumns>
  <tableStyleInfo name="sdworx 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5870CB7-9E8B-45B4-81D8-5CA19DA1BCE5}" name="Tabel2" displayName="Tabel2" ref="A1:C3" totalsRowShown="0" headerRowDxfId="95" dataDxfId="93" headerRowBorderDxfId="94">
  <tableColumns count="3">
    <tableColumn id="1" xr3:uid="{3BFCC282-E3CA-48C1-91B1-62942BC525BF}" name="Preferred language" dataDxfId="92">
      <calculatedColumnFormula>IF(Explanation!$P$2="Nederlands",Tabel2[[#This Row],[Dutch]],Tabel2[[#This Row],[English]])</calculatedColumnFormula>
    </tableColumn>
    <tableColumn id="2" xr3:uid="{09E3D852-2931-4A4D-A16B-5744B22391C2}" name="Dutch" dataDxfId="91"/>
    <tableColumn id="3" xr3:uid="{C974A60C-B946-45AD-AAFA-BC4FADA6AEC5}" name="English" dataDxfId="90"/>
  </tableColumns>
  <tableStyleInfo name="sdworx 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C7EF4E2-8661-456B-BD16-D864B90BA1C8}" name="Tabel25" displayName="Tabel25" ref="A5:C7" totalsRowShown="0" headerRowDxfId="89" dataDxfId="87" headerRowBorderDxfId="88">
  <tableColumns count="3">
    <tableColumn id="1" xr3:uid="{659C7246-2467-4F5D-BDCB-307EED38DCFA}" name="Yes/No" dataDxfId="86">
      <calculatedColumnFormula>IF(Explanation!$P$2="Nederlands",Tabel25[[#This Row],[Dutch]],Tabel25[[#This Row],[English]])</calculatedColumnFormula>
    </tableColumn>
    <tableColumn id="2" xr3:uid="{135717CB-5A72-4320-BE7C-CE2BF67BA690}" name="Dutch" dataDxfId="85"/>
    <tableColumn id="3" xr3:uid="{3A0FD180-F4C3-4292-B853-E589B3025EAA}" name="English" dataDxfId="84"/>
  </tableColumns>
  <tableStyleInfo name="sdworx 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B759DFA-E27C-4F1B-879A-1E99FDC2904B}" name="Tabel256" displayName="Tabel256" ref="A9:C13" totalsRowShown="0" headerRowDxfId="83" dataDxfId="81" headerRowBorderDxfId="82">
  <tableColumns count="3">
    <tableColumn id="1" xr3:uid="{8CEB563F-47DF-4654-B5A6-72DAACB9C12E}" name="On-call employee" dataDxfId="80">
      <calculatedColumnFormula>IF(Explanation!$P$2="Nederlands",Tabel256[[#This Row],[Dutch]],Tabel256[[#This Row],[English]])</calculatedColumnFormula>
    </tableColumn>
    <tableColumn id="2" xr3:uid="{C815F792-9629-493B-BA1A-8123AA51B50F}" name="Dutch" dataDxfId="79"/>
    <tableColumn id="3" xr3:uid="{0EF02C6C-7047-46BE-B1B5-DBE81B6EC923}" name="English" dataDxfId="78"/>
  </tableColumns>
  <tableStyleInfo name="sdworx 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E3A60C1-36B2-4484-90B5-933D6CDC6D1F}" name="Tabel2567" displayName="Tabel2567" ref="A15:C18" totalsRowShown="0" headerRowDxfId="77" dataDxfId="75" headerRowBorderDxfId="76">
  <tableColumns count="3">
    <tableColumn id="1" xr3:uid="{56DFC07A-3C70-4708-AC6A-C0D5A0479B3E}" name="Proration calculation based on" dataDxfId="74">
      <calculatedColumnFormula>IF(Explanation!$P$2="Nederlands",Tabel2567[[#This Row],[Dutch]],Tabel2567[[#This Row],[English]])</calculatedColumnFormula>
    </tableColumn>
    <tableColumn id="2" xr3:uid="{DCB35C69-0842-427A-B9A8-A2C47D0A07A7}" name="Dutch" dataDxfId="73"/>
    <tableColumn id="3" xr3:uid="{85ECDB8C-B8F9-4154-AD8D-5EAF689CCA3A}" name="English" dataDxfId="72"/>
  </tableColumns>
  <tableStyleInfo name="sdworx 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560ACAA-D57F-4381-A752-BE845E90E8E9}" name="Tabel25678" displayName="Tabel25678" ref="A20:C23" totalsRowShown="0" headerRowDxfId="71" dataDxfId="69" headerRowBorderDxfId="70">
  <tableColumns count="3">
    <tableColumn id="1" xr3:uid="{372670C4-9F9F-4294-A945-C7E7E91F0887}" name="Wage period" dataDxfId="68">
      <calculatedColumnFormula>IF(Explanation!$P$2="Nederlands",Tabel25678[[#This Row],[Dutch]],Tabel25678[[#This Row],[English]])</calculatedColumnFormula>
    </tableColumn>
    <tableColumn id="2" xr3:uid="{ED416CFF-676D-45C0-A900-0A44F1573DBE}" name="Dutch" dataDxfId="67"/>
    <tableColumn id="3" xr3:uid="{105AB28E-44DA-49A3-BEE1-CB34F03BE2BA}" name="English" dataDxfId="66"/>
  </tableColumns>
  <tableStyleInfo name="sdworx 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2563E7F-6653-4E1C-B24C-B9CFB74590FF}" name="Tabel29" displayName="Tabel29" ref="A25:C27" totalsRowShown="0" headerRowDxfId="65" dataDxfId="63" headerRowBorderDxfId="64">
  <tableColumns count="3">
    <tableColumn id="1" xr3:uid="{BD3E2CF8-B2BC-438E-9809-5F56FF6980DC}" name="Preferred language 2" dataDxfId="62">
      <calculatedColumnFormula>IF(Explanation!$P$2="Nederlands",Tabel29[[#This Row],[Dutch]],Tabel29[[#This Row],[English]])</calculatedColumnFormula>
    </tableColumn>
    <tableColumn id="2" xr3:uid="{3018E723-95E8-4934-BEF4-94A7BC62B9B3}" name="Dutch" dataDxfId="61"/>
    <tableColumn id="3" xr3:uid="{F49B0105-BF75-4CF6-9A9F-2C1063FD7DB4}" name="English" dataDxfId="60"/>
  </tableColumns>
  <tableStyleInfo name="sdworx 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4CA8F9D-4123-4D20-800E-BCFA4791A866}" name="Tabel2910" displayName="Tabel2910" ref="A29:C31" totalsRowShown="0" headerRowDxfId="59" dataDxfId="57" headerRowBorderDxfId="58">
  <tableColumns count="3">
    <tableColumn id="1" xr3:uid="{A0CC4D3E-B621-4D65-AE93-84CE308FCE9D}" name="Payslip visible for employee" dataDxfId="56">
      <calculatedColumnFormula>IF(Explanation!$P$2="Nederlands",Tabel2910[[#This Row],[Dutch]],Tabel2910[[#This Row],[English]])</calculatedColumnFormula>
    </tableColumn>
    <tableColumn id="2" xr3:uid="{0762657D-B7FA-422A-A498-692F912F847B}" name="Dutch" dataDxfId="55"/>
    <tableColumn id="3" xr3:uid="{8FF435BF-84FB-4B63-8AAD-634A45A6E133}" name="English" dataDxfId="54"/>
  </tableColumns>
  <tableStyleInfo name="sdworx 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4A2F030-FAE7-432A-A693-1AFB6277C8E8}" name="Tabel291011" displayName="Tabel291011" ref="A33:C36" totalsRowShown="0" headerRowDxfId="53" dataDxfId="51" headerRowBorderDxfId="52">
  <tableColumns count="3">
    <tableColumn id="1" xr3:uid="{61F0D4EA-2BB1-4E41-BB27-C42EEDB0FF96}" name="Classification employer" dataDxfId="50">
      <calculatedColumnFormula>IF(Explanation!$P$2="Nederlands",Tabel291011[[#This Row],[Dutch]],Tabel291011[[#This Row],[English]])</calculatedColumnFormula>
    </tableColumn>
    <tableColumn id="2" xr3:uid="{788057D3-82FD-49E6-B6C7-3718C0045D56}" name="Dutch" dataDxfId="49"/>
    <tableColumn id="3" xr3:uid="{6B10DD79-5169-4A63-827C-C6F78F4009A7}" name="English" dataDxfId="48"/>
  </tableColumns>
  <tableStyleInfo name="sdworx 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BF3D3F6-23D4-4E5F-B88A-D4EA3C959C3A}" name="Tabel29101112" displayName="Tabel29101112" ref="A38:C42" totalsRowShown="0" headerRowDxfId="47" dataDxfId="45" headerRowBorderDxfId="46">
  <tableColumns count="3">
    <tableColumn id="1" xr3:uid="{5D1D1941-F798-40E2-BD65-D3FEFB8F70CD}" name="Own risk policy" dataDxfId="44">
      <calculatedColumnFormula>IF(Explanation!$P$2="Nederlands",Tabel29101112[[#This Row],[Dutch]],Tabel29101112[[#This Row],[English]])</calculatedColumnFormula>
    </tableColumn>
    <tableColumn id="2" xr3:uid="{749FE9D3-12F6-4861-AEDE-C178B0A4B14E}" name="Dutch" dataDxfId="43"/>
    <tableColumn id="3" xr3:uid="{92899DE3-C60C-48D1-8333-2005A5B20A92}" name="English" dataDxfId="42"/>
  </tableColumns>
  <tableStyleInfo name="sdworx 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F616DDC-4C9F-43C4-ADEE-1F4B329B9482}" name="Tabel2910111213" displayName="Tabel2910111213" ref="A44:C69" totalsRowShown="0" headerRowDxfId="41" dataDxfId="39" headerRowBorderDxfId="40">
  <tableColumns count="3">
    <tableColumn id="1" xr3:uid="{EF5B4A6A-DF32-46A1-B3FA-FEDF5CE411CB}" name="Period/Month" dataDxfId="38">
      <calculatedColumnFormula>IF(Explanation!$P$2="Nederlands",Tabel2910111213[[#This Row],[Dutch]],Tabel2910111213[[#This Row],[English]])</calculatedColumnFormula>
    </tableColumn>
    <tableColumn id="2" xr3:uid="{B6FFA3D3-5088-4674-92C5-8CA052C69EEC}" name="Dutch" dataDxfId="37"/>
    <tableColumn id="3" xr3:uid="{90F8BB52-5FF0-437F-863B-C229A526D1E2}" name="English" dataDxfId="36"/>
  </tableColumns>
  <tableStyleInfo name="sdworx 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9CCEF73-F451-4E32-89B1-482E023D6F4D}" name="Tabel29101114" displayName="Tabel29101114" ref="A71:C73" totalsRowShown="0" headerRowDxfId="35" dataDxfId="33" headerRowBorderDxfId="34">
  <tableColumns count="3">
    <tableColumn id="1" xr3:uid="{3542200E-EA72-4E36-8461-4E0E939E50E8}" name="At the beginning or end of the period" dataDxfId="32">
      <calculatedColumnFormula>IF(Explanation!$P$2="Nederlands",Tabel29101114[[#This Row],[Dutch]],Tabel29101114[[#This Row],[English]])</calculatedColumnFormula>
    </tableColumn>
    <tableColumn id="2" xr3:uid="{3BFB1CE3-EF5D-47C9-B3DF-48E24926F6CF}" name="Dutch" dataDxfId="31"/>
    <tableColumn id="3" xr3:uid="{5936208B-B603-4B8D-9C94-9BB69C475B4C}" name="English" dataDxfId="30"/>
  </tableColumns>
  <tableStyleInfo name="sdworx 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A0BB3F8-00A1-4785-A215-AD7A3E611F06}" name="Tabel2910111415" displayName="Tabel2910111415" ref="A75:C80" totalsRowShown="0" headerRowDxfId="29" dataDxfId="27" headerRowBorderDxfId="28">
  <tableColumns count="3">
    <tableColumn id="1" xr3:uid="{2490E55E-00B1-41F7-AEBA-1180DFBE84AF}" name="At the beginning or end of the period" dataDxfId="26">
      <calculatedColumnFormula>IF(Explanation!$P$2="Nederlands",Tabel2910111415[[#This Row],[Dutch]],Tabel2910111415[[#This Row],[English]])</calculatedColumnFormula>
    </tableColumn>
    <tableColumn id="2" xr3:uid="{4633BF8A-E46B-432A-9439-6E6FC856EB92}" name="Dutch" dataDxfId="25"/>
    <tableColumn id="3" xr3:uid="{6827646E-3AE4-4506-A8A8-C531405D9268}" name="English" dataDxfId="24"/>
  </tableColumns>
  <tableStyleInfo name="sdworx 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899E82B-6AC3-424D-A87A-4540CB042ED5}" name="Tabel2910111416" displayName="Tabel2910111416" ref="A82:C84" totalsRowShown="0" headerRowDxfId="23" dataDxfId="21" headerRowBorderDxfId="22">
  <tableColumns count="3">
    <tableColumn id="1" xr3:uid="{4F9A4E98-EC5C-4DF1-884F-DC827230E212}" name="Payment based on" dataDxfId="20">
      <calculatedColumnFormula>IF(Explanation!$P$2="Nederlands",Tabel2910111416[[#This Row],[Dutch]],Tabel2910111416[[#This Row],[English]])</calculatedColumnFormula>
    </tableColumn>
    <tableColumn id="2" xr3:uid="{B9BD6AC2-2C47-4037-85DD-E0507D6A7E4B}" name="Dutch" dataDxfId="19"/>
    <tableColumn id="3" xr3:uid="{7AA9DBCD-3BB6-445B-9440-CB8D7C17A837}" name="English" dataDxfId="18"/>
  </tableColumns>
  <tableStyleInfo name="sdworx 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539F12B-FC76-49E7-BB7D-9A3915891A6C}" name="Tabel291011141617" displayName="Tabel291011141617" ref="A86:C95" totalsRowShown="0" headerRowDxfId="17" dataDxfId="15" headerRowBorderDxfId="16">
  <tableColumns count="3">
    <tableColumn id="1" xr3:uid="{209F9615-4A35-47AE-A0CC-FA7BF11B265E}" name="Age determination" dataDxfId="14">
      <calculatedColumnFormula>IF(Explanation!$P$2="Nederlands",Tabel291011141617[[#This Row],[Dutch]],Tabel291011141617[[#This Row],[English]])</calculatedColumnFormula>
    </tableColumn>
    <tableColumn id="2" xr3:uid="{BA0B5259-4C7E-41CF-B48C-6E18C4885A48}" name="Dutch" dataDxfId="13"/>
    <tableColumn id="3" xr3:uid="{487C98F0-5693-4266-8218-DFCC1C1D34B1}" name="English" dataDxfId="12"/>
  </tableColumns>
  <tableStyleInfo name="sdworx 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B1849C0F-3DD7-4D2B-BE4F-F1CA3F08EB02}" name="Tabel291011141618" displayName="Tabel291011141618" ref="A97:C99" totalsRowShown="0" headerRowDxfId="11" dataDxfId="9" headerRowBorderDxfId="10">
  <tableColumns count="3">
    <tableColumn id="1" xr3:uid="{509AC030-E83C-454F-AF89-9A40326165CF}" name="Payment based on" dataDxfId="8">
      <calculatedColumnFormula>IF(Explanation!$P$2="Nederlands",Tabel291011141618[[#This Row],[Dutch]],Tabel291011141618[[#This Row],[English]])</calculatedColumnFormula>
    </tableColumn>
    <tableColumn id="2" xr3:uid="{17D681C2-A814-41BF-A726-F67CB4053AE6}" name="Dutch" dataDxfId="7"/>
    <tableColumn id="3" xr3:uid="{6968845A-E82C-4557-948D-8C58DB31F5A6}" name="English" dataDxfId="6"/>
  </tableColumns>
  <tableStyleInfo name="sdworx 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6E273825-68A9-4DD0-94F9-EC2FB8F56FAB}" name="Tabel29101114161819" displayName="Tabel29101114161819" ref="A101:C104" totalsRowShown="0" headerRowDxfId="5" dataDxfId="3" headerRowBorderDxfId="4">
  <tableColumns count="3">
    <tableColumn id="1" xr3:uid="{39CBFEFB-059A-478F-9A03-25DBEF18AEBA}" name="Payment based on" dataDxfId="2">
      <calculatedColumnFormula>IF(Explanation!$P$2="Nederlands",Tabel29101114161819[[#This Row],[Dutch]],Tabel29101114161819[[#This Row],[English]])</calculatedColumnFormula>
    </tableColumn>
    <tableColumn id="2" xr3:uid="{0C1F5DEF-7A41-4D36-A221-0C7FC7705E54}" name="Dutch" dataDxfId="1"/>
    <tableColumn id="3" xr3:uid="{9653847D-FCC4-40C0-A626-6BEEB797AD61}" name="English" dataDxfId="0"/>
  </tableColumns>
  <tableStyleInfo name="sdworx 1" showFirstColumn="0" showLastColumn="0" showRowStripes="1" showColumnStripes="0"/>
</table>
</file>

<file path=xl/theme/theme1.xml><?xml version="1.0" encoding="utf-8"?>
<a:theme xmlns:a="http://schemas.openxmlformats.org/drawingml/2006/main" name="sdworx 2016">
  <a:themeElements>
    <a:clrScheme name="sdworx 2016 2">
      <a:dk1>
        <a:srgbClr val="000000"/>
      </a:dk1>
      <a:lt1>
        <a:srgbClr val="FFFFFF"/>
      </a:lt1>
      <a:dk2>
        <a:srgbClr val="C8C9CC"/>
      </a:dk2>
      <a:lt2>
        <a:srgbClr val="EEECE1"/>
      </a:lt2>
      <a:accent1>
        <a:srgbClr val="DB4303"/>
      </a:accent1>
      <a:accent2>
        <a:srgbClr val="74787A"/>
      </a:accent2>
      <a:accent3>
        <a:srgbClr val="F5A900"/>
      </a:accent3>
      <a:accent4>
        <a:srgbClr val="E60036"/>
      </a:accent4>
      <a:accent5>
        <a:srgbClr val="7A2653"/>
      </a:accent5>
      <a:accent6>
        <a:srgbClr val="F79646"/>
      </a:accent6>
      <a:hlink>
        <a:srgbClr val="C7C7C6"/>
      </a:hlink>
      <a:folHlink>
        <a:srgbClr val="800080"/>
      </a:folHlink>
    </a:clrScheme>
    <a:fontScheme name="Office">
      <a:maj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dworx_ppt_TMP" id="{C0B00F67-8A01-764C-A2EF-F8A5B59F19AE}" vid="{0E319203-55C6-B742-9DB0-44786E23B242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2" dT="2023-10-24T11:09:38.77" personId="{0E01DE76-3ABF-4CDE-94F8-13BAB8287CA6}" id="{413B352A-45EF-4B16-ACE7-7B1FF75242DA}">
    <text>Geen idee welke sector het is. Waar kunnen we dit terugvinden?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5.bin"/><Relationship Id="rId5" Type="http://schemas.openxmlformats.org/officeDocument/2006/relationships/comments" Target="../comments3.xml"/><Relationship Id="rId4" Type="http://schemas.openxmlformats.org/officeDocument/2006/relationships/table" Target="../tables/table1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table" Target="../tables/table9.xml"/><Relationship Id="rId13" Type="http://schemas.openxmlformats.org/officeDocument/2006/relationships/table" Target="../tables/table14.xml"/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12" Type="http://schemas.openxmlformats.org/officeDocument/2006/relationships/table" Target="../tables/table13.xml"/><Relationship Id="rId17" Type="http://schemas.openxmlformats.org/officeDocument/2006/relationships/table" Target="../tables/table18.xml"/><Relationship Id="rId2" Type="http://schemas.openxmlformats.org/officeDocument/2006/relationships/table" Target="../tables/table3.xml"/><Relationship Id="rId16" Type="http://schemas.openxmlformats.org/officeDocument/2006/relationships/table" Target="../tables/table17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7.xml"/><Relationship Id="rId11" Type="http://schemas.openxmlformats.org/officeDocument/2006/relationships/table" Target="../tables/table12.xml"/><Relationship Id="rId5" Type="http://schemas.openxmlformats.org/officeDocument/2006/relationships/table" Target="../tables/table6.xml"/><Relationship Id="rId15" Type="http://schemas.openxmlformats.org/officeDocument/2006/relationships/table" Target="../tables/table16.xml"/><Relationship Id="rId10" Type="http://schemas.openxmlformats.org/officeDocument/2006/relationships/table" Target="../tables/table11.xml"/><Relationship Id="rId4" Type="http://schemas.openxmlformats.org/officeDocument/2006/relationships/table" Target="../tables/table5.xml"/><Relationship Id="rId9" Type="http://schemas.openxmlformats.org/officeDocument/2006/relationships/table" Target="../tables/table10.xml"/><Relationship Id="rId14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Q29"/>
  <sheetViews>
    <sheetView showGridLines="0" showRuler="0" zoomScaleNormal="100" zoomScalePageLayoutView="90" workbookViewId="0">
      <selection activeCell="B23" sqref="B23"/>
    </sheetView>
  </sheetViews>
  <sheetFormatPr defaultColWidth="7.5" defaultRowHeight="16.899999999999999" customHeight="1" x14ac:dyDescent="0.2"/>
  <cols>
    <col min="1" max="16384" width="7.5" style="21"/>
  </cols>
  <sheetData>
    <row r="1" spans="1:17" ht="16.899999999999999" customHeight="1" x14ac:dyDescent="0.2">
      <c r="A1" s="136" t="str">
        <f>Languages!A3</f>
        <v>Payroll inventarisatie document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9" t="str">
        <f>Languages!A2</f>
        <v>Voorkeurstaal document:</v>
      </c>
      <c r="O1" s="139"/>
      <c r="P1" s="139"/>
      <c r="Q1" s="139"/>
    </row>
    <row r="2" spans="1:17" ht="16.899999999999999" customHeight="1" x14ac:dyDescent="0.2">
      <c r="A2" s="137"/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17"/>
      <c r="O2" s="117"/>
      <c r="P2" s="138" t="s">
        <v>0</v>
      </c>
      <c r="Q2" s="138"/>
    </row>
    <row r="3" spans="1:17" ht="16.899999999999999" customHeight="1" x14ac:dyDescent="0.2">
      <c r="A3" s="55" t="str">
        <f>Languages!A4</f>
        <v>De gegevens in dit Excel-document zullen worden gebruikt voor de inrichting van het HRM- en salarissysteem (Cobra)</v>
      </c>
    </row>
    <row r="4" spans="1:17" ht="16.899999999999999" customHeight="1" x14ac:dyDescent="0.2">
      <c r="A4" s="55" t="str">
        <f>Languages!A5</f>
        <v>Het is belangrijk dat alle tabbladen worden ingevuld. Als een veld niet van toepassing is, geef dat dan aan met NVT</v>
      </c>
      <c r="G4" s="22"/>
      <c r="H4" s="23"/>
      <c r="I4" s="23"/>
      <c r="J4" s="23"/>
      <c r="K4" s="23"/>
      <c r="L4" s="23"/>
      <c r="M4" s="23"/>
      <c r="N4" s="23"/>
    </row>
    <row r="5" spans="1:17" ht="16.899999999999999" customHeight="1" x14ac:dyDescent="0.2">
      <c r="A5" s="56" t="str">
        <f>Languages!A6</f>
        <v>Als het niet helemaal duidelijk is wat er moet worden ingevuld, neem dan contact op met uw contactpersoon binnen SDWorx</v>
      </c>
      <c r="B5" s="24"/>
      <c r="C5" s="24"/>
      <c r="D5" s="24"/>
      <c r="E5" s="25"/>
      <c r="G5" s="25"/>
      <c r="H5" s="24"/>
      <c r="I5" s="24"/>
      <c r="J5" s="24"/>
      <c r="K5" s="25"/>
    </row>
    <row r="6" spans="1:17" ht="16.899999999999999" customHeight="1" x14ac:dyDescent="0.2">
      <c r="A6" s="56" t="str">
        <f>Languages!A7</f>
        <v>Onderaan elke pagina is een opmerkingen veld opgenomen voor aanvullende informatie en uitleg</v>
      </c>
      <c r="B6" s="24"/>
      <c r="C6" s="24"/>
      <c r="D6" s="24"/>
      <c r="E6" s="25"/>
      <c r="G6" s="25"/>
      <c r="H6" s="24"/>
      <c r="I6" s="24"/>
      <c r="J6" s="24"/>
      <c r="K6" s="25"/>
    </row>
    <row r="7" spans="1:17" ht="16.899999999999999" customHeight="1" x14ac:dyDescent="0.2">
      <c r="A7" s="25"/>
      <c r="B7" s="24"/>
      <c r="C7" s="24"/>
      <c r="D7" s="24"/>
      <c r="E7" s="25"/>
      <c r="G7" s="25"/>
      <c r="H7" s="24"/>
      <c r="I7" s="24"/>
      <c r="J7" s="24"/>
      <c r="K7" s="25"/>
    </row>
    <row r="8" spans="1:17" ht="16.899999999999999" customHeight="1" x14ac:dyDescent="0.2">
      <c r="A8" s="57" t="str">
        <f>Tabel3[[#This Row],[Value based on users choice]]</f>
        <v>Indien dit document niet volledig is ingevuld kunnen we helaas niet starten met de (payroll) inrichting</v>
      </c>
      <c r="B8" s="26"/>
      <c r="C8" s="24"/>
      <c r="D8" s="24"/>
      <c r="E8" s="25"/>
      <c r="G8" s="25"/>
      <c r="H8" s="24"/>
      <c r="I8" s="24"/>
      <c r="J8" s="24"/>
      <c r="K8" s="25"/>
    </row>
    <row r="9" spans="1:17" ht="16.899999999999999" customHeight="1" x14ac:dyDescent="0.2">
      <c r="A9" s="57" t="str">
        <f>Tabel3[[#This Row],[Value based on users choice]]</f>
        <v>omdat aanpassingen in een later stadium complex zijn om door te voeren en onnodige vertragingen veroorzaken</v>
      </c>
      <c r="E9" s="27"/>
      <c r="G9" s="27"/>
      <c r="K9" s="27"/>
    </row>
    <row r="11" spans="1:17" ht="16.899999999999999" customHeight="1" x14ac:dyDescent="0.25">
      <c r="A11" s="28" t="str">
        <f>Languages!A10</f>
        <v>Opstart documenten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</row>
    <row r="12" spans="1:17" ht="16.899999999999999" customHeight="1" x14ac:dyDescent="0.2">
      <c r="A12" s="55" t="str">
        <f>Languages!A11</f>
        <v>Voor de juiste opstart van de payroll hebben wij ook de volgende documenten nodig:</v>
      </c>
      <c r="B12" s="24"/>
    </row>
    <row r="13" spans="1:17" ht="16.899999999999999" customHeight="1" x14ac:dyDescent="0.2">
      <c r="A13" s="58" t="str">
        <f>Languages!A12</f>
        <v>Kopie beschikking WHK premie lopend jaar</v>
      </c>
      <c r="B13" s="24"/>
    </row>
    <row r="14" spans="1:17" ht="16.899999999999999" customHeight="1" x14ac:dyDescent="0.2">
      <c r="A14" s="58" t="str">
        <f>Languages!A13</f>
        <v>Kopie historisch overzicht vorig jaar</v>
      </c>
      <c r="B14" s="24"/>
    </row>
    <row r="15" spans="1:17" ht="16.899999999999999" customHeight="1" x14ac:dyDescent="0.2">
      <c r="A15" s="58" t="str">
        <f>Languages!A14</f>
        <v>Kopie loonstroken (van de laatste maand, in ieder geval een “standaard” maand)</v>
      </c>
      <c r="B15" s="24"/>
    </row>
    <row r="16" spans="1:17" ht="16.899999999999999" customHeight="1" x14ac:dyDescent="0.2">
      <c r="A16" s="58" t="str">
        <f>Languages!A15</f>
        <v>Kopie van de overige output van de laatste reguliere salarisadministratie</v>
      </c>
      <c r="B16" s="24"/>
    </row>
    <row r="17" spans="1:11" ht="16.899999999999999" customHeight="1" x14ac:dyDescent="0.2">
      <c r="A17" s="58" t="str">
        <f>Languages!A16</f>
        <v>Kopie pensioenregeling (indien van toepassing)</v>
      </c>
      <c r="B17" s="24"/>
    </row>
    <row r="18" spans="1:11" ht="16.899999999999999" customHeight="1" x14ac:dyDescent="0.2">
      <c r="A18" s="58" t="str">
        <f>Languages!A17</f>
        <v>Kopie WIA (excedent)regeling (indien van toepassing) (en/of andere regelingen)</v>
      </c>
      <c r="B18" s="24"/>
    </row>
    <row r="19" spans="1:11" ht="16.899999999999999" customHeight="1" x14ac:dyDescent="0.2">
      <c r="A19" s="58" t="str">
        <f>Languages!A18</f>
        <v>Kopie van het grootboekschema, laatste journaalpost (rapport en importbestand)</v>
      </c>
      <c r="B19" s="24"/>
    </row>
    <row r="20" spans="1:11" ht="16.899999999999999" customHeight="1" x14ac:dyDescent="0.2">
      <c r="A20" s="59" t="str">
        <f>Languages!A19</f>
        <v>Salarisschalen indien van toepassing</v>
      </c>
      <c r="B20" s="24"/>
    </row>
    <row r="21" spans="1:11" ht="16.899999999999999" customHeight="1" x14ac:dyDescent="0.2">
      <c r="A21" s="59" t="str">
        <f>Languages!A20</f>
        <v>Organogram (indien beschikbaar)?</v>
      </c>
      <c r="B21" s="24"/>
    </row>
    <row r="22" spans="1:11" ht="16.899999999999999" customHeight="1" x14ac:dyDescent="0.2">
      <c r="A22" s="59" t="str">
        <f>Languages!A21</f>
        <v>De vijf meest complexe loonstroken</v>
      </c>
      <c r="B22" s="24"/>
      <c r="C22" s="24"/>
      <c r="D22" s="24"/>
      <c r="E22" s="24"/>
      <c r="F22" s="24"/>
      <c r="G22" s="24"/>
      <c r="H22" s="24"/>
      <c r="I22" s="24"/>
      <c r="J22" s="25"/>
      <c r="K22" s="25"/>
    </row>
    <row r="23" spans="1:11" ht="16.899999999999999" customHeight="1" x14ac:dyDescent="0.2">
      <c r="A23" s="59" t="str">
        <f>Languages!A22</f>
        <v>Indien van toepassing de CAO</v>
      </c>
      <c r="B23" s="24"/>
      <c r="C23" s="24"/>
      <c r="D23" s="24"/>
      <c r="E23" s="24"/>
      <c r="F23" s="24"/>
      <c r="G23" s="24"/>
      <c r="H23" s="24"/>
      <c r="I23" s="24"/>
      <c r="J23" s="25"/>
      <c r="K23" s="25"/>
    </row>
    <row r="24" spans="1:11" ht="16.899999999999999" customHeight="1" x14ac:dyDescent="0.2">
      <c r="A24" s="59" t="str">
        <f>Languages!A23</f>
        <v>Indien van toepassing de regeling individueel keuzebudget (IKB).</v>
      </c>
      <c r="B24" s="24"/>
      <c r="C24" s="24"/>
      <c r="D24" s="24"/>
      <c r="E24" s="24"/>
      <c r="F24" s="24"/>
      <c r="G24" s="24"/>
      <c r="H24" s="24"/>
      <c r="I24" s="24"/>
      <c r="J24" s="25"/>
      <c r="K24" s="25"/>
    </row>
    <row r="25" spans="1:11" ht="16.899999999999999" customHeight="1" x14ac:dyDescent="0.2">
      <c r="A25" s="59" t="str">
        <f>Languages!A66</f>
        <v>Overzicht van de functiecodes en omschrijvingen (lang en kort)</v>
      </c>
      <c r="C25" s="24"/>
      <c r="D25" s="24"/>
      <c r="E25" s="24"/>
      <c r="F25" s="24"/>
      <c r="G25" s="24"/>
      <c r="H25" s="24"/>
      <c r="I25" s="24"/>
      <c r="J25" s="25"/>
      <c r="K25" s="25"/>
    </row>
    <row r="26" spans="1:11" ht="16.899999999999999" customHeight="1" x14ac:dyDescent="0.2">
      <c r="A26" s="60"/>
      <c r="B26" s="61"/>
      <c r="J26" s="27"/>
      <c r="K26" s="27"/>
    </row>
    <row r="27" spans="1:11" ht="16.899999999999999" customHeight="1" x14ac:dyDescent="0.2">
      <c r="A27" s="60" t="str">
        <f>Languages!A24</f>
        <v>OPMERKING:</v>
      </c>
      <c r="B27" s="61"/>
    </row>
    <row r="28" spans="1:11" ht="16.7" customHeight="1" x14ac:dyDescent="0.2">
      <c r="A28" s="60" t="str">
        <f>Languages!A25</f>
        <v>Indien de organisatie uit meerdere BV's (betaalgroepen) bestaat, gelieve dan voor elke BV een inventarisatiedocument in te vullen.</v>
      </c>
      <c r="B28" s="61"/>
    </row>
    <row r="29" spans="1:11" ht="16.899999999999999" customHeight="1" x14ac:dyDescent="0.2">
      <c r="A29" s="60" t="str">
        <f>Languages!A26</f>
        <v>Indien de bedrijfsregelingen identiek zijn, dan kunt u dit aangeven bij de opmerkingen.</v>
      </c>
      <c r="B29" s="27"/>
    </row>
  </sheetData>
  <sheetProtection algorithmName="SHA-512" hashValue="FwJIUZ3w3Lxs+qEzcna0/Mi5g61hWQL+Zv1u2X2dY3iPq47hzlvuh/l5CzTaenP90mWzzazesv/KpxCEr0gZzQ==" saltValue="gP0dUdka0aKXl4eHnrUCjQ==" spinCount="100000" sheet="1" objects="1" scenarios="1"/>
  <protectedRanges>
    <protectedRange sqref="P2:Q2" name="Bereik1"/>
  </protectedRanges>
  <mergeCells count="3">
    <mergeCell ref="A1:M2"/>
    <mergeCell ref="P2:Q2"/>
    <mergeCell ref="N1:Q1"/>
  </mergeCells>
  <phoneticPr fontId="1" type="noConversion"/>
  <pageMargins left="0.39370078740157483" right="0.39370078740157483" top="0.39370078740157483" bottom="0.98425196850393704" header="0" footer="0.39370078740157483"/>
  <pageSetup paperSize="9" orientation="landscape" horizontalDpi="4294967292" verticalDpi="4294967292" r:id="rId1"/>
  <headerFooter>
    <oddFooter>&amp;L&amp;"Calibri,Standaard"&amp;K000000&amp;G</oddFooter>
  </headerFooter>
  <legacyDrawingHF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xr:uid="{54115594-1E9A-445A-826C-0AD1B9511044}">
          <x14:formula1>
            <xm:f>'Validation values'!$A$2:$A$3</xm:f>
          </x14:formula1>
          <xm:sqref>P2:Q2</xm:sqref>
        </x14:dataValidation>
      </x14:dataValidations>
    </ext>
    <ext xmlns:mx="http://schemas.microsoft.com/office/mac/excel/2008/main" uri="{64002731-A6B0-56B0-2670-7721B7C09600}">
      <mx:PLV Mode="1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FE6A7-D753-4EDD-AEE3-05DA0F570E84}">
  <sheetPr>
    <tabColor rgb="FFFFC000"/>
  </sheetPr>
  <dimension ref="A1:W29"/>
  <sheetViews>
    <sheetView showGridLines="0" showRuler="0" zoomScaleNormal="100" zoomScalePageLayoutView="90" workbookViewId="0">
      <selection activeCell="E17" sqref="E17:G18"/>
    </sheetView>
  </sheetViews>
  <sheetFormatPr defaultColWidth="11.625" defaultRowHeight="16.899999999999999" customHeight="1" x14ac:dyDescent="0.2"/>
  <cols>
    <col min="1" max="4" width="7.375" style="21" customWidth="1"/>
    <col min="5" max="7" width="10.625" style="21" customWidth="1"/>
    <col min="8" max="8" width="5" style="21" customWidth="1"/>
    <col min="9" max="11" width="7.375" style="21" customWidth="1"/>
    <col min="12" max="12" width="1.75" style="21" customWidth="1"/>
    <col min="13" max="22" width="3" style="21" customWidth="1"/>
    <col min="23" max="23" width="2.875" style="21" customWidth="1"/>
    <col min="24" max="16384" width="11.625" style="21"/>
  </cols>
  <sheetData>
    <row r="1" spans="1:23" ht="16.899999999999999" customHeight="1" x14ac:dyDescent="0.25">
      <c r="A1" s="28" t="str">
        <f>Languages!A27</f>
        <v>Algemene bedrijfsgegevens</v>
      </c>
      <c r="B1" s="28"/>
      <c r="C1" s="28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</row>
    <row r="2" spans="1:23" ht="16.899999999999999" customHeight="1" x14ac:dyDescent="0.2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1"/>
      <c r="M2" s="31"/>
      <c r="N2" s="31"/>
      <c r="O2" s="31"/>
    </row>
    <row r="3" spans="1:23" ht="16.899999999999999" customHeight="1" x14ac:dyDescent="0.2">
      <c r="A3" s="32" t="str">
        <f>Languages!A28</f>
        <v>Bedrijf</v>
      </c>
      <c r="B3" s="32"/>
      <c r="C3" s="32"/>
      <c r="D3" s="36"/>
      <c r="E3" s="36"/>
      <c r="F3" s="36"/>
      <c r="G3" s="36"/>
      <c r="H3" s="36"/>
      <c r="I3" s="32" t="str">
        <f>Languages!A45</f>
        <v>Bank gegevens</v>
      </c>
      <c r="J3" s="32"/>
      <c r="K3" s="32"/>
      <c r="L3" s="33"/>
      <c r="M3" s="33"/>
      <c r="N3" s="33"/>
      <c r="O3" s="33"/>
    </row>
    <row r="4" spans="1:23" ht="16.899999999999999" customHeight="1" x14ac:dyDescent="0.2">
      <c r="A4" s="36" t="str">
        <f>Languages!A29</f>
        <v>Naam</v>
      </c>
      <c r="B4" s="36"/>
      <c r="C4" s="36"/>
      <c r="D4" s="36"/>
      <c r="E4" s="140"/>
      <c r="F4" s="140"/>
      <c r="G4" s="140"/>
      <c r="H4" s="36"/>
      <c r="I4" s="34" t="str">
        <f>Languages!A46</f>
        <v>SEPA betaalbestand t.b.v. nettolonen</v>
      </c>
      <c r="J4" s="34"/>
      <c r="K4" s="34"/>
      <c r="L4" s="36"/>
      <c r="M4" s="33"/>
      <c r="N4" s="33"/>
      <c r="O4" s="33"/>
    </row>
    <row r="5" spans="1:23" ht="16.899999999999999" customHeight="1" x14ac:dyDescent="0.2">
      <c r="A5" s="36" t="str">
        <f>Languages!A30</f>
        <v>Adres</v>
      </c>
      <c r="B5" s="36"/>
      <c r="C5" s="36"/>
      <c r="D5" s="36"/>
      <c r="E5" s="140"/>
      <c r="F5" s="140"/>
      <c r="G5" s="140"/>
      <c r="H5" s="36"/>
      <c r="I5" s="36" t="str">
        <f>Languages!A47</f>
        <v>IBAN-rekeningnummer</v>
      </c>
      <c r="J5" s="36"/>
      <c r="K5" s="36"/>
      <c r="L5" s="36"/>
      <c r="M5" s="141"/>
      <c r="N5" s="142"/>
      <c r="O5" s="142"/>
      <c r="P5" s="142"/>
      <c r="Q5" s="142"/>
      <c r="R5" s="142"/>
      <c r="S5" s="142"/>
      <c r="T5" s="142"/>
      <c r="U5" s="142"/>
      <c r="V5" s="143"/>
    </row>
    <row r="6" spans="1:23" ht="16.899999999999999" customHeight="1" x14ac:dyDescent="0.2">
      <c r="A6" s="36" t="str">
        <f>Languages!A31</f>
        <v>Nummer</v>
      </c>
      <c r="B6" s="36"/>
      <c r="C6" s="36"/>
      <c r="D6" s="36"/>
      <c r="E6" s="140"/>
      <c r="F6" s="140"/>
      <c r="G6" s="140"/>
      <c r="H6" s="36"/>
      <c r="I6" s="36" t="str">
        <f>Languages!A48</f>
        <v>Naam bank</v>
      </c>
      <c r="J6" s="36"/>
      <c r="K6" s="36"/>
      <c r="L6" s="36"/>
      <c r="M6" s="141"/>
      <c r="N6" s="142"/>
      <c r="O6" s="142"/>
      <c r="P6" s="142"/>
      <c r="Q6" s="142"/>
      <c r="R6" s="142"/>
      <c r="S6" s="142"/>
      <c r="T6" s="142"/>
      <c r="U6" s="142"/>
      <c r="V6" s="143"/>
    </row>
    <row r="7" spans="1:23" ht="16.899999999999999" customHeight="1" x14ac:dyDescent="0.2">
      <c r="A7" s="36" t="str">
        <f>Languages!A32</f>
        <v>Postcode</v>
      </c>
      <c r="B7" s="36"/>
      <c r="C7" s="36"/>
      <c r="D7" s="36"/>
      <c r="E7" s="140"/>
      <c r="F7" s="140"/>
      <c r="G7" s="140"/>
      <c r="H7" s="36"/>
      <c r="I7" s="36" t="str">
        <f>Languages!A49</f>
        <v>BIC code</v>
      </c>
      <c r="J7" s="36"/>
      <c r="K7" s="36"/>
      <c r="L7" s="36"/>
      <c r="M7" s="141"/>
      <c r="N7" s="142"/>
      <c r="O7" s="142"/>
      <c r="P7" s="142"/>
      <c r="Q7" s="142"/>
      <c r="R7" s="142"/>
      <c r="S7" s="142"/>
      <c r="T7" s="142"/>
      <c r="U7" s="142"/>
      <c r="V7" s="143"/>
    </row>
    <row r="8" spans="1:23" ht="16.899999999999999" customHeight="1" x14ac:dyDescent="0.2">
      <c r="A8" s="36" t="str">
        <f>Languages!A33</f>
        <v>Plaats</v>
      </c>
      <c r="B8" s="36"/>
      <c r="C8" s="36"/>
      <c r="D8" s="36"/>
      <c r="E8" s="140"/>
      <c r="F8" s="140"/>
      <c r="G8" s="140"/>
      <c r="H8" s="36"/>
      <c r="I8" s="94" t="str">
        <f>Languages!A50</f>
        <v>Alleen als de bank niet in de IBAN zone zit</v>
      </c>
      <c r="J8" s="36"/>
      <c r="K8" s="36"/>
      <c r="L8" s="36"/>
      <c r="M8" s="36"/>
      <c r="N8" s="36"/>
      <c r="O8" s="36"/>
    </row>
    <row r="9" spans="1:23" ht="16.899999999999999" customHeight="1" x14ac:dyDescent="0.2">
      <c r="A9" s="36"/>
      <c r="B9" s="36"/>
      <c r="C9" s="36"/>
      <c r="D9" s="36"/>
      <c r="E9" s="36"/>
      <c r="F9" s="36"/>
      <c r="G9" s="36"/>
      <c r="H9" s="36"/>
    </row>
    <row r="10" spans="1:23" ht="16.899999999999999" customHeight="1" x14ac:dyDescent="0.2">
      <c r="A10" s="32" t="str">
        <f>Languages!A34</f>
        <v>Contactpersoon</v>
      </c>
      <c r="B10" s="32"/>
      <c r="C10" s="32"/>
      <c r="D10" s="33"/>
      <c r="E10" s="33"/>
      <c r="F10" s="33"/>
      <c r="G10" s="33"/>
      <c r="H10" s="36"/>
      <c r="I10" s="32" t="str">
        <f>Languages!A51</f>
        <v>Bedrijfsinstellingen</v>
      </c>
      <c r="J10" s="32"/>
      <c r="K10" s="32"/>
      <c r="L10" s="36"/>
      <c r="M10" s="36"/>
      <c r="N10" s="36"/>
      <c r="O10" s="36"/>
    </row>
    <row r="11" spans="1:23" ht="16.899999999999999" customHeight="1" x14ac:dyDescent="0.2">
      <c r="A11" s="36" t="str">
        <f>Languages!A29</f>
        <v>Naam</v>
      </c>
      <c r="B11" s="33"/>
      <c r="C11" s="33"/>
      <c r="D11" s="33"/>
      <c r="E11" s="140"/>
      <c r="F11" s="140"/>
      <c r="G11" s="140"/>
      <c r="H11" s="33"/>
      <c r="I11" s="36" t="str">
        <f>Languages!A52</f>
        <v>Collectieve arbeidsovk (CAO)</v>
      </c>
      <c r="J11" s="35"/>
      <c r="K11" s="35"/>
      <c r="L11" s="36"/>
      <c r="M11" s="141"/>
      <c r="N11" s="142"/>
      <c r="O11" s="142"/>
      <c r="P11" s="142"/>
      <c r="Q11" s="142"/>
      <c r="R11" s="142"/>
      <c r="S11" s="142"/>
      <c r="T11" s="142"/>
      <c r="U11" s="142"/>
      <c r="V11" s="143"/>
    </row>
    <row r="12" spans="1:23" ht="16.899999999999999" customHeight="1" x14ac:dyDescent="0.2">
      <c r="A12" s="36" t="str">
        <f>Languages!A35</f>
        <v>Afdeling</v>
      </c>
      <c r="B12" s="33"/>
      <c r="C12" s="33"/>
      <c r="D12" s="33"/>
      <c r="E12" s="140"/>
      <c r="F12" s="140"/>
      <c r="G12" s="140"/>
      <c r="H12" s="33"/>
      <c r="I12" s="36" t="str">
        <f>Languages!A53</f>
        <v>Uren per jaar</v>
      </c>
      <c r="J12" s="33"/>
      <c r="K12" s="33"/>
      <c r="L12" s="33"/>
      <c r="M12" s="141"/>
      <c r="N12" s="142"/>
      <c r="O12" s="142"/>
      <c r="P12" s="142"/>
      <c r="Q12" s="142"/>
      <c r="R12" s="142"/>
      <c r="S12" s="142"/>
      <c r="T12" s="142"/>
      <c r="U12" s="142"/>
      <c r="V12" s="143"/>
    </row>
    <row r="13" spans="1:23" ht="16.899999999999999" customHeight="1" x14ac:dyDescent="0.2">
      <c r="A13" s="36" t="str">
        <f>Languages!A36</f>
        <v>Telefoon</v>
      </c>
      <c r="B13" s="33"/>
      <c r="C13" s="33"/>
      <c r="D13" s="35"/>
      <c r="E13" s="140"/>
      <c r="F13" s="140"/>
      <c r="G13" s="140"/>
      <c r="H13" s="33"/>
      <c r="I13" s="36" t="str">
        <f>Languages!A54</f>
        <v>Uren per week</v>
      </c>
      <c r="J13" s="33"/>
      <c r="K13" s="33"/>
      <c r="L13" s="33"/>
      <c r="M13" s="141"/>
      <c r="N13" s="142"/>
      <c r="O13" s="142"/>
      <c r="P13" s="142"/>
      <c r="Q13" s="142"/>
      <c r="R13" s="142"/>
      <c r="S13" s="142"/>
      <c r="T13" s="142"/>
      <c r="U13" s="142"/>
      <c r="V13" s="143"/>
    </row>
    <row r="14" spans="1:23" ht="16.899999999999999" customHeight="1" x14ac:dyDescent="0.2">
      <c r="A14" s="36" t="str">
        <f>Languages!A37</f>
        <v>E-mail</v>
      </c>
      <c r="B14" s="33"/>
      <c r="C14" s="33"/>
      <c r="D14" s="35"/>
      <c r="E14" s="140"/>
      <c r="F14" s="140"/>
      <c r="G14" s="140"/>
      <c r="H14" s="33"/>
      <c r="I14" s="36" t="str">
        <f>Languages!A55</f>
        <v>Uren per dag</v>
      </c>
      <c r="J14" s="33"/>
      <c r="K14" s="33"/>
      <c r="L14" s="33"/>
      <c r="M14" s="78" t="str">
        <f>Languages!A56</f>
        <v>ma:</v>
      </c>
      <c r="N14" s="88"/>
      <c r="O14" s="77" t="str">
        <f>Languages!A57</f>
        <v>di:</v>
      </c>
      <c r="P14" s="88"/>
      <c r="Q14" s="77" t="str">
        <f>Languages!A58</f>
        <v>wo:</v>
      </c>
      <c r="R14" s="88"/>
      <c r="S14" s="77" t="str">
        <f>Languages!A59</f>
        <v>do:</v>
      </c>
      <c r="T14" s="88"/>
      <c r="U14" s="77" t="str">
        <f>Languages!A60</f>
        <v>vr:</v>
      </c>
      <c r="V14" s="89"/>
    </row>
    <row r="15" spans="1:23" ht="16.899999999999999" customHeight="1" x14ac:dyDescent="0.2">
      <c r="A15" s="33"/>
      <c r="B15" s="33"/>
      <c r="C15" s="33"/>
      <c r="D15" s="35"/>
      <c r="E15" s="33"/>
      <c r="F15" s="33"/>
      <c r="G15" s="33"/>
      <c r="H15" s="33"/>
      <c r="I15" s="33"/>
      <c r="J15" s="33"/>
      <c r="K15" s="33"/>
      <c r="L15" s="33"/>
      <c r="M15" s="36"/>
      <c r="N15" s="36"/>
      <c r="O15" s="36"/>
    </row>
    <row r="16" spans="1:23" ht="16.899999999999999" customHeight="1" x14ac:dyDescent="0.2">
      <c r="A16" s="5" t="str">
        <f>Languages!A38</f>
        <v>Bedrijf details</v>
      </c>
      <c r="B16" s="5"/>
      <c r="C16" s="5"/>
      <c r="D16" s="8"/>
      <c r="E16" s="6"/>
      <c r="F16" s="6"/>
      <c r="G16" s="6"/>
      <c r="H16" s="33"/>
      <c r="I16" s="32"/>
      <c r="J16" s="32"/>
      <c r="K16" s="32"/>
      <c r="L16" s="36"/>
      <c r="M16" s="36"/>
      <c r="N16" s="36"/>
      <c r="O16" s="36"/>
    </row>
    <row r="17" spans="1:16" ht="16.899999999999999" customHeight="1" x14ac:dyDescent="0.2">
      <c r="A17" s="7" t="str">
        <f>Languages!A39</f>
        <v>Bedrijf is een aparte juridische entiteit</v>
      </c>
      <c r="B17" s="6"/>
      <c r="C17" s="6"/>
      <c r="D17" s="8"/>
      <c r="E17" s="140"/>
      <c r="F17" s="140"/>
      <c r="G17" s="140"/>
      <c r="H17" s="33"/>
      <c r="I17" s="36"/>
      <c r="J17" s="32"/>
      <c r="K17" s="32"/>
      <c r="L17" s="36"/>
      <c r="M17" s="36"/>
      <c r="N17" s="36"/>
      <c r="O17" s="36"/>
    </row>
    <row r="18" spans="1:16" ht="16.899999999999999" customHeight="1" x14ac:dyDescent="0.2">
      <c r="A18" s="7" t="str">
        <f>Languages!A40</f>
        <v>Bedrijf is een BV onder een juridische entiteit</v>
      </c>
      <c r="B18" s="6"/>
      <c r="C18" s="6"/>
      <c r="D18" s="8"/>
      <c r="E18" s="140"/>
      <c r="F18" s="140"/>
      <c r="G18" s="140"/>
      <c r="H18" s="33"/>
      <c r="I18" s="36"/>
      <c r="J18" s="32"/>
      <c r="K18" s="32"/>
      <c r="L18" s="36"/>
      <c r="M18" s="36"/>
      <c r="N18" s="36"/>
      <c r="O18" s="36"/>
    </row>
    <row r="19" spans="1:16" ht="16.899999999999999" customHeight="1" x14ac:dyDescent="0.2">
      <c r="A19" s="7" t="str">
        <f>Languages!A41</f>
        <v>zo ja, onder welke</v>
      </c>
      <c r="B19" s="8"/>
      <c r="C19" s="8"/>
      <c r="D19" s="6"/>
      <c r="E19" s="140"/>
      <c r="F19" s="140"/>
      <c r="G19" s="140"/>
      <c r="H19" s="33"/>
      <c r="I19" s="33"/>
      <c r="J19" s="33"/>
      <c r="K19" s="33"/>
      <c r="L19" s="33"/>
      <c r="M19" s="33"/>
      <c r="N19" s="33"/>
      <c r="O19" s="33"/>
    </row>
    <row r="20" spans="1:16" ht="16.899999999999999" customHeight="1" x14ac:dyDescent="0.2">
      <c r="H20" s="33"/>
      <c r="I20" s="33"/>
      <c r="J20" s="33"/>
      <c r="K20" s="33"/>
      <c r="L20" s="33"/>
      <c r="M20" s="33"/>
      <c r="N20" s="33"/>
      <c r="O20" s="33"/>
    </row>
    <row r="21" spans="1:16" ht="16.899999999999999" customHeight="1" x14ac:dyDescent="0.2">
      <c r="A21" s="36"/>
      <c r="B21" s="35"/>
      <c r="C21" s="35"/>
      <c r="D21" s="33"/>
      <c r="E21" s="36"/>
      <c r="F21" s="35"/>
      <c r="G21" s="35"/>
      <c r="H21" s="33"/>
      <c r="I21" s="33"/>
      <c r="J21" s="33"/>
      <c r="K21" s="33"/>
      <c r="L21" s="33"/>
      <c r="M21" s="33"/>
      <c r="N21" s="33"/>
      <c r="O21" s="33"/>
    </row>
    <row r="22" spans="1:16" ht="16.899999999999999" customHeight="1" x14ac:dyDescent="0.2">
      <c r="A22" s="35"/>
      <c r="B22" s="35"/>
      <c r="C22" s="35"/>
      <c r="D22" s="33"/>
      <c r="E22" s="35"/>
      <c r="F22" s="35"/>
      <c r="G22" s="35"/>
      <c r="H22" s="35"/>
      <c r="I22" s="33"/>
      <c r="J22" s="33"/>
      <c r="K22" s="33"/>
      <c r="L22" s="33"/>
      <c r="M22" s="33"/>
      <c r="N22" s="33"/>
      <c r="O22" s="33"/>
    </row>
    <row r="23" spans="1:16" ht="16.899999999999999" customHeight="1" x14ac:dyDescent="0.2">
      <c r="A23" s="35"/>
      <c r="B23" s="35"/>
      <c r="C23" s="35"/>
      <c r="D23" s="33"/>
      <c r="E23" s="35"/>
      <c r="F23" s="35"/>
      <c r="G23" s="35"/>
      <c r="H23" s="35"/>
      <c r="I23" s="33"/>
      <c r="J23" s="33"/>
      <c r="K23" s="33"/>
      <c r="L23" s="33"/>
      <c r="M23" s="33"/>
      <c r="N23" s="33"/>
      <c r="O23" s="33"/>
    </row>
    <row r="24" spans="1:16" ht="16.899999999999999" customHeight="1" x14ac:dyDescent="0.2">
      <c r="A24" s="36"/>
      <c r="B24" s="36"/>
      <c r="C24" s="36"/>
      <c r="D24" s="35"/>
      <c r="E24" s="35"/>
      <c r="F24" s="35"/>
      <c r="G24" s="35"/>
      <c r="H24" s="35"/>
      <c r="I24" s="36"/>
      <c r="J24" s="36"/>
      <c r="K24" s="36"/>
      <c r="L24" s="36"/>
      <c r="M24" s="36"/>
      <c r="N24" s="36"/>
      <c r="O24" s="36"/>
    </row>
    <row r="25" spans="1:16" ht="16.899999999999999" customHeight="1" x14ac:dyDescent="0.2">
      <c r="A25" s="37" t="str">
        <f>Languages!A42</f>
        <v>Opmerkingen:</v>
      </c>
      <c r="B25" s="36"/>
      <c r="C25" s="36"/>
      <c r="D25" s="35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</row>
    <row r="26" spans="1:16" ht="16.899999999999999" customHeight="1" x14ac:dyDescent="0.2">
      <c r="A26" s="38" t="s">
        <v>3</v>
      </c>
      <c r="B26" s="39"/>
      <c r="C26" s="39"/>
      <c r="D26" s="40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120"/>
    </row>
    <row r="27" spans="1:16" ht="16.899999999999999" customHeight="1" x14ac:dyDescent="0.2">
      <c r="A27" s="43"/>
      <c r="B27" s="44"/>
      <c r="C27" s="44"/>
      <c r="D27" s="35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121"/>
    </row>
    <row r="28" spans="1:16" ht="16.899999999999999" customHeight="1" x14ac:dyDescent="0.2">
      <c r="A28" s="43"/>
      <c r="B28" s="44"/>
      <c r="C28" s="44"/>
      <c r="D28" s="35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121"/>
    </row>
    <row r="29" spans="1:16" ht="16.7" customHeight="1" x14ac:dyDescent="0.2">
      <c r="A29" s="48" t="s">
        <v>4</v>
      </c>
      <c r="B29" s="49"/>
      <c r="C29" s="49" t="s">
        <v>5</v>
      </c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122"/>
    </row>
  </sheetData>
  <sheetProtection algorithmName="SHA-512" hashValue="CTl1uTar/kYtMf3f0DtKPQLY4Hn4/f7TL8q/TBosK0GobW2xfGfAPjkTeD5se0zfSGkvF8eCIz3SoO+8oAv7Ag==" saltValue="4kEq88mTMqFcJ5ye/wAVpQ==" spinCount="100000" sheet="1" objects="1" scenarios="1"/>
  <protectedRanges>
    <protectedRange sqref="A1 E4:G8 E11:G14 E17:G19 M5:V7 M11:V13 N14 P14 R14 T14 V14 A26:P29" name="Bereik1"/>
  </protectedRanges>
  <mergeCells count="18">
    <mergeCell ref="E11:G11"/>
    <mergeCell ref="M13:V13"/>
    <mergeCell ref="M5:V5"/>
    <mergeCell ref="M6:V6"/>
    <mergeCell ref="M7:V7"/>
    <mergeCell ref="M11:V11"/>
    <mergeCell ref="M12:V12"/>
    <mergeCell ref="E4:G4"/>
    <mergeCell ref="E5:G5"/>
    <mergeCell ref="E6:G6"/>
    <mergeCell ref="E7:G7"/>
    <mergeCell ref="E8:G8"/>
    <mergeCell ref="E18:G18"/>
    <mergeCell ref="E19:G19"/>
    <mergeCell ref="E12:G12"/>
    <mergeCell ref="E13:G13"/>
    <mergeCell ref="E14:G14"/>
    <mergeCell ref="E17:G17"/>
  </mergeCells>
  <pageMargins left="0.39370078740157483" right="0.39370078740157483" top="0.39370078740157483" bottom="0.98425196850393704" header="0" footer="0.39370078740157483"/>
  <pageSetup paperSize="9" orientation="landscape" horizontalDpi="4294967292" verticalDpi="4294967292" r:id="rId1"/>
  <headerFooter>
    <oddFooter>&amp;L&amp;"Calibri,Standaard"&amp;K000000&amp;G</oddFooter>
  </headerFooter>
  <legacyDrawingHF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60BF2D0-0726-4E6A-BD4A-BE752EA159D2}">
          <x14:formula1>
            <xm:f>'Validation values'!$A$6:$A$7</xm:f>
          </x14:formula1>
          <xm:sqref>E17:G18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2A13E-6E06-46CB-BD3B-6D6072887227}">
  <sheetPr>
    <tabColor rgb="FFFFC000"/>
  </sheetPr>
  <dimension ref="A1:W41"/>
  <sheetViews>
    <sheetView showGridLines="0" showRuler="0" zoomScaleNormal="100" zoomScalePageLayoutView="90" workbookViewId="0">
      <selection activeCell="F19" sqref="F19:G19"/>
    </sheetView>
  </sheetViews>
  <sheetFormatPr defaultColWidth="11.625" defaultRowHeight="16.899999999999999" customHeight="1" x14ac:dyDescent="0.2"/>
  <cols>
    <col min="1" max="4" width="7.375" style="21" customWidth="1"/>
    <col min="5" max="7" width="10.625" style="21" customWidth="1"/>
    <col min="8" max="8" width="5" style="21" customWidth="1"/>
    <col min="9" max="11" width="7.375" style="21" customWidth="1"/>
    <col min="12" max="12" width="1.75" style="21" customWidth="1"/>
    <col min="13" max="22" width="3" style="21" customWidth="1"/>
    <col min="23" max="23" width="2.875" style="21" customWidth="1"/>
    <col min="24" max="16384" width="11.625" style="21"/>
  </cols>
  <sheetData>
    <row r="1" spans="1:23" ht="16.899999999999999" customHeight="1" x14ac:dyDescent="0.25">
      <c r="A1" s="28" t="str">
        <f>Languages!A69</f>
        <v>Salaris instellingen</v>
      </c>
      <c r="B1" s="28"/>
      <c r="C1" s="28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</row>
    <row r="2" spans="1:23" ht="16.899999999999999" customHeight="1" x14ac:dyDescent="0.2">
      <c r="A2" s="36"/>
      <c r="B2" s="36"/>
      <c r="C2" s="36"/>
      <c r="D2" s="36"/>
      <c r="E2" s="36"/>
      <c r="F2" s="36"/>
      <c r="G2" s="36"/>
      <c r="H2" s="36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</row>
    <row r="3" spans="1:23" ht="16.899999999999999" customHeight="1" x14ac:dyDescent="0.2">
      <c r="A3" s="32" t="str">
        <f>Languages!A69</f>
        <v>Salaris instellingen</v>
      </c>
      <c r="B3" s="32"/>
      <c r="C3" s="32"/>
      <c r="D3" s="36"/>
      <c r="E3" s="36"/>
      <c r="F3" s="36"/>
      <c r="G3" s="36"/>
      <c r="H3" s="36"/>
      <c r="I3" s="32" t="str">
        <f>Languages!A200</f>
        <v>Uurloonberekening</v>
      </c>
      <c r="J3" s="33"/>
      <c r="K3" s="33"/>
      <c r="L3" s="33"/>
      <c r="M3" s="36"/>
      <c r="N3" s="36"/>
      <c r="O3" s="36"/>
      <c r="W3" s="133"/>
    </row>
    <row r="4" spans="1:23" ht="16.899999999999999" customHeight="1" x14ac:dyDescent="0.2">
      <c r="A4" s="36" t="str">
        <f>Languages!A70</f>
        <v>Prorata berekening gebasseerd op</v>
      </c>
      <c r="B4" s="36"/>
      <c r="C4" s="36"/>
      <c r="D4" s="36"/>
      <c r="E4" s="140"/>
      <c r="F4" s="140"/>
      <c r="G4" s="140"/>
      <c r="H4" s="36"/>
      <c r="I4" s="36" t="str">
        <f>Languages!A201</f>
        <v xml:space="preserve">Looncodes die meetellen </v>
      </c>
      <c r="J4" s="32"/>
      <c r="K4" s="32"/>
      <c r="L4" s="36"/>
      <c r="M4" s="144" t="s">
        <v>7</v>
      </c>
      <c r="N4" s="145"/>
      <c r="O4" s="145"/>
      <c r="P4" s="145"/>
      <c r="Q4" s="145"/>
      <c r="R4" s="145"/>
      <c r="S4" s="145"/>
      <c r="T4" s="145"/>
      <c r="U4" s="145"/>
      <c r="V4" s="146"/>
      <c r="W4" s="133"/>
    </row>
    <row r="5" spans="1:23" ht="16.899999999999999" customHeight="1" x14ac:dyDescent="0.2">
      <c r="A5" s="36" t="str">
        <f>Languages!A71</f>
        <v>Salaris periode</v>
      </c>
      <c r="B5" s="36"/>
      <c r="C5" s="36"/>
      <c r="D5" s="36"/>
      <c r="E5" s="140"/>
      <c r="F5" s="140"/>
      <c r="G5" s="140"/>
      <c r="H5" s="36"/>
      <c r="I5" s="36" t="str">
        <f>Languages!A202</f>
        <v>voor de uurloonberekening</v>
      </c>
      <c r="J5" s="32"/>
      <c r="K5" s="32"/>
      <c r="L5" s="36"/>
      <c r="M5" s="144"/>
      <c r="N5" s="145"/>
      <c r="O5" s="145"/>
      <c r="P5" s="145"/>
      <c r="Q5" s="145"/>
      <c r="R5" s="145"/>
      <c r="S5" s="145"/>
      <c r="T5" s="145"/>
      <c r="U5" s="145"/>
      <c r="V5" s="146"/>
      <c r="W5" s="133"/>
    </row>
    <row r="6" spans="1:23" ht="16.899999999999999" customHeight="1" x14ac:dyDescent="0.2">
      <c r="A6" s="36"/>
      <c r="B6" s="36"/>
      <c r="C6" s="36"/>
      <c r="D6" s="36"/>
      <c r="E6" s="36"/>
      <c r="F6" s="36"/>
      <c r="G6" s="36"/>
      <c r="H6" s="36"/>
      <c r="I6" s="33"/>
      <c r="J6" s="33"/>
      <c r="K6" s="33"/>
      <c r="L6" s="33"/>
      <c r="M6" s="144"/>
      <c r="N6" s="145"/>
      <c r="O6" s="145"/>
      <c r="P6" s="145"/>
      <c r="Q6" s="145"/>
      <c r="R6" s="145"/>
      <c r="S6" s="145"/>
      <c r="T6" s="145"/>
      <c r="U6" s="145"/>
      <c r="V6" s="146"/>
      <c r="W6" s="133"/>
    </row>
    <row r="7" spans="1:23" ht="16.899999999999999" customHeight="1" x14ac:dyDescent="0.2">
      <c r="A7" s="32" t="str">
        <f>Languages!A72</f>
        <v>Salarisstrook</v>
      </c>
      <c r="B7" s="32"/>
      <c r="C7" s="32"/>
      <c r="D7" s="33"/>
      <c r="E7" s="33"/>
      <c r="F7" s="33"/>
      <c r="G7" s="33"/>
      <c r="H7" s="36"/>
      <c r="I7" s="33"/>
      <c r="J7" s="33"/>
      <c r="K7" s="33"/>
      <c r="L7" s="33"/>
      <c r="M7" s="144"/>
      <c r="N7" s="145"/>
      <c r="O7" s="145"/>
      <c r="P7" s="145"/>
      <c r="Q7" s="145"/>
      <c r="R7" s="145"/>
      <c r="S7" s="145"/>
      <c r="T7" s="145"/>
      <c r="U7" s="145"/>
      <c r="V7" s="146"/>
    </row>
    <row r="8" spans="1:23" ht="16.899999999999999" customHeight="1" x14ac:dyDescent="0.2">
      <c r="A8" s="36" t="str">
        <f>Languages!A73</f>
        <v>Voorkeurstaal</v>
      </c>
      <c r="B8" s="33"/>
      <c r="C8" s="33"/>
      <c r="D8" s="33"/>
      <c r="E8" s="140"/>
      <c r="F8" s="140"/>
      <c r="G8" s="140"/>
      <c r="H8" s="36"/>
      <c r="J8" s="33"/>
      <c r="K8" s="33"/>
      <c r="L8" s="33"/>
      <c r="M8" s="144"/>
      <c r="N8" s="145"/>
      <c r="O8" s="145"/>
      <c r="P8" s="145"/>
      <c r="Q8" s="145"/>
      <c r="R8" s="145"/>
      <c r="S8" s="145"/>
      <c r="T8" s="145"/>
      <c r="U8" s="145"/>
      <c r="V8" s="146"/>
    </row>
    <row r="9" spans="1:23" ht="16.899999999999999" customHeight="1" x14ac:dyDescent="0.2">
      <c r="A9" s="36" t="str">
        <f>Languages!A74</f>
        <v>Logo op salarisstrook</v>
      </c>
      <c r="B9" s="33"/>
      <c r="C9" s="33"/>
      <c r="D9" s="33"/>
      <c r="E9" s="140"/>
      <c r="F9" s="140"/>
      <c r="G9" s="140"/>
      <c r="H9" s="36"/>
      <c r="J9" s="33"/>
      <c r="K9" s="33"/>
      <c r="L9" s="33"/>
    </row>
    <row r="10" spans="1:23" ht="16.899999999999999" customHeight="1" x14ac:dyDescent="0.2">
      <c r="A10" s="36" t="str">
        <f>Languages!A75</f>
        <v>Extra cumulatieven op salarisstrook</v>
      </c>
      <c r="B10" s="33"/>
      <c r="C10" s="33"/>
      <c r="D10" s="35"/>
      <c r="E10" s="140"/>
      <c r="F10" s="140"/>
      <c r="G10" s="140"/>
      <c r="H10" s="36"/>
      <c r="I10" s="32" t="str">
        <f>Languages!A81</f>
        <v>30% regeling</v>
      </c>
      <c r="J10" s="33"/>
      <c r="K10" s="33"/>
      <c r="L10" s="33"/>
    </row>
    <row r="11" spans="1:23" ht="16.899999999999999" customHeight="1" x14ac:dyDescent="0.2">
      <c r="A11" s="36" t="str">
        <f>Languages!A76</f>
        <v>indien ja, welke</v>
      </c>
      <c r="B11" s="33"/>
      <c r="C11" s="33"/>
      <c r="D11" s="35"/>
      <c r="E11" s="140"/>
      <c r="F11" s="140"/>
      <c r="G11" s="140"/>
      <c r="H11" s="33"/>
      <c r="I11" s="36" t="str">
        <f>Languages!A82</f>
        <v>30% regeling van toepassing</v>
      </c>
      <c r="J11" s="36"/>
      <c r="K11" s="36"/>
      <c r="L11" s="36"/>
      <c r="M11" s="141" t="s">
        <v>2</v>
      </c>
      <c r="N11" s="142"/>
      <c r="O11" s="142"/>
      <c r="P11" s="142"/>
      <c r="Q11" s="142"/>
      <c r="R11" s="142"/>
      <c r="S11" s="142"/>
      <c r="T11" s="142"/>
      <c r="U11" s="142"/>
      <c r="V11" s="143"/>
    </row>
    <row r="12" spans="1:23" ht="16.899999999999999" customHeight="1" x14ac:dyDescent="0.2">
      <c r="A12" s="36"/>
      <c r="B12" s="33"/>
      <c r="C12" s="33"/>
      <c r="D12" s="35"/>
      <c r="E12" s="140"/>
      <c r="F12" s="140"/>
      <c r="G12" s="140"/>
      <c r="H12" s="33"/>
      <c r="I12" s="36" t="str">
        <f>Languages!A83</f>
        <v>Aflaging in de berekening</v>
      </c>
      <c r="J12" s="36"/>
      <c r="K12" s="36"/>
      <c r="L12" s="36"/>
      <c r="M12" s="141"/>
      <c r="N12" s="142"/>
      <c r="O12" s="142"/>
      <c r="P12" s="142"/>
      <c r="Q12" s="142"/>
      <c r="R12" s="142"/>
      <c r="S12" s="142"/>
      <c r="T12" s="142"/>
      <c r="U12" s="142"/>
      <c r="V12" s="143"/>
    </row>
    <row r="13" spans="1:23" ht="16.899999999999999" customHeight="1" x14ac:dyDescent="0.2">
      <c r="A13" s="36"/>
      <c r="B13" s="33"/>
      <c r="C13" s="33"/>
      <c r="D13" s="35"/>
      <c r="E13" s="140"/>
      <c r="F13" s="140"/>
      <c r="G13" s="140"/>
      <c r="H13" s="33"/>
    </row>
    <row r="14" spans="1:23" ht="16.899999999999999" customHeight="1" x14ac:dyDescent="0.2">
      <c r="A14" s="33"/>
      <c r="B14" s="33"/>
      <c r="C14" s="33"/>
      <c r="D14" s="35"/>
      <c r="E14" s="33"/>
      <c r="F14" s="33"/>
      <c r="G14" s="33"/>
      <c r="H14" s="33"/>
      <c r="I14" s="32" t="str">
        <f>Languages!A84</f>
        <v>Overige medewerker typen</v>
      </c>
      <c r="J14" s="32"/>
      <c r="K14" s="32"/>
      <c r="L14" s="33"/>
      <c r="M14" s="33"/>
      <c r="N14" s="33"/>
      <c r="O14" s="33"/>
    </row>
    <row r="15" spans="1:23" ht="16.899999999999999" customHeight="1" x14ac:dyDescent="0.2">
      <c r="A15" s="36" t="str">
        <f>Languages!A77</f>
        <v>Salarisstrook zichtbaar voor mdw</v>
      </c>
      <c r="B15" s="33"/>
      <c r="C15" s="33"/>
      <c r="D15" s="35"/>
      <c r="E15" s="140"/>
      <c r="F15" s="140"/>
      <c r="G15" s="140"/>
      <c r="H15" s="33"/>
      <c r="I15" s="36" t="str">
        <f>Languages!A85</f>
        <v>Stagiaire</v>
      </c>
      <c r="J15" s="36"/>
      <c r="K15" s="36"/>
      <c r="L15" s="36"/>
      <c r="M15" s="141" t="s">
        <v>2</v>
      </c>
      <c r="N15" s="142"/>
      <c r="O15" s="142"/>
      <c r="P15" s="142"/>
      <c r="Q15" s="142"/>
      <c r="R15" s="142"/>
      <c r="S15" s="142"/>
      <c r="T15" s="142"/>
      <c r="U15" s="142"/>
      <c r="V15" s="143"/>
    </row>
    <row r="16" spans="1:23" ht="16.899999999999999" customHeight="1" x14ac:dyDescent="0.2">
      <c r="A16" s="36" t="str">
        <f>Languages!A78</f>
        <v># dagen na de betaaldatum</v>
      </c>
      <c r="B16" s="33"/>
      <c r="C16" s="33"/>
      <c r="D16" s="35"/>
      <c r="E16" s="140"/>
      <c r="F16" s="140"/>
      <c r="G16" s="140"/>
      <c r="H16" s="33"/>
      <c r="I16" s="36" t="str">
        <f>Languages!A86</f>
        <v>Oproepkracht</v>
      </c>
      <c r="J16" s="36"/>
      <c r="K16" s="36"/>
      <c r="L16" s="36"/>
      <c r="M16" s="141" t="s">
        <v>2</v>
      </c>
      <c r="N16" s="142"/>
      <c r="O16" s="142"/>
      <c r="P16" s="142"/>
      <c r="Q16" s="142"/>
      <c r="R16" s="142"/>
      <c r="S16" s="142"/>
      <c r="T16" s="142"/>
      <c r="U16" s="142"/>
      <c r="V16" s="143"/>
    </row>
    <row r="17" spans="1:22" ht="16.899999999999999" customHeight="1" x14ac:dyDescent="0.2">
      <c r="A17" s="33"/>
      <c r="B17" s="33"/>
      <c r="C17" s="33"/>
      <c r="D17" s="35"/>
      <c r="E17" s="33"/>
      <c r="F17" s="33"/>
      <c r="G17" s="33"/>
      <c r="H17" s="33"/>
      <c r="I17" s="36" t="str">
        <f>Languages!A196</f>
        <v>Split payroll</v>
      </c>
      <c r="J17" s="36"/>
      <c r="K17" s="36"/>
      <c r="L17" s="36"/>
      <c r="M17" s="141" t="s">
        <v>2</v>
      </c>
      <c r="N17" s="142"/>
      <c r="O17" s="142"/>
      <c r="P17" s="142"/>
      <c r="Q17" s="142"/>
      <c r="R17" s="142"/>
      <c r="S17" s="142"/>
      <c r="T17" s="142"/>
      <c r="U17" s="142"/>
      <c r="V17" s="143"/>
    </row>
    <row r="18" spans="1:22" ht="16.899999999999999" customHeight="1" x14ac:dyDescent="0.2">
      <c r="A18" s="32" t="str">
        <f>Languages!A79</f>
        <v>Kostenplaats</v>
      </c>
      <c r="B18" s="36"/>
      <c r="C18" s="36"/>
      <c r="D18" s="35"/>
      <c r="E18" s="35"/>
      <c r="F18" s="35"/>
      <c r="G18" s="35"/>
      <c r="H18" s="33"/>
      <c r="I18" s="36" t="str">
        <f>Languages!A197</f>
        <v>Expats</v>
      </c>
      <c r="J18" s="36"/>
      <c r="K18" s="36"/>
      <c r="L18" s="36"/>
      <c r="M18" s="141" t="s">
        <v>2</v>
      </c>
      <c r="N18" s="142"/>
      <c r="O18" s="142"/>
      <c r="P18" s="142"/>
      <c r="Q18" s="142"/>
      <c r="R18" s="142"/>
      <c r="S18" s="142"/>
      <c r="T18" s="142"/>
      <c r="U18" s="142"/>
      <c r="V18" s="143"/>
    </row>
    <row r="19" spans="1:22" ht="16.899999999999999" customHeight="1" x14ac:dyDescent="0.2">
      <c r="A19" s="36" t="str">
        <f>Languages!A80</f>
        <v>Is afdelingscode gelijk aan kostenplaatscode?</v>
      </c>
      <c r="B19" s="36"/>
      <c r="C19" s="36"/>
      <c r="D19" s="35"/>
      <c r="E19" s="35"/>
      <c r="F19" s="147" t="s">
        <v>1</v>
      </c>
      <c r="G19" s="148"/>
      <c r="H19" s="33"/>
      <c r="I19" s="33" t="str">
        <f>Languages!A198</f>
        <v>Uitkeringsgerechtigen</v>
      </c>
      <c r="J19" s="33"/>
      <c r="K19" s="33"/>
      <c r="L19" s="33"/>
      <c r="M19" s="141" t="s">
        <v>2</v>
      </c>
      <c r="N19" s="142"/>
      <c r="O19" s="142"/>
      <c r="P19" s="142"/>
      <c r="Q19" s="142"/>
      <c r="R19" s="142"/>
      <c r="S19" s="142"/>
      <c r="T19" s="142"/>
      <c r="U19" s="142"/>
      <c r="V19" s="143"/>
    </row>
    <row r="20" spans="1:22" ht="16.899999999999999" customHeight="1" x14ac:dyDescent="0.2">
      <c r="A20" s="36"/>
      <c r="B20" s="36"/>
      <c r="C20" s="36"/>
      <c r="D20" s="35"/>
      <c r="E20" s="35"/>
      <c r="F20" s="35"/>
      <c r="G20" s="35"/>
      <c r="H20" s="33"/>
      <c r="I20" s="21" t="str">
        <f>Languages!A199</f>
        <v>Gepensioneerde</v>
      </c>
      <c r="J20" s="33"/>
      <c r="K20" s="33"/>
      <c r="L20" s="33"/>
      <c r="M20" s="141" t="s">
        <v>2</v>
      </c>
      <c r="N20" s="142"/>
      <c r="O20" s="142"/>
      <c r="P20" s="142"/>
      <c r="Q20" s="142"/>
      <c r="R20" s="142"/>
      <c r="S20" s="142"/>
      <c r="T20" s="142"/>
      <c r="U20" s="142"/>
      <c r="V20" s="143"/>
    </row>
    <row r="21" spans="1:22" ht="16.899999999999999" customHeight="1" x14ac:dyDescent="0.2">
      <c r="A21" s="36"/>
      <c r="B21" s="36"/>
      <c r="C21" s="36"/>
      <c r="D21" s="35"/>
      <c r="E21" s="35"/>
      <c r="F21" s="35"/>
      <c r="G21" s="35"/>
      <c r="H21" s="33"/>
      <c r="J21" s="33"/>
      <c r="K21" s="33"/>
      <c r="L21" s="33"/>
      <c r="M21" s="33"/>
      <c r="N21" s="33"/>
      <c r="O21" s="33"/>
    </row>
    <row r="22" spans="1:22" ht="16.899999999999999" customHeight="1" x14ac:dyDescent="0.2">
      <c r="A22" s="36"/>
      <c r="B22" s="36"/>
      <c r="C22" s="36"/>
      <c r="D22" s="35"/>
      <c r="E22" s="35"/>
      <c r="F22" s="35"/>
      <c r="G22" s="35"/>
      <c r="H22" s="33"/>
      <c r="I22" s="32" t="str">
        <f>Languages!A87</f>
        <v>Periodiek uitbetalen van reserveringen voor oproepkrachten</v>
      </c>
      <c r="J22" s="32"/>
      <c r="K22" s="32"/>
      <c r="L22" s="36"/>
      <c r="M22" s="33"/>
      <c r="N22" s="33"/>
      <c r="O22" s="33"/>
    </row>
    <row r="23" spans="1:22" ht="16.899999999999999" customHeight="1" x14ac:dyDescent="0.2">
      <c r="A23" s="36"/>
      <c r="B23" s="35"/>
      <c r="C23" s="35"/>
      <c r="D23" s="33"/>
      <c r="E23" s="36"/>
      <c r="F23" s="35"/>
      <c r="G23" s="35"/>
      <c r="H23" s="33"/>
      <c r="I23" s="33" t="str">
        <f>Languages!A88</f>
        <v>Vakantiegeld</v>
      </c>
      <c r="J23" s="32"/>
      <c r="K23" s="32"/>
      <c r="L23" s="36"/>
      <c r="M23" s="141" t="s">
        <v>2</v>
      </c>
      <c r="N23" s="142"/>
      <c r="O23" s="142"/>
      <c r="P23" s="149" t="str">
        <f>Languages!A195</f>
        <v>welk %</v>
      </c>
      <c r="Q23" s="149"/>
      <c r="R23" s="149"/>
      <c r="S23" s="149"/>
      <c r="T23" s="150"/>
      <c r="U23" s="150"/>
      <c r="V23" s="151"/>
    </row>
    <row r="24" spans="1:22" ht="16.899999999999999" customHeight="1" x14ac:dyDescent="0.2">
      <c r="A24" s="36"/>
      <c r="B24" s="36"/>
      <c r="C24" s="36"/>
      <c r="D24" s="35"/>
      <c r="E24" s="35"/>
      <c r="F24" s="35"/>
      <c r="G24" s="35"/>
      <c r="H24" s="35"/>
      <c r="I24" s="33" t="str">
        <f>Languages!A89</f>
        <v>Vakantiedagen</v>
      </c>
      <c r="J24" s="33"/>
      <c r="K24" s="33"/>
      <c r="L24" s="33"/>
      <c r="M24" s="141" t="s">
        <v>2</v>
      </c>
      <c r="N24" s="142"/>
      <c r="O24" s="142"/>
      <c r="P24" s="149" t="str">
        <f>Languages!A195</f>
        <v>welk %</v>
      </c>
      <c r="Q24" s="149"/>
      <c r="R24" s="149"/>
      <c r="S24" s="149"/>
      <c r="T24" s="150"/>
      <c r="U24" s="150"/>
      <c r="V24" s="151"/>
    </row>
    <row r="25" spans="1:22" ht="16.899999999999999" customHeight="1" x14ac:dyDescent="0.2">
      <c r="A25" s="37" t="str">
        <f>Languages!A42</f>
        <v>Opmerkingen:</v>
      </c>
      <c r="B25" s="36"/>
      <c r="C25" s="36"/>
      <c r="D25" s="35"/>
      <c r="E25" s="36"/>
      <c r="F25" s="36"/>
      <c r="G25" s="36"/>
      <c r="H25" s="36"/>
      <c r="I25" s="33"/>
      <c r="J25" s="33"/>
      <c r="K25" s="33"/>
      <c r="L25" s="33"/>
      <c r="M25" s="36"/>
      <c r="N25" s="36"/>
      <c r="O25" s="36"/>
    </row>
    <row r="26" spans="1:22" ht="16.899999999999999" customHeight="1" x14ac:dyDescent="0.2">
      <c r="A26" s="38" t="s">
        <v>10</v>
      </c>
      <c r="B26" s="39"/>
      <c r="C26" s="39"/>
      <c r="D26" s="40"/>
      <c r="E26" s="41"/>
      <c r="F26" s="41"/>
      <c r="G26" s="41"/>
      <c r="H26" s="41"/>
      <c r="I26" s="41"/>
      <c r="J26" s="41"/>
      <c r="K26" s="41"/>
      <c r="L26" s="41"/>
      <c r="M26" s="42"/>
      <c r="N26" s="36"/>
      <c r="O26" s="36"/>
    </row>
    <row r="27" spans="1:22" ht="16.899999999999999" customHeight="1" x14ac:dyDescent="0.2">
      <c r="A27" s="43"/>
      <c r="B27" s="44"/>
      <c r="C27" s="44"/>
      <c r="D27" s="35"/>
      <c r="E27" s="36"/>
      <c r="F27" s="36"/>
      <c r="G27" s="36"/>
      <c r="H27" s="36"/>
      <c r="I27" s="36"/>
      <c r="J27" s="36"/>
      <c r="K27" s="36"/>
      <c r="L27" s="36"/>
      <c r="M27" s="45"/>
      <c r="N27" s="36"/>
      <c r="O27" s="36"/>
    </row>
    <row r="28" spans="1:22" ht="16.7" customHeight="1" x14ac:dyDescent="0.2">
      <c r="A28" s="46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47"/>
      <c r="N28" s="36"/>
      <c r="O28" s="36"/>
    </row>
    <row r="29" spans="1:22" ht="16.899999999999999" customHeight="1" x14ac:dyDescent="0.2">
      <c r="A29" s="48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50"/>
      <c r="N29" s="36"/>
      <c r="O29" s="36"/>
    </row>
    <row r="30" spans="1:22" ht="16.899999999999999" customHeight="1" x14ac:dyDescent="0.2">
      <c r="N30" s="36"/>
      <c r="O30" s="36"/>
    </row>
    <row r="31" spans="1:22" ht="16.899999999999999" customHeight="1" x14ac:dyDescent="0.2">
      <c r="N31" s="36"/>
      <c r="O31" s="36"/>
    </row>
    <row r="32" spans="1:22" ht="16.899999999999999" customHeight="1" x14ac:dyDescent="0.2">
      <c r="N32" s="36"/>
      <c r="O32" s="36"/>
    </row>
    <row r="33" spans="14:15" ht="16.899999999999999" customHeight="1" x14ac:dyDescent="0.2">
      <c r="N33" s="33"/>
      <c r="O33" s="33"/>
    </row>
    <row r="34" spans="14:15" ht="16.899999999999999" customHeight="1" x14ac:dyDescent="0.2">
      <c r="N34" s="33"/>
      <c r="O34" s="33"/>
    </row>
    <row r="35" spans="14:15" ht="16.899999999999999" customHeight="1" x14ac:dyDescent="0.2">
      <c r="N35" s="33"/>
      <c r="O35" s="33"/>
    </row>
    <row r="36" spans="14:15" ht="16.899999999999999" customHeight="1" x14ac:dyDescent="0.2">
      <c r="N36" s="36"/>
      <c r="O36" s="36"/>
    </row>
    <row r="37" spans="14:15" ht="16.899999999999999" customHeight="1" x14ac:dyDescent="0.2">
      <c r="N37" s="36"/>
      <c r="O37" s="36"/>
    </row>
    <row r="38" spans="14:15" ht="16.899999999999999" customHeight="1" x14ac:dyDescent="0.2">
      <c r="N38" s="36"/>
      <c r="O38" s="36"/>
    </row>
    <row r="39" spans="14:15" ht="16.899999999999999" customHeight="1" x14ac:dyDescent="0.2">
      <c r="N39" s="36"/>
      <c r="O39" s="36"/>
    </row>
    <row r="40" spans="14:15" ht="16.899999999999999" customHeight="1" x14ac:dyDescent="0.2">
      <c r="N40" s="33"/>
      <c r="O40" s="33"/>
    </row>
    <row r="41" spans="14:15" ht="16.899999999999999" customHeight="1" x14ac:dyDescent="0.2">
      <c r="N41" s="33"/>
      <c r="O41" s="33"/>
    </row>
  </sheetData>
  <sheetProtection algorithmName="SHA-512" hashValue="bfqV61TZ7B0IvGDq7nWwAg7pn58CMC3uBXsWIZDAIG4FyvV8dend1k0urQ8PAHJc9aZpKiHL9DoZazrYfuN/TQ==" saltValue="9CE5k+WuJDkFbvGzutxKQA==" spinCount="100000" sheet="1" objects="1" scenarios="1"/>
  <protectedRanges>
    <protectedRange sqref="E4:G5 E8:G13 E15:G16 F19 M4:V8 M11:V12 M15:V20 M23:O24 T23:V24 A26:M29" name="Bereik1"/>
  </protectedRanges>
  <mergeCells count="30">
    <mergeCell ref="F19:G19"/>
    <mergeCell ref="E16:G16"/>
    <mergeCell ref="E15:G15"/>
    <mergeCell ref="P24:S24"/>
    <mergeCell ref="M16:V16"/>
    <mergeCell ref="M17:V17"/>
    <mergeCell ref="M18:V18"/>
    <mergeCell ref="M19:V19"/>
    <mergeCell ref="M20:V20"/>
    <mergeCell ref="T23:V23"/>
    <mergeCell ref="T24:V24"/>
    <mergeCell ref="M23:O23"/>
    <mergeCell ref="M24:O24"/>
    <mergeCell ref="P23:S23"/>
    <mergeCell ref="E4:G4"/>
    <mergeCell ref="E5:G5"/>
    <mergeCell ref="M12:V12"/>
    <mergeCell ref="M15:V15"/>
    <mergeCell ref="M4:V4"/>
    <mergeCell ref="M5:V5"/>
    <mergeCell ref="M6:V6"/>
    <mergeCell ref="M7:V7"/>
    <mergeCell ref="M8:V8"/>
    <mergeCell ref="M11:V11"/>
    <mergeCell ref="E9:G9"/>
    <mergeCell ref="E10:G10"/>
    <mergeCell ref="E13:G13"/>
    <mergeCell ref="E8:G8"/>
    <mergeCell ref="E11:G11"/>
    <mergeCell ref="E12:G12"/>
  </mergeCells>
  <pageMargins left="0.39370078740157483" right="0.39370078740157483" top="0.39370078740157483" bottom="0.98425196850393704" header="0" footer="0.39370078740157483"/>
  <pageSetup paperSize="9" orientation="landscape" horizontalDpi="4294967292" verticalDpi="4294967292" r:id="rId1"/>
  <headerFooter>
    <oddFooter>&amp;L&amp;"Calibri,Standaard"&amp;K000000&amp;G</oddFooter>
  </headerFooter>
  <legacyDrawing r:id="rId2"/>
  <legacyDrawingHF r:id="rId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D97EAD4E-FF20-42CF-8705-C68E2B42E4C5}">
          <x14:formula1>
            <xm:f>'Validation values'!$A$16:$A$18</xm:f>
          </x14:formula1>
          <xm:sqref>E4:G4</xm:sqref>
        </x14:dataValidation>
        <x14:dataValidation type="list" allowBlank="1" showInputMessage="1" showErrorMessage="1" xr:uid="{F215EB88-47FC-4526-8BAE-CCE1800B635D}">
          <x14:formula1>
            <xm:f>'Validation values'!$A$26:$A$27</xm:f>
          </x14:formula1>
          <xm:sqref>E8:G8</xm:sqref>
        </x14:dataValidation>
        <x14:dataValidation type="list" allowBlank="1" showInputMessage="1" showErrorMessage="1" xr:uid="{E034A93B-A2DE-4F28-B39F-79A3EDED5CAF}">
          <x14:formula1>
            <xm:f>'Validation values'!$B$30:$B$31</xm:f>
          </x14:formula1>
          <xm:sqref>E15:G15</xm:sqref>
        </x14:dataValidation>
        <x14:dataValidation type="list" allowBlank="1" showInputMessage="1" showErrorMessage="1" xr:uid="{8B442498-27D6-461A-939B-1A0F478DCFF5}">
          <x14:formula1>
            <xm:f>'Validation values'!$A$10:$A$13</xm:f>
          </x14:formula1>
          <xm:sqref>M16:V16</xm:sqref>
        </x14:dataValidation>
        <x14:dataValidation type="list" allowBlank="1" showInputMessage="1" showErrorMessage="1" xr:uid="{C7136332-405E-4316-8ACA-DB785AA9E47C}">
          <x14:formula1>
            <xm:f>'Validation values'!$A$6:$A$7</xm:f>
          </x14:formula1>
          <xm:sqref>E9:G10 M11:V12 M23:M24 F19:G19 M15:V15 M17:V20</xm:sqref>
        </x14:dataValidation>
        <x14:dataValidation type="list" allowBlank="1" showInputMessage="1" showErrorMessage="1" xr:uid="{67F69C97-BF2C-4040-BC39-2AD345221D7D}">
          <x14:formula1>
            <xm:f>'Validation values'!$A$21:$A$23</xm:f>
          </x14:formula1>
          <xm:sqref>E5:G5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B9D5F-6AB1-42DF-AA4F-F7E7E3AEBC9C}">
  <sheetPr>
    <tabColor rgb="FFFFC000"/>
  </sheetPr>
  <dimension ref="A1:W29"/>
  <sheetViews>
    <sheetView showGridLines="0" showRuler="0" zoomScaleNormal="100" zoomScalePageLayoutView="90" workbookViewId="0">
      <selection activeCell="E23" sqref="E23:G23"/>
    </sheetView>
  </sheetViews>
  <sheetFormatPr defaultColWidth="11.625" defaultRowHeight="16.899999999999999" customHeight="1" x14ac:dyDescent="0.2"/>
  <cols>
    <col min="1" max="4" width="7.375" style="21" customWidth="1"/>
    <col min="5" max="7" width="10.625" style="21" customWidth="1"/>
    <col min="8" max="8" width="5" style="21" customWidth="1"/>
    <col min="9" max="11" width="7.375" style="21" customWidth="1"/>
    <col min="12" max="12" width="1.75" style="21" customWidth="1"/>
    <col min="13" max="22" width="3" style="21" customWidth="1"/>
    <col min="23" max="23" width="2.875" style="21" customWidth="1"/>
    <col min="24" max="16384" width="11.625" style="21"/>
  </cols>
  <sheetData>
    <row r="1" spans="1:23" ht="16.899999999999999" customHeight="1" x14ac:dyDescent="0.25">
      <c r="A1" s="28" t="str">
        <f>Languages!A90</f>
        <v>Loonbelasting gegevens</v>
      </c>
      <c r="B1" s="28"/>
      <c r="C1" s="28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</row>
    <row r="2" spans="1:23" ht="16.899999999999999" customHeight="1" x14ac:dyDescent="0.2">
      <c r="A2" s="36"/>
      <c r="B2" s="36"/>
      <c r="C2" s="36"/>
      <c r="D2" s="36"/>
      <c r="E2" s="36"/>
      <c r="F2" s="36"/>
      <c r="G2" s="36"/>
      <c r="H2" s="36"/>
      <c r="I2" s="33"/>
      <c r="J2" s="33"/>
      <c r="K2" s="33"/>
      <c r="L2" s="33"/>
      <c r="M2" s="33"/>
      <c r="N2" s="33"/>
      <c r="O2" s="33"/>
    </row>
    <row r="3" spans="1:23" ht="16.899999999999999" customHeight="1" x14ac:dyDescent="0.2">
      <c r="A3" s="32" t="str">
        <f>Languages!A136</f>
        <v>Loonbelasting</v>
      </c>
      <c r="B3" s="32"/>
      <c r="C3" s="32"/>
      <c r="D3" s="36"/>
      <c r="E3" s="36"/>
      <c r="F3" s="36"/>
      <c r="G3" s="36"/>
      <c r="H3" s="36"/>
      <c r="I3" s="33"/>
      <c r="J3" s="33"/>
      <c r="K3" s="33"/>
      <c r="L3" s="33"/>
      <c r="M3" s="33"/>
      <c r="N3" s="33"/>
      <c r="O3" s="33"/>
    </row>
    <row r="4" spans="1:23" ht="16.899999999999999" customHeight="1" x14ac:dyDescent="0.2">
      <c r="A4" s="36" t="str">
        <f>Languages!A91</f>
        <v>Loonheffingsnummer</v>
      </c>
      <c r="B4" s="36"/>
      <c r="C4" s="36"/>
      <c r="D4" s="36"/>
      <c r="E4" s="140"/>
      <c r="F4" s="140"/>
      <c r="G4" s="140"/>
      <c r="H4" s="36"/>
      <c r="I4" s="33"/>
      <c r="J4" s="33"/>
      <c r="K4" s="33"/>
      <c r="L4" s="33"/>
      <c r="M4" s="33"/>
      <c r="N4" s="33"/>
      <c r="O4" s="33"/>
    </row>
    <row r="5" spans="1:23" ht="16.899999999999999" customHeight="1" x14ac:dyDescent="0.2">
      <c r="A5" s="36" t="str">
        <f>Languages!A92</f>
        <v>Bedrijfsnaam</v>
      </c>
      <c r="B5" s="36"/>
      <c r="C5" s="36"/>
      <c r="D5" s="36"/>
      <c r="E5" s="140"/>
      <c r="F5" s="140"/>
      <c r="G5" s="140"/>
      <c r="H5" s="36"/>
      <c r="I5" s="33"/>
      <c r="J5" s="33"/>
      <c r="K5" s="33"/>
      <c r="L5" s="33"/>
      <c r="M5" s="33"/>
      <c r="N5" s="33"/>
      <c r="O5" s="33"/>
    </row>
    <row r="6" spans="1:23" ht="16.899999999999999" customHeight="1" x14ac:dyDescent="0.2">
      <c r="A6" s="36" t="str">
        <f>Languages!A194</f>
        <v>Loontijdvak</v>
      </c>
      <c r="B6" s="36"/>
      <c r="C6" s="36"/>
      <c r="D6" s="36"/>
      <c r="E6" s="140"/>
      <c r="F6" s="140"/>
      <c r="G6" s="140"/>
      <c r="H6" s="36"/>
      <c r="I6" s="33"/>
      <c r="J6" s="33"/>
      <c r="K6" s="33"/>
      <c r="L6" s="33"/>
      <c r="M6" s="33"/>
      <c r="N6" s="33"/>
      <c r="O6" s="33"/>
    </row>
    <row r="7" spans="1:23" ht="16.899999999999999" customHeight="1" x14ac:dyDescent="0.2">
      <c r="A7" s="33"/>
      <c r="B7" s="33"/>
      <c r="C7" s="33"/>
      <c r="D7" s="35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</row>
    <row r="8" spans="1:23" ht="16.899999999999999" customHeight="1" x14ac:dyDescent="0.2">
      <c r="A8" s="36" t="str">
        <f>Languages!A34</f>
        <v>Contactpersoon</v>
      </c>
      <c r="B8" s="33"/>
      <c r="C8" s="33"/>
      <c r="D8" s="35"/>
      <c r="E8" s="140"/>
      <c r="F8" s="140"/>
      <c r="G8" s="140"/>
      <c r="H8" s="36"/>
      <c r="I8" s="33"/>
      <c r="J8" s="33"/>
      <c r="K8" s="33"/>
      <c r="L8" s="33"/>
      <c r="M8" s="33"/>
      <c r="N8" s="33"/>
      <c r="O8" s="33"/>
    </row>
    <row r="9" spans="1:23" ht="16.899999999999999" customHeight="1" x14ac:dyDescent="0.2">
      <c r="A9" s="36" t="str">
        <f>Languages!A36</f>
        <v>Telefoon</v>
      </c>
      <c r="B9" s="33"/>
      <c r="C9" s="33"/>
      <c r="D9" s="33"/>
      <c r="E9" s="140"/>
      <c r="F9" s="140"/>
      <c r="G9" s="140"/>
      <c r="H9" s="36"/>
      <c r="I9" s="33"/>
      <c r="J9" s="33"/>
      <c r="K9" s="33"/>
      <c r="L9" s="33"/>
      <c r="M9" s="33"/>
      <c r="N9" s="33"/>
      <c r="O9" s="33"/>
    </row>
    <row r="10" spans="1:23" ht="16.899999999999999" customHeight="1" x14ac:dyDescent="0.2">
      <c r="A10" s="36" t="str">
        <f>Languages!A93</f>
        <v>E-mail</v>
      </c>
      <c r="B10" s="33"/>
      <c r="C10" s="33"/>
      <c r="D10" s="35"/>
      <c r="E10" s="140"/>
      <c r="F10" s="140"/>
      <c r="G10" s="140"/>
      <c r="H10" s="36"/>
      <c r="I10" s="33"/>
      <c r="J10" s="33"/>
      <c r="K10" s="33"/>
      <c r="L10" s="33"/>
      <c r="M10" s="33"/>
      <c r="N10" s="33"/>
      <c r="O10" s="33"/>
    </row>
    <row r="11" spans="1:23" ht="16.899999999999999" customHeight="1" x14ac:dyDescent="0.2">
      <c r="A11" s="33"/>
      <c r="B11" s="33"/>
      <c r="C11" s="33"/>
      <c r="D11" s="35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</row>
    <row r="12" spans="1:23" ht="16.899999999999999" customHeight="1" x14ac:dyDescent="0.2">
      <c r="A12" s="36" t="str">
        <f>Languages!A94</f>
        <v>Sector</v>
      </c>
      <c r="B12" s="33"/>
      <c r="C12" s="33"/>
      <c r="D12" s="35"/>
      <c r="E12" s="140"/>
      <c r="F12" s="140"/>
      <c r="G12" s="140"/>
      <c r="H12" s="33"/>
      <c r="I12" s="33"/>
      <c r="J12" s="33"/>
      <c r="K12" s="33"/>
      <c r="L12" s="33"/>
      <c r="M12" s="33"/>
      <c r="N12" s="33"/>
      <c r="O12" s="33"/>
    </row>
    <row r="13" spans="1:23" ht="16.899999999999999" customHeight="1" x14ac:dyDescent="0.2">
      <c r="A13" s="36" t="str">
        <f>Languages!A95</f>
        <v>Indeling werkgever</v>
      </c>
      <c r="B13" s="33"/>
      <c r="C13" s="33"/>
      <c r="D13" s="35"/>
      <c r="E13" s="140"/>
      <c r="F13" s="140"/>
      <c r="G13" s="140"/>
      <c r="H13" s="33"/>
      <c r="I13" s="33"/>
      <c r="J13" s="33"/>
      <c r="K13" s="33"/>
      <c r="L13" s="33"/>
      <c r="M13" s="33"/>
      <c r="N13" s="33"/>
      <c r="O13" s="33"/>
    </row>
    <row r="14" spans="1:23" ht="16.899999999999999" customHeight="1" x14ac:dyDescent="0.2">
      <c r="A14" s="36"/>
      <c r="B14" s="33"/>
      <c r="C14" s="33"/>
      <c r="D14" s="35"/>
      <c r="E14" s="36"/>
      <c r="F14" s="33"/>
      <c r="G14" s="33"/>
      <c r="H14" s="35"/>
      <c r="I14" s="33"/>
      <c r="J14" s="33"/>
      <c r="K14" s="33"/>
      <c r="L14" s="33"/>
      <c r="M14" s="33"/>
      <c r="N14" s="33"/>
      <c r="O14" s="33"/>
    </row>
    <row r="15" spans="1:23" ht="16.899999999999999" customHeight="1" x14ac:dyDescent="0.2">
      <c r="A15" s="32" t="s">
        <v>13</v>
      </c>
      <c r="B15" s="33"/>
      <c r="C15" s="33"/>
      <c r="D15" s="35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</row>
    <row r="16" spans="1:23" ht="16.899999999999999" customHeight="1" x14ac:dyDescent="0.2">
      <c r="A16" s="36" t="str">
        <f>Languages!A97</f>
        <v>Eigen risicodrager</v>
      </c>
      <c r="B16" s="33"/>
      <c r="C16" s="33"/>
      <c r="D16" s="35"/>
      <c r="E16" s="140"/>
      <c r="F16" s="140"/>
      <c r="G16" s="140"/>
      <c r="H16" s="33"/>
      <c r="I16" s="33"/>
      <c r="J16" s="33"/>
      <c r="K16" s="33"/>
      <c r="L16" s="33"/>
      <c r="M16" s="33"/>
      <c r="N16" s="33"/>
      <c r="O16" s="33"/>
    </row>
    <row r="17" spans="1:15" ht="16.899999999999999" customHeight="1" x14ac:dyDescent="0.2">
      <c r="A17" s="36" t="str">
        <f>Languages!A98</f>
        <v>WGA premie (totaal)</v>
      </c>
      <c r="B17" s="33"/>
      <c r="C17" s="33"/>
      <c r="D17" s="35"/>
      <c r="E17" s="153"/>
      <c r="F17" s="153"/>
      <c r="G17" s="153"/>
      <c r="H17" s="33"/>
      <c r="I17" s="33"/>
      <c r="J17" s="33"/>
      <c r="K17" s="33"/>
      <c r="L17" s="33"/>
      <c r="M17" s="33"/>
      <c r="N17" s="33"/>
      <c r="O17" s="33"/>
    </row>
    <row r="18" spans="1:15" ht="16.899999999999999" customHeight="1" x14ac:dyDescent="0.2">
      <c r="A18" s="36" t="str">
        <f>Languages!A99</f>
        <v>Verhaal op de werknemer</v>
      </c>
      <c r="B18" s="33"/>
      <c r="C18" s="33"/>
      <c r="D18" s="35"/>
      <c r="E18" s="153"/>
      <c r="F18" s="153"/>
      <c r="G18" s="153"/>
      <c r="H18" s="33"/>
      <c r="I18" s="33"/>
      <c r="J18" s="33"/>
      <c r="K18" s="33"/>
      <c r="L18" s="33"/>
      <c r="M18" s="33"/>
      <c r="N18" s="33"/>
      <c r="O18" s="33"/>
    </row>
    <row r="19" spans="1:15" ht="16.899999999999999" customHeight="1" x14ac:dyDescent="0.2">
      <c r="A19" s="36" t="str">
        <f>Languages!A100</f>
        <v>ZW premie</v>
      </c>
      <c r="B19" s="33"/>
      <c r="C19" s="33"/>
      <c r="D19" s="35"/>
      <c r="E19" s="153"/>
      <c r="F19" s="153"/>
      <c r="G19" s="153"/>
      <c r="H19" s="33"/>
      <c r="I19" s="33"/>
      <c r="J19" s="33"/>
      <c r="K19" s="33"/>
      <c r="L19" s="33"/>
      <c r="M19" s="33"/>
      <c r="N19" s="33"/>
      <c r="O19" s="33"/>
    </row>
    <row r="20" spans="1:15" ht="16.899999999999999" customHeight="1" x14ac:dyDescent="0.2">
      <c r="A20" s="36"/>
      <c r="B20" s="36"/>
      <c r="C20" s="36"/>
      <c r="D20" s="35"/>
      <c r="E20" s="35"/>
      <c r="F20" s="35"/>
      <c r="G20" s="35"/>
      <c r="H20" s="33"/>
      <c r="I20" s="33"/>
      <c r="J20" s="33"/>
      <c r="K20" s="33"/>
      <c r="L20" s="33"/>
      <c r="M20" s="33"/>
      <c r="N20" s="33"/>
      <c r="O20" s="33"/>
    </row>
    <row r="21" spans="1:15" ht="16.899999999999999" customHeight="1" x14ac:dyDescent="0.2">
      <c r="A21" s="32" t="str">
        <f>Languages!A101</f>
        <v>Overige info</v>
      </c>
      <c r="B21" s="36"/>
      <c r="C21" s="36"/>
      <c r="D21" s="35"/>
      <c r="E21" s="35"/>
      <c r="F21" s="35"/>
      <c r="G21" s="35"/>
      <c r="H21" s="33"/>
      <c r="I21" s="33"/>
      <c r="J21" s="33"/>
      <c r="K21" s="33"/>
      <c r="L21" s="33"/>
      <c r="M21" s="33"/>
      <c r="N21" s="33"/>
      <c r="O21" s="33"/>
    </row>
    <row r="22" spans="1:15" ht="16.899999999999999" customHeight="1" x14ac:dyDescent="0.2">
      <c r="A22" s="36" t="str">
        <f>Languages!A102</f>
        <v>CBS CAO code</v>
      </c>
      <c r="B22" s="36"/>
      <c r="C22" s="36"/>
      <c r="D22" s="35"/>
      <c r="E22" s="152"/>
      <c r="F22" s="152"/>
      <c r="G22" s="152"/>
      <c r="H22" s="33"/>
      <c r="I22" s="33"/>
      <c r="J22" s="33"/>
      <c r="K22" s="33"/>
      <c r="L22" s="33"/>
      <c r="M22" s="33"/>
      <c r="N22" s="33"/>
      <c r="O22" s="33"/>
    </row>
    <row r="23" spans="1:15" ht="16.899999999999999" customHeight="1" x14ac:dyDescent="0.2">
      <c r="A23" s="36" t="str">
        <f>Languages!A203</f>
        <v>WBSO subsidie</v>
      </c>
      <c r="B23" s="35"/>
      <c r="C23" s="35"/>
      <c r="D23" s="33"/>
      <c r="E23" s="152"/>
      <c r="F23" s="152"/>
      <c r="G23" s="152"/>
      <c r="H23" s="33"/>
      <c r="I23" s="33"/>
      <c r="J23" s="33"/>
      <c r="K23" s="33"/>
      <c r="L23" s="33"/>
      <c r="M23" s="33"/>
      <c r="N23" s="33"/>
      <c r="O23" s="33"/>
    </row>
    <row r="24" spans="1:15" ht="16.899999999999999" customHeight="1" x14ac:dyDescent="0.2">
      <c r="A24" s="36"/>
      <c r="B24" s="36"/>
      <c r="C24" s="36"/>
      <c r="D24" s="35"/>
      <c r="E24" s="35"/>
      <c r="F24" s="35"/>
      <c r="G24" s="35"/>
      <c r="H24" s="35"/>
      <c r="I24" s="36"/>
      <c r="J24" s="36"/>
      <c r="K24" s="36"/>
      <c r="L24" s="36"/>
      <c r="M24" s="36"/>
      <c r="N24" s="36"/>
      <c r="O24" s="36"/>
    </row>
    <row r="25" spans="1:15" ht="16.899999999999999" customHeight="1" x14ac:dyDescent="0.2">
      <c r="A25" s="37" t="str">
        <f>Languages!A42</f>
        <v>Opmerkingen:</v>
      </c>
      <c r="B25" s="36"/>
      <c r="C25" s="36"/>
      <c r="D25" s="35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</row>
    <row r="26" spans="1:15" ht="16.899999999999999" customHeight="1" x14ac:dyDescent="0.2">
      <c r="A26" s="38"/>
      <c r="B26" s="39"/>
      <c r="C26" s="39"/>
      <c r="D26" s="40"/>
      <c r="E26" s="41"/>
      <c r="F26" s="41"/>
      <c r="G26" s="41"/>
      <c r="H26" s="41"/>
      <c r="I26" s="41"/>
      <c r="J26" s="41"/>
      <c r="K26" s="41"/>
      <c r="L26" s="41"/>
      <c r="M26" s="42"/>
      <c r="N26" s="36"/>
      <c r="O26" s="36"/>
    </row>
    <row r="27" spans="1:15" ht="16.899999999999999" customHeight="1" x14ac:dyDescent="0.2">
      <c r="A27" s="43"/>
      <c r="B27" s="44"/>
      <c r="C27" s="44"/>
      <c r="D27" s="35"/>
      <c r="E27" s="36"/>
      <c r="F27" s="36"/>
      <c r="G27" s="36"/>
      <c r="H27" s="36"/>
      <c r="I27" s="36"/>
      <c r="J27" s="36"/>
      <c r="K27" s="36"/>
      <c r="L27" s="36"/>
      <c r="M27" s="45"/>
      <c r="N27" s="36"/>
      <c r="O27" s="36"/>
    </row>
    <row r="28" spans="1:15" ht="16.7" customHeight="1" x14ac:dyDescent="0.2">
      <c r="A28" s="46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47"/>
      <c r="N28" s="33"/>
      <c r="O28" s="33"/>
    </row>
    <row r="29" spans="1:15" ht="16.899999999999999" customHeight="1" x14ac:dyDescent="0.2">
      <c r="A29" s="48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50"/>
      <c r="N29" s="33"/>
      <c r="O29" s="33"/>
    </row>
  </sheetData>
  <sheetProtection algorithmName="SHA-512" hashValue="XScfhlGEDexpzYLgTtOSy6ZKybNd/GYUx02EyyQdOPPgH0dc9dkhSVXkYnj9vaj1bIRETOeLO9HVBXfvTNKuHw==" saltValue="ScYf86n6crRA8UejWeRhuw==" spinCount="100000" sheet="1" objects="1" scenarios="1"/>
  <protectedRanges>
    <protectedRange sqref="E4:G6 E8:G10 E12:G13 E16:G19 E22:G23 A26:M29" name="Bereik1"/>
  </protectedRanges>
  <mergeCells count="14">
    <mergeCell ref="E23:G23"/>
    <mergeCell ref="E18:G18"/>
    <mergeCell ref="E19:G19"/>
    <mergeCell ref="E22:G22"/>
    <mergeCell ref="E13:G13"/>
    <mergeCell ref="E16:G16"/>
    <mergeCell ref="E17:G17"/>
    <mergeCell ref="E9:G9"/>
    <mergeCell ref="E10:G10"/>
    <mergeCell ref="E12:G12"/>
    <mergeCell ref="E4:G4"/>
    <mergeCell ref="E5:G5"/>
    <mergeCell ref="E8:G8"/>
    <mergeCell ref="E6:G6"/>
  </mergeCells>
  <pageMargins left="0.39370078740157483" right="0.39370078740157483" top="0.39370078740157483" bottom="0.98425196850393704" header="0" footer="0.39370078740157483"/>
  <pageSetup paperSize="9" orientation="landscape" horizontalDpi="4294967292" verticalDpi="4294967292" r:id="rId1"/>
  <headerFooter>
    <oddFooter>&amp;L&amp;"Calibri,Standaard"&amp;K000000&amp;G</oddFooter>
  </headerFooter>
  <legacyDrawing r:id="rId2"/>
  <legacyDrawingHF r:id="rId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9460969-0429-464D-AFA1-72BE8EB34610}">
          <x14:formula1>
            <xm:f>'Validation values'!$E$1:$E$67</xm:f>
          </x14:formula1>
          <xm:sqref>E12:G12</xm:sqref>
        </x14:dataValidation>
        <x14:dataValidation type="list" allowBlank="1" showInputMessage="1" showErrorMessage="1" xr:uid="{9439E5D3-5FFF-4191-8BB1-39EAD41A99BF}">
          <x14:formula1>
            <xm:f>'Validation values'!$A$21:$A$23</xm:f>
          </x14:formula1>
          <xm:sqref>E6:G6</xm:sqref>
        </x14:dataValidation>
        <x14:dataValidation type="list" allowBlank="1" showInputMessage="1" showErrorMessage="1" xr:uid="{45E844D9-58B3-4219-BC32-B7A744CE586D}">
          <x14:formula1>
            <xm:f>'Validation values'!$A$39:$A$42</xm:f>
          </x14:formula1>
          <xm:sqref>E16:G16</xm:sqref>
        </x14:dataValidation>
        <x14:dataValidation type="list" allowBlank="1" showInputMessage="1" showErrorMessage="1" xr:uid="{EFC29639-AC04-4C14-94BC-D4C53E9A3F40}">
          <x14:formula1>
            <xm:f>'Validation values'!$A$34:$A$36</xm:f>
          </x14:formula1>
          <xm:sqref>E13:G13</xm:sqref>
        </x14:dataValidation>
        <x14:dataValidation type="list" allowBlank="1" showInputMessage="1" showErrorMessage="1" xr:uid="{A75F9481-3C72-4ACC-B63E-817FC24B0E3C}">
          <x14:formula1>
            <xm:f>'Validation values'!$A$6:$A$7</xm:f>
          </x14:formula1>
          <xm:sqref>E23:G23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17807-9DEC-4661-8BA9-D6F510681AFE}">
  <sheetPr>
    <tabColor rgb="FFFFFF00"/>
  </sheetPr>
  <dimension ref="A1:Q29"/>
  <sheetViews>
    <sheetView showGridLines="0" showRuler="0" zoomScaleNormal="100" zoomScalePageLayoutView="90" workbookViewId="0">
      <selection activeCell="H30" sqref="H30"/>
    </sheetView>
  </sheetViews>
  <sheetFormatPr defaultColWidth="11.625" defaultRowHeight="16.899999999999999" customHeight="1" x14ac:dyDescent="0.2"/>
  <cols>
    <col min="1" max="4" width="7.375" style="3" customWidth="1"/>
    <col min="5" max="5" width="4.625" style="3" customWidth="1"/>
    <col min="6" max="6" width="11.25" style="3" customWidth="1"/>
    <col min="7" max="7" width="4.625" style="3" customWidth="1"/>
    <col min="8" max="8" width="11.25" style="3" customWidth="1"/>
    <col min="9" max="9" width="5" style="3" customWidth="1"/>
    <col min="10" max="13" width="7.375" style="3" customWidth="1"/>
    <col min="14" max="14" width="4.625" style="3" customWidth="1"/>
    <col min="15" max="15" width="11.25" style="3" customWidth="1"/>
    <col min="16" max="16" width="4.625" style="3" customWidth="1"/>
    <col min="17" max="17" width="11.25" style="3" customWidth="1"/>
    <col min="18" max="16384" width="11.625" style="3"/>
  </cols>
  <sheetData>
    <row r="1" spans="1:17" ht="16.899999999999999" customHeight="1" x14ac:dyDescent="0.25">
      <c r="A1" s="1" t="str">
        <f>Languages!A103</f>
        <v>Reserveringen</v>
      </c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16.899999999999999" customHeight="1" x14ac:dyDescent="0.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4"/>
      <c r="N2" s="4"/>
      <c r="O2" s="4"/>
      <c r="P2" s="4"/>
    </row>
    <row r="3" spans="1:17" ht="16.899999999999999" customHeight="1" x14ac:dyDescent="0.2">
      <c r="A3" s="5" t="str">
        <f>Languages!A88</f>
        <v>Vakantiegeld</v>
      </c>
      <c r="B3" s="5"/>
      <c r="C3" s="5"/>
      <c r="D3" s="7"/>
      <c r="E3" s="7"/>
      <c r="F3" s="7"/>
      <c r="G3" s="7"/>
      <c r="H3" s="7"/>
      <c r="I3" s="7"/>
      <c r="J3" s="5" t="str">
        <f>Languages!A116</f>
        <v>13e maand</v>
      </c>
      <c r="K3" s="5"/>
      <c r="L3" s="5"/>
      <c r="M3" s="6"/>
      <c r="N3" s="6"/>
      <c r="O3" s="6"/>
      <c r="P3" s="6"/>
    </row>
    <row r="4" spans="1:17" ht="16.899999999999999" customHeight="1" x14ac:dyDescent="0.2">
      <c r="A4" s="7" t="str">
        <f>Languages!A104</f>
        <v>Referentie jaar</v>
      </c>
      <c r="B4" s="7"/>
      <c r="C4" s="7"/>
      <c r="D4" s="7"/>
      <c r="E4" s="53" t="str">
        <f>Languages!A61</f>
        <v>van:</v>
      </c>
      <c r="F4" s="79" t="s">
        <v>14</v>
      </c>
      <c r="G4" s="54" t="str">
        <f>Languages!A62</f>
        <v>tot:</v>
      </c>
      <c r="H4" s="80" t="s">
        <v>15</v>
      </c>
      <c r="I4" s="7"/>
      <c r="J4" s="7" t="str">
        <f>Languages!A104</f>
        <v>Referentie jaar</v>
      </c>
      <c r="K4" s="7"/>
      <c r="L4" s="7"/>
      <c r="M4" s="7"/>
      <c r="N4" s="53" t="str">
        <f>Languages!A61</f>
        <v>van:</v>
      </c>
      <c r="O4" s="79"/>
      <c r="P4" s="54" t="str">
        <f>Languages!A62</f>
        <v>tot:</v>
      </c>
      <c r="Q4" s="80"/>
    </row>
    <row r="5" spans="1:17" ht="16.899999999999999" customHeight="1" x14ac:dyDescent="0.2">
      <c r="A5" s="7" t="str">
        <f>Languages!A105</f>
        <v>Uitbetalingspercentage</v>
      </c>
      <c r="B5" s="7"/>
      <c r="C5" s="7"/>
      <c r="D5" s="7"/>
      <c r="E5" s="154"/>
      <c r="F5" s="155"/>
      <c r="G5" s="155"/>
      <c r="H5" s="156"/>
      <c r="I5" s="7"/>
      <c r="J5" s="7" t="str">
        <f>Languages!A105</f>
        <v>Uitbetalingspercentage</v>
      </c>
      <c r="K5" s="7"/>
      <c r="L5" s="7"/>
      <c r="M5" s="7"/>
      <c r="N5" s="154"/>
      <c r="O5" s="155"/>
      <c r="P5" s="155"/>
      <c r="Q5" s="156"/>
    </row>
    <row r="6" spans="1:17" ht="16.899999999999999" customHeight="1" x14ac:dyDescent="0.2">
      <c r="A6" s="7" t="str">
        <f>Languages!A106</f>
        <v>Periodiek reserveren</v>
      </c>
      <c r="B6" s="7"/>
      <c r="C6" s="7"/>
      <c r="D6" s="7"/>
      <c r="E6" s="154"/>
      <c r="F6" s="155"/>
      <c r="G6" s="155"/>
      <c r="H6" s="156"/>
      <c r="I6" s="7"/>
      <c r="J6" s="7" t="str">
        <f>Languages!A106</f>
        <v>Periodiek reserveren</v>
      </c>
      <c r="K6" s="7"/>
      <c r="L6" s="7"/>
      <c r="M6" s="7"/>
      <c r="N6" s="154"/>
      <c r="O6" s="155"/>
      <c r="P6" s="155"/>
      <c r="Q6" s="156"/>
    </row>
    <row r="7" spans="1:17" ht="16.899999999999999" customHeight="1" x14ac:dyDescent="0.2">
      <c r="A7" s="7" t="str">
        <f>Languages!A107</f>
        <v>Sociale lasten reserveren</v>
      </c>
      <c r="B7" s="7"/>
      <c r="C7" s="7"/>
      <c r="D7" s="7"/>
      <c r="E7" s="154"/>
      <c r="F7" s="155"/>
      <c r="G7" s="155"/>
      <c r="H7" s="156"/>
      <c r="I7" s="7"/>
      <c r="J7" s="7" t="str">
        <f>Languages!A107</f>
        <v>Sociale lasten reserveren</v>
      </c>
      <c r="K7" s="7"/>
      <c r="L7" s="7"/>
      <c r="M7" s="7"/>
      <c r="N7" s="154"/>
      <c r="O7" s="155"/>
      <c r="P7" s="155"/>
      <c r="Q7" s="156"/>
    </row>
    <row r="8" spans="1:17" ht="16.899999999999999" customHeight="1" x14ac:dyDescent="0.2">
      <c r="A8" s="7" t="str">
        <f>Languages!A108</f>
        <v>zo ja, welk pecentage?</v>
      </c>
      <c r="B8" s="7"/>
      <c r="C8" s="7"/>
      <c r="D8" s="7"/>
      <c r="E8" s="157"/>
      <c r="F8" s="158"/>
      <c r="G8" s="158"/>
      <c r="H8" s="159"/>
      <c r="I8" s="7"/>
      <c r="J8" s="7" t="str">
        <f>Languages!A108</f>
        <v>zo ja, welk pecentage?</v>
      </c>
      <c r="K8" s="7"/>
      <c r="L8" s="7"/>
      <c r="M8" s="7"/>
      <c r="N8" s="157"/>
      <c r="O8" s="158"/>
      <c r="P8" s="158"/>
      <c r="Q8" s="159"/>
    </row>
    <row r="9" spans="1:17" ht="16.899999999999999" customHeight="1" x14ac:dyDescent="0.2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</row>
    <row r="10" spans="1:17" ht="16.899999999999999" customHeight="1" x14ac:dyDescent="0.2">
      <c r="A10" s="7" t="str">
        <f>Languages!A109</f>
        <v>Betaling gebasseerd op</v>
      </c>
      <c r="B10" s="7"/>
      <c r="C10" s="7"/>
      <c r="D10" s="7"/>
      <c r="E10" s="160"/>
      <c r="F10" s="161"/>
      <c r="G10" s="161"/>
      <c r="H10" s="162"/>
      <c r="I10" s="7"/>
      <c r="J10" s="7" t="str">
        <f>Languages!A109</f>
        <v>Betaling gebasseerd op</v>
      </c>
      <c r="K10" s="7"/>
      <c r="L10" s="7"/>
      <c r="M10" s="7"/>
      <c r="N10" s="160"/>
      <c r="O10" s="161"/>
      <c r="P10" s="161"/>
      <c r="Q10" s="162"/>
    </row>
    <row r="11" spans="1:17" ht="16.899999999999999" customHeight="1" x14ac:dyDescent="0.2">
      <c r="A11" s="7" t="str">
        <f>Languages!A110</f>
        <v>Indien peilmaand, wat is de peilmaand?</v>
      </c>
      <c r="B11" s="7"/>
      <c r="C11" s="5"/>
      <c r="D11" s="6"/>
      <c r="E11" s="160"/>
      <c r="F11" s="161"/>
      <c r="G11" s="161"/>
      <c r="H11" s="162"/>
      <c r="I11" s="6"/>
      <c r="J11" s="7" t="str">
        <f>Languages!A110</f>
        <v>Indien peilmaand, wat is de peilmaand?</v>
      </c>
      <c r="K11" s="7"/>
      <c r="L11" s="5"/>
      <c r="M11" s="6"/>
      <c r="N11" s="160"/>
      <c r="O11" s="161"/>
      <c r="P11" s="161"/>
      <c r="Q11" s="162"/>
    </row>
    <row r="12" spans="1:17" ht="16.899999999999999" customHeight="1" x14ac:dyDescent="0.2">
      <c r="A12" s="7"/>
      <c r="B12" s="7"/>
      <c r="C12" s="6"/>
      <c r="D12" s="6"/>
      <c r="E12" s="7"/>
      <c r="F12" s="7"/>
      <c r="G12" s="7"/>
      <c r="H12" s="7"/>
      <c r="I12" s="6"/>
      <c r="J12" s="7"/>
      <c r="K12" s="7"/>
      <c r="L12" s="6"/>
      <c r="M12" s="6"/>
      <c r="N12" s="7"/>
      <c r="O12" s="7"/>
      <c r="P12" s="7"/>
      <c r="Q12" s="7"/>
    </row>
    <row r="13" spans="1:17" ht="16.899999999999999" customHeight="1" x14ac:dyDescent="0.2">
      <c r="A13" s="7" t="str">
        <f>Languages!A111</f>
        <v>Welke looncodes tellen in de</v>
      </c>
      <c r="B13" s="7"/>
      <c r="C13" s="6"/>
      <c r="D13" s="6"/>
      <c r="E13" s="157" t="str">
        <f>Languages!A65</f>
        <v>Graag opgeven op tabblad "Wage codes"</v>
      </c>
      <c r="F13" s="158"/>
      <c r="G13" s="158"/>
      <c r="H13" s="159"/>
      <c r="I13" s="6"/>
      <c r="J13" s="7" t="str">
        <f>Languages!A111</f>
        <v>Welke looncodes tellen in de</v>
      </c>
      <c r="K13" s="7"/>
      <c r="L13" s="6"/>
      <c r="M13" s="6"/>
      <c r="N13" s="157" t="str">
        <f>Languages!A65</f>
        <v>Graag opgeven op tabblad "Wage codes"</v>
      </c>
      <c r="O13" s="158"/>
      <c r="P13" s="158"/>
      <c r="Q13" s="159"/>
    </row>
    <row r="14" spans="1:17" ht="16.899999999999999" customHeight="1" x14ac:dyDescent="0.2">
      <c r="A14" s="7" t="str">
        <f>Languages!A112</f>
        <v>grondslag</v>
      </c>
      <c r="B14" s="7"/>
      <c r="C14" s="6"/>
      <c r="D14" s="6"/>
      <c r="E14" s="157"/>
      <c r="F14" s="158"/>
      <c r="G14" s="158"/>
      <c r="H14" s="159"/>
      <c r="I14" s="6"/>
      <c r="J14" s="7" t="str">
        <f>Languages!A112</f>
        <v>grondslag</v>
      </c>
      <c r="K14" s="7"/>
      <c r="L14" s="6"/>
      <c r="M14" s="6"/>
      <c r="N14" s="157"/>
      <c r="O14" s="158"/>
      <c r="P14" s="158"/>
      <c r="Q14" s="159"/>
    </row>
    <row r="15" spans="1:17" ht="16.899999999999999" customHeight="1" x14ac:dyDescent="0.2">
      <c r="A15" s="7"/>
      <c r="B15" s="7"/>
      <c r="C15" s="6"/>
      <c r="D15" s="6"/>
      <c r="E15" s="7"/>
      <c r="F15" s="7"/>
      <c r="G15" s="7"/>
      <c r="H15" s="7"/>
      <c r="I15" s="6"/>
      <c r="J15" s="7"/>
      <c r="K15" s="7"/>
      <c r="L15" s="6"/>
      <c r="M15" s="6"/>
      <c r="N15" s="7"/>
      <c r="O15" s="7"/>
      <c r="P15" s="7"/>
      <c r="Q15" s="7"/>
    </row>
    <row r="16" spans="1:17" ht="16.899999999999999" customHeight="1" x14ac:dyDescent="0.2">
      <c r="A16" s="7" t="str">
        <f>Languages!A113</f>
        <v>Uitbetaling in periode/maand</v>
      </c>
      <c r="B16" s="7"/>
      <c r="C16" s="6"/>
      <c r="D16" s="6"/>
      <c r="E16" s="157"/>
      <c r="F16" s="158"/>
      <c r="G16" s="158"/>
      <c r="H16" s="159"/>
      <c r="I16" s="6"/>
      <c r="J16" s="7" t="str">
        <f>Languages!A113</f>
        <v>Uitbetaling in periode/maand</v>
      </c>
      <c r="K16" s="7"/>
      <c r="L16" s="6"/>
      <c r="M16" s="6"/>
      <c r="N16" s="157"/>
      <c r="O16" s="158"/>
      <c r="P16" s="158"/>
      <c r="Q16" s="159"/>
    </row>
    <row r="17" spans="1:17" ht="16.899999999999999" customHeight="1" x14ac:dyDescent="0.2">
      <c r="A17" s="7" t="str">
        <f>Languages!A114</f>
        <v>Uitbetaling in aparte run</v>
      </c>
      <c r="B17" s="7"/>
      <c r="C17" s="7"/>
      <c r="D17" s="7"/>
      <c r="E17" s="157"/>
      <c r="F17" s="158"/>
      <c r="G17" s="158"/>
      <c r="H17" s="159"/>
      <c r="I17" s="6"/>
      <c r="J17" s="7" t="str">
        <f>Languages!A114</f>
        <v>Uitbetaling in aparte run</v>
      </c>
      <c r="K17" s="7"/>
      <c r="L17" s="7"/>
      <c r="M17" s="7"/>
      <c r="N17" s="157"/>
      <c r="O17" s="158"/>
      <c r="P17" s="158"/>
      <c r="Q17" s="159"/>
    </row>
    <row r="18" spans="1:17" ht="16.899999999999999" customHeight="1" x14ac:dyDescent="0.2">
      <c r="A18" s="7"/>
      <c r="B18" s="7"/>
      <c r="C18" s="7"/>
      <c r="D18" s="8"/>
      <c r="E18" s="8"/>
      <c r="F18" s="7"/>
      <c r="G18" s="7"/>
      <c r="H18" s="7"/>
      <c r="I18" s="7"/>
      <c r="J18" s="7"/>
      <c r="K18" s="7"/>
      <c r="L18" s="20"/>
      <c r="M18" s="20"/>
      <c r="N18" s="20"/>
      <c r="O18" s="20"/>
      <c r="P18" s="20"/>
    </row>
    <row r="19" spans="1:17" ht="16.899999999999999" customHeight="1" x14ac:dyDescent="0.2">
      <c r="A19" s="7" t="str">
        <f>Languages!A115</f>
        <v>Minimum per periode/maand</v>
      </c>
      <c r="B19" s="7"/>
      <c r="C19" s="7"/>
      <c r="D19" s="8"/>
      <c r="E19" s="157">
        <v>0</v>
      </c>
      <c r="F19" s="158"/>
      <c r="G19" s="158"/>
      <c r="H19" s="159"/>
      <c r="I19" s="7"/>
      <c r="J19" s="7" t="str">
        <f>Languages!A115</f>
        <v>Minimum per periode/maand</v>
      </c>
      <c r="K19" s="7"/>
      <c r="L19" s="7"/>
      <c r="M19" s="8"/>
      <c r="N19" s="157"/>
      <c r="O19" s="158"/>
      <c r="P19" s="158"/>
      <c r="Q19" s="159"/>
    </row>
    <row r="20" spans="1:17" s="21" customFormat="1" ht="16.899999999999999" customHeight="1" x14ac:dyDescent="0.2">
      <c r="A20" s="7"/>
      <c r="B20" s="7"/>
      <c r="C20" s="7"/>
      <c r="D20" s="8"/>
      <c r="E20" s="8"/>
      <c r="F20" s="7"/>
      <c r="G20" s="7"/>
      <c r="H20" s="7"/>
      <c r="I20" s="7"/>
      <c r="J20" s="7"/>
      <c r="K20" s="7"/>
      <c r="L20" s="20"/>
      <c r="M20" s="20"/>
      <c r="N20" s="20"/>
      <c r="O20" s="20"/>
      <c r="P20" s="20"/>
      <c r="Q20" s="3"/>
    </row>
    <row r="21" spans="1:17" s="21" customFormat="1" ht="16.899999999999999" customHeight="1" x14ac:dyDescent="0.2">
      <c r="A21" s="7" t="str">
        <f>Languages!A204</f>
        <v>Uitbetalen in periode/maand uitdienst</v>
      </c>
      <c r="B21" s="7"/>
      <c r="C21" s="7"/>
      <c r="D21" s="8"/>
      <c r="E21" s="164" t="s">
        <v>1</v>
      </c>
      <c r="F21" s="165"/>
      <c r="G21" s="165"/>
      <c r="H21" s="166"/>
      <c r="I21" s="33"/>
      <c r="J21" s="7" t="str">
        <f>Languages!A204</f>
        <v>Uitbetalen in periode/maand uitdienst</v>
      </c>
      <c r="K21" s="7"/>
      <c r="L21" s="7"/>
      <c r="M21" s="8"/>
      <c r="N21" s="164"/>
      <c r="O21" s="165"/>
      <c r="P21" s="165"/>
      <c r="Q21" s="166"/>
    </row>
    <row r="22" spans="1:17" s="21" customFormat="1" ht="16.899999999999999" customHeight="1" x14ac:dyDescent="0.2">
      <c r="A22" s="36"/>
      <c r="B22" s="36"/>
      <c r="C22" s="36"/>
      <c r="D22" s="35"/>
      <c r="E22" s="35"/>
      <c r="F22" s="36"/>
      <c r="G22" s="36"/>
      <c r="H22" s="36"/>
      <c r="I22" s="36"/>
      <c r="J22" s="36"/>
      <c r="K22" s="36"/>
      <c r="L22" s="51"/>
      <c r="M22" s="51"/>
      <c r="N22" s="51"/>
      <c r="O22" s="51"/>
      <c r="P22" s="51"/>
    </row>
    <row r="23" spans="1:17" s="21" customFormat="1" ht="16.899999999999999" customHeight="1" x14ac:dyDescent="0.2">
      <c r="A23" s="36"/>
      <c r="B23" s="36"/>
      <c r="C23" s="36"/>
      <c r="D23" s="35"/>
      <c r="E23" s="163"/>
      <c r="F23" s="163"/>
      <c r="G23" s="163"/>
      <c r="H23" s="163"/>
      <c r="I23" s="36"/>
      <c r="J23" s="36"/>
      <c r="K23" s="36"/>
      <c r="L23" s="36"/>
      <c r="M23" s="35"/>
      <c r="N23" s="163"/>
      <c r="O23" s="163"/>
      <c r="P23" s="163"/>
      <c r="Q23" s="163"/>
    </row>
    <row r="24" spans="1:17" ht="16.899999999999999" customHeight="1" x14ac:dyDescent="0.2">
      <c r="A24" s="7"/>
      <c r="B24" s="7"/>
      <c r="C24" s="7"/>
      <c r="D24" s="8"/>
      <c r="E24" s="8"/>
      <c r="F24" s="7"/>
      <c r="G24" s="7"/>
      <c r="H24" s="7"/>
      <c r="I24" s="7"/>
      <c r="J24" s="20"/>
      <c r="K24" s="20"/>
      <c r="L24" s="20"/>
      <c r="M24" s="20"/>
      <c r="N24" s="20"/>
      <c r="O24" s="20"/>
      <c r="P24" s="20"/>
    </row>
    <row r="25" spans="1:17" ht="16.899999999999999" customHeight="1" x14ac:dyDescent="0.2">
      <c r="A25" s="9" t="str">
        <f>Languages!A42</f>
        <v>Opmerkingen:</v>
      </c>
      <c r="B25" s="7"/>
      <c r="C25" s="7"/>
      <c r="D25" s="8"/>
      <c r="E25" s="8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</row>
    <row r="26" spans="1:17" ht="16.899999999999999" customHeight="1" x14ac:dyDescent="0.2">
      <c r="A26" s="17" t="s">
        <v>17</v>
      </c>
      <c r="B26" s="10"/>
      <c r="C26" s="10"/>
      <c r="D26" s="11"/>
      <c r="E26" s="11"/>
      <c r="F26" s="12"/>
      <c r="G26" s="12"/>
      <c r="H26" s="12"/>
      <c r="I26" s="12"/>
      <c r="J26" s="12"/>
      <c r="K26" s="12"/>
      <c r="L26" s="12"/>
      <c r="M26" s="12"/>
      <c r="N26" s="13"/>
      <c r="O26" s="7"/>
      <c r="P26" s="7"/>
    </row>
    <row r="27" spans="1:17" ht="16.899999999999999" customHeight="1" x14ac:dyDescent="0.2">
      <c r="A27" s="18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14"/>
      <c r="O27" s="6"/>
      <c r="P27" s="6"/>
    </row>
    <row r="28" spans="1:17" ht="16.7" customHeight="1" x14ac:dyDescent="0.2">
      <c r="A28" s="18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14"/>
      <c r="O28" s="6"/>
      <c r="P28" s="6"/>
    </row>
    <row r="29" spans="1:17" ht="16.899999999999999" customHeight="1" x14ac:dyDescent="0.2">
      <c r="A29" s="19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6"/>
      <c r="O29" s="6"/>
      <c r="P29" s="6"/>
    </row>
  </sheetData>
  <sheetProtection algorithmName="SHA-512" hashValue="vaf6kyxrNRI9UTz/pH//26MjMq3eRdYF15WF4J2c/2TwXiku+kh7TDTMIHmWAqBG5PnGFe6hTTnKh5BlVM0uKg==" saltValue="71bH6auqMtLP1kUmRGQ/1w==" spinCount="100000" sheet="1" objects="1" scenarios="1"/>
  <protectedRanges>
    <protectedRange sqref="F4 H4 E5:H8 E10:H11 E16:H17 E19 E21 O4 Q4 N5:Q8 N10:Q11 N16:Q17 N19 N21 A26:N29" name="Bereik1"/>
  </protectedRanges>
  <mergeCells count="26">
    <mergeCell ref="E23:H23"/>
    <mergeCell ref="N10:Q10"/>
    <mergeCell ref="N11:Q11"/>
    <mergeCell ref="E11:H11"/>
    <mergeCell ref="E13:H13"/>
    <mergeCell ref="E14:H14"/>
    <mergeCell ref="E16:H16"/>
    <mergeCell ref="N23:Q23"/>
    <mergeCell ref="N13:Q13"/>
    <mergeCell ref="N14:Q14"/>
    <mergeCell ref="E21:H21"/>
    <mergeCell ref="N21:Q21"/>
    <mergeCell ref="N5:Q5"/>
    <mergeCell ref="N6:Q6"/>
    <mergeCell ref="N7:Q7"/>
    <mergeCell ref="N8:Q8"/>
    <mergeCell ref="E19:H19"/>
    <mergeCell ref="N19:Q19"/>
    <mergeCell ref="E5:H5"/>
    <mergeCell ref="E6:H6"/>
    <mergeCell ref="E7:H7"/>
    <mergeCell ref="E8:H8"/>
    <mergeCell ref="E10:H10"/>
    <mergeCell ref="N16:Q16"/>
    <mergeCell ref="N17:Q17"/>
    <mergeCell ref="E17:H17"/>
  </mergeCells>
  <pageMargins left="0.39370078740157483" right="0.39370078740157483" top="0.39370078740157483" bottom="0.98425196850393704" header="0" footer="0.39370078740157483"/>
  <pageSetup paperSize="9" orientation="landscape" horizontalDpi="2400" verticalDpi="2400" r:id="rId1"/>
  <headerFooter>
    <oddFooter>&amp;L&amp;"Calibri,Standaard"&amp;K000000&amp;G</oddFooter>
  </headerFooter>
  <legacyDrawingHF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B2E7CF6-A9FC-48B7-8C91-BCAA65D751E0}">
          <x14:formula1>
            <xm:f>'Validation values'!$A$6:$A$7</xm:f>
          </x14:formula1>
          <xm:sqref>N6:N7 E6:E7 N17 E17 N21 E21</xm:sqref>
        </x14:dataValidation>
        <x14:dataValidation type="list" allowBlank="1" showInputMessage="1" showErrorMessage="1" xr:uid="{964665EA-602F-4B2D-A6C0-E0F3C6A70E75}">
          <x14:formula1>
            <xm:f>'Validation values'!$A$45:$A$69</xm:f>
          </x14:formula1>
          <xm:sqref>Q4 N16:Q16 E16:H16 F4 E11:H11 O4 H4 N11:Q11</xm:sqref>
        </x14:dataValidation>
        <x14:dataValidation type="list" allowBlank="1" showInputMessage="1" showErrorMessage="1" xr:uid="{27AEE6F8-BBE6-4A0B-A10D-249E5C2F9212}">
          <x14:formula1>
            <xm:f>'Validation values'!$A$83:$A$84</xm:f>
          </x14:formula1>
          <xm:sqref>E10:H10 N10:Q10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B60B0-57E2-48BD-9E79-358D4829432E}">
  <sheetPr>
    <tabColor rgb="FFFFFF00"/>
  </sheetPr>
  <dimension ref="A1:Q29"/>
  <sheetViews>
    <sheetView showGridLines="0" showRuler="0" zoomScaleNormal="100" zoomScalePageLayoutView="90" workbookViewId="0">
      <selection activeCell="A26" sqref="A26"/>
    </sheetView>
  </sheetViews>
  <sheetFormatPr defaultColWidth="11.625" defaultRowHeight="16.899999999999999" customHeight="1" x14ac:dyDescent="0.2"/>
  <cols>
    <col min="1" max="4" width="7.375" style="3" customWidth="1"/>
    <col min="5" max="5" width="4.625" style="3" customWidth="1"/>
    <col min="6" max="6" width="11.25" style="3" customWidth="1"/>
    <col min="7" max="7" width="4.625" style="3" customWidth="1"/>
    <col min="8" max="8" width="11.25" style="3" customWidth="1"/>
    <col min="9" max="9" width="5" style="3" customWidth="1"/>
    <col min="10" max="13" width="7.375" style="3" customWidth="1"/>
    <col min="14" max="14" width="4.625" style="3" customWidth="1"/>
    <col min="15" max="15" width="11.25" style="3" customWidth="1"/>
    <col min="16" max="16" width="4.625" style="3" customWidth="1"/>
    <col min="17" max="17" width="11.25" style="3" customWidth="1"/>
    <col min="18" max="16384" width="11.625" style="3"/>
  </cols>
  <sheetData>
    <row r="1" spans="1:17" ht="16.899999999999999" customHeight="1" x14ac:dyDescent="0.25">
      <c r="A1" s="1" t="str">
        <f>Languages!A103</f>
        <v>Reserveringen</v>
      </c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16.899999999999999" customHeight="1" x14ac:dyDescent="0.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4"/>
      <c r="N2" s="4"/>
      <c r="O2" s="4"/>
      <c r="P2" s="4"/>
    </row>
    <row r="3" spans="1:17" ht="16.899999999999999" customHeight="1" x14ac:dyDescent="0.2">
      <c r="A3" s="5" t="str">
        <f>Languages!A117</f>
        <v>Reservering 3</v>
      </c>
      <c r="B3" s="5"/>
      <c r="C3" s="5"/>
      <c r="D3" s="7"/>
      <c r="E3" s="7"/>
      <c r="F3" s="7"/>
      <c r="G3" s="7"/>
      <c r="H3" s="7"/>
      <c r="I3" s="7"/>
      <c r="J3" s="5" t="str">
        <f>Languages!A118</f>
        <v>Reservering 4</v>
      </c>
      <c r="K3" s="5"/>
      <c r="L3" s="5"/>
      <c r="M3" s="6"/>
      <c r="N3" s="6"/>
      <c r="O3" s="6"/>
      <c r="P3" s="6"/>
    </row>
    <row r="4" spans="1:17" ht="16.899999999999999" customHeight="1" x14ac:dyDescent="0.2">
      <c r="A4" s="7" t="str">
        <f>Languages!A104</f>
        <v>Referentie jaar</v>
      </c>
      <c r="B4" s="7"/>
      <c r="C4" s="7"/>
      <c r="D4" s="7"/>
      <c r="E4" s="53" t="str">
        <f>Languages!A61</f>
        <v>van:</v>
      </c>
      <c r="F4" s="79"/>
      <c r="G4" s="54" t="str">
        <f>Languages!A62</f>
        <v>tot:</v>
      </c>
      <c r="H4" s="80"/>
      <c r="I4" s="7"/>
      <c r="J4" s="7" t="str">
        <f>Languages!A104</f>
        <v>Referentie jaar</v>
      </c>
      <c r="K4" s="7"/>
      <c r="L4" s="7"/>
      <c r="M4" s="7"/>
      <c r="N4" s="53" t="str">
        <f>Languages!A61</f>
        <v>van:</v>
      </c>
      <c r="O4" s="79"/>
      <c r="P4" s="54" t="str">
        <f>Languages!A62</f>
        <v>tot:</v>
      </c>
      <c r="Q4" s="80"/>
    </row>
    <row r="5" spans="1:17" ht="16.899999999999999" customHeight="1" x14ac:dyDescent="0.2">
      <c r="A5" s="7" t="str">
        <f>Languages!A105</f>
        <v>Uitbetalingspercentage</v>
      </c>
      <c r="B5" s="7"/>
      <c r="C5" s="7"/>
      <c r="D5" s="7"/>
      <c r="E5" s="154"/>
      <c r="F5" s="155"/>
      <c r="G5" s="155"/>
      <c r="H5" s="156"/>
      <c r="I5" s="7"/>
      <c r="J5" s="7" t="str">
        <f>Languages!A105</f>
        <v>Uitbetalingspercentage</v>
      </c>
      <c r="K5" s="7"/>
      <c r="L5" s="7"/>
      <c r="M5" s="7"/>
      <c r="N5" s="154"/>
      <c r="O5" s="155"/>
      <c r="P5" s="155"/>
      <c r="Q5" s="156"/>
    </row>
    <row r="6" spans="1:17" ht="16.899999999999999" customHeight="1" x14ac:dyDescent="0.2">
      <c r="A6" s="7" t="str">
        <f>Languages!A106</f>
        <v>Periodiek reserveren</v>
      </c>
      <c r="B6" s="7"/>
      <c r="C6" s="7"/>
      <c r="D6" s="7"/>
      <c r="E6" s="154"/>
      <c r="F6" s="155"/>
      <c r="G6" s="155"/>
      <c r="H6" s="156"/>
      <c r="I6" s="7"/>
      <c r="J6" s="7" t="str">
        <f>Languages!A106</f>
        <v>Periodiek reserveren</v>
      </c>
      <c r="K6" s="7"/>
      <c r="L6" s="7"/>
      <c r="M6" s="7"/>
      <c r="N6" s="154"/>
      <c r="O6" s="155"/>
      <c r="P6" s="155"/>
      <c r="Q6" s="156"/>
    </row>
    <row r="7" spans="1:17" ht="16.899999999999999" customHeight="1" x14ac:dyDescent="0.2">
      <c r="A7" s="7" t="str">
        <f>Languages!A107</f>
        <v>Sociale lasten reserveren</v>
      </c>
      <c r="B7" s="7"/>
      <c r="C7" s="7"/>
      <c r="D7" s="7"/>
      <c r="E7" s="154"/>
      <c r="F7" s="155"/>
      <c r="G7" s="155"/>
      <c r="H7" s="156"/>
      <c r="I7" s="7"/>
      <c r="J7" s="7" t="str">
        <f>Languages!A107</f>
        <v>Sociale lasten reserveren</v>
      </c>
      <c r="K7" s="7"/>
      <c r="L7" s="7"/>
      <c r="M7" s="7"/>
      <c r="N7" s="154"/>
      <c r="O7" s="155"/>
      <c r="P7" s="155"/>
      <c r="Q7" s="156"/>
    </row>
    <row r="8" spans="1:17" ht="16.899999999999999" customHeight="1" x14ac:dyDescent="0.2">
      <c r="A8" s="7" t="str">
        <f>Languages!A108</f>
        <v>zo ja, welk pecentage?</v>
      </c>
      <c r="B8" s="7"/>
      <c r="C8" s="7"/>
      <c r="D8" s="7"/>
      <c r="E8" s="157"/>
      <c r="F8" s="158"/>
      <c r="G8" s="158"/>
      <c r="H8" s="159"/>
      <c r="I8" s="7"/>
      <c r="J8" s="7" t="str">
        <f>Languages!A108</f>
        <v>zo ja, welk pecentage?</v>
      </c>
      <c r="K8" s="7"/>
      <c r="L8" s="7"/>
      <c r="M8" s="7"/>
      <c r="N8" s="157"/>
      <c r="O8" s="158"/>
      <c r="P8" s="158"/>
      <c r="Q8" s="159"/>
    </row>
    <row r="9" spans="1:17" ht="16.899999999999999" customHeight="1" x14ac:dyDescent="0.2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</row>
    <row r="10" spans="1:17" ht="16.899999999999999" customHeight="1" x14ac:dyDescent="0.2">
      <c r="A10" s="7" t="str">
        <f>Languages!A109</f>
        <v>Betaling gebasseerd op</v>
      </c>
      <c r="B10" s="7"/>
      <c r="C10" s="7"/>
      <c r="D10" s="7"/>
      <c r="E10" s="160"/>
      <c r="F10" s="161"/>
      <c r="G10" s="161"/>
      <c r="H10" s="162"/>
      <c r="I10" s="7"/>
      <c r="J10" s="7" t="str">
        <f>Languages!A109</f>
        <v>Betaling gebasseerd op</v>
      </c>
      <c r="K10" s="7"/>
      <c r="L10" s="7"/>
      <c r="M10" s="7"/>
      <c r="N10" s="160"/>
      <c r="O10" s="161"/>
      <c r="P10" s="161"/>
      <c r="Q10" s="162"/>
    </row>
    <row r="11" spans="1:17" ht="16.899999999999999" customHeight="1" x14ac:dyDescent="0.2">
      <c r="A11" s="7" t="str">
        <f>Languages!A110</f>
        <v>Indien peilmaand, wat is de peilmaand?</v>
      </c>
      <c r="B11" s="7"/>
      <c r="C11" s="5"/>
      <c r="D11" s="6"/>
      <c r="E11" s="160"/>
      <c r="F11" s="161"/>
      <c r="G11" s="161"/>
      <c r="H11" s="162"/>
      <c r="I11" s="6"/>
      <c r="J11" s="7" t="str">
        <f>Languages!A110</f>
        <v>Indien peilmaand, wat is de peilmaand?</v>
      </c>
      <c r="K11" s="7"/>
      <c r="L11" s="5"/>
      <c r="M11" s="6"/>
      <c r="N11" s="160"/>
      <c r="O11" s="161"/>
      <c r="P11" s="161"/>
      <c r="Q11" s="162"/>
    </row>
    <row r="12" spans="1:17" ht="16.899999999999999" customHeight="1" x14ac:dyDescent="0.2">
      <c r="A12" s="7"/>
      <c r="B12" s="7"/>
      <c r="C12" s="6"/>
      <c r="D12" s="6"/>
      <c r="E12" s="7"/>
      <c r="F12" s="7"/>
      <c r="G12" s="7"/>
      <c r="H12" s="7"/>
      <c r="I12" s="6"/>
      <c r="J12" s="7"/>
      <c r="K12" s="7"/>
      <c r="L12" s="6"/>
      <c r="M12" s="6"/>
      <c r="N12" s="7"/>
      <c r="O12" s="7"/>
      <c r="P12" s="7"/>
      <c r="Q12" s="7"/>
    </row>
    <row r="13" spans="1:17" ht="16.899999999999999" customHeight="1" x14ac:dyDescent="0.2">
      <c r="A13" s="7" t="str">
        <f>Languages!A111</f>
        <v>Welke looncodes tellen in de</v>
      </c>
      <c r="B13" s="7"/>
      <c r="C13" s="6"/>
      <c r="D13" s="6"/>
      <c r="E13" s="157"/>
      <c r="F13" s="158"/>
      <c r="G13" s="158"/>
      <c r="H13" s="159"/>
      <c r="I13" s="6"/>
      <c r="J13" s="7" t="str">
        <f>Languages!A111</f>
        <v>Welke looncodes tellen in de</v>
      </c>
      <c r="K13" s="7"/>
      <c r="L13" s="6"/>
      <c r="M13" s="6"/>
      <c r="N13" s="157"/>
      <c r="O13" s="158"/>
      <c r="P13" s="158"/>
      <c r="Q13" s="159"/>
    </row>
    <row r="14" spans="1:17" ht="16.899999999999999" customHeight="1" x14ac:dyDescent="0.2">
      <c r="A14" s="7" t="str">
        <f>Languages!A112</f>
        <v>grondslag</v>
      </c>
      <c r="B14" s="7"/>
      <c r="C14" s="6"/>
      <c r="D14" s="6"/>
      <c r="E14" s="157"/>
      <c r="F14" s="158"/>
      <c r="G14" s="158"/>
      <c r="H14" s="159"/>
      <c r="I14" s="6"/>
      <c r="J14" s="7" t="str">
        <f>Languages!A112</f>
        <v>grondslag</v>
      </c>
      <c r="K14" s="7"/>
      <c r="L14" s="6"/>
      <c r="M14" s="6"/>
      <c r="N14" s="157"/>
      <c r="O14" s="158"/>
      <c r="P14" s="158"/>
      <c r="Q14" s="159"/>
    </row>
    <row r="15" spans="1:17" ht="16.899999999999999" customHeight="1" x14ac:dyDescent="0.2">
      <c r="A15" s="7"/>
      <c r="B15" s="7"/>
      <c r="C15" s="6"/>
      <c r="D15" s="6"/>
      <c r="E15" s="157"/>
      <c r="F15" s="158"/>
      <c r="G15" s="158"/>
      <c r="H15" s="159"/>
      <c r="I15" s="6"/>
      <c r="J15" s="7"/>
      <c r="K15" s="7"/>
      <c r="L15" s="6"/>
      <c r="M15" s="6"/>
      <c r="N15" s="157"/>
      <c r="O15" s="158"/>
      <c r="P15" s="158"/>
      <c r="Q15" s="159"/>
    </row>
    <row r="16" spans="1:17" ht="16.899999999999999" customHeight="1" x14ac:dyDescent="0.2">
      <c r="A16" s="7"/>
      <c r="B16" s="7"/>
      <c r="C16" s="6"/>
      <c r="D16" s="6"/>
      <c r="E16" s="157"/>
      <c r="F16" s="158"/>
      <c r="G16" s="158"/>
      <c r="H16" s="159"/>
      <c r="I16" s="6"/>
      <c r="J16" s="7"/>
      <c r="K16" s="7"/>
      <c r="L16" s="6"/>
      <c r="M16" s="6"/>
      <c r="N16" s="157"/>
      <c r="O16" s="158"/>
      <c r="P16" s="158"/>
      <c r="Q16" s="159"/>
    </row>
    <row r="17" spans="1:17" ht="16.899999999999999" customHeight="1" x14ac:dyDescent="0.2">
      <c r="A17" s="7"/>
      <c r="B17" s="7"/>
      <c r="C17" s="7"/>
      <c r="D17" s="8"/>
      <c r="E17" s="8"/>
      <c r="F17" s="7"/>
      <c r="G17" s="7"/>
      <c r="H17" s="7"/>
      <c r="I17" s="7"/>
      <c r="J17" s="7"/>
      <c r="K17" s="7"/>
      <c r="L17" s="20"/>
      <c r="M17" s="20"/>
      <c r="N17" s="20"/>
      <c r="O17" s="20"/>
      <c r="P17" s="20"/>
    </row>
    <row r="18" spans="1:17" ht="16.899999999999999" customHeight="1" x14ac:dyDescent="0.2">
      <c r="A18" s="7" t="str">
        <f>Languages!A113</f>
        <v>Uitbetaling in periode/maand</v>
      </c>
      <c r="B18" s="7"/>
      <c r="C18" s="6"/>
      <c r="D18" s="6"/>
      <c r="E18" s="157"/>
      <c r="F18" s="158"/>
      <c r="G18" s="158"/>
      <c r="H18" s="159"/>
      <c r="I18" s="6"/>
      <c r="J18" s="7" t="str">
        <f>Languages!A113</f>
        <v>Uitbetaling in periode/maand</v>
      </c>
      <c r="K18" s="7"/>
      <c r="L18" s="6"/>
      <c r="M18" s="6"/>
      <c r="N18" s="157"/>
      <c r="O18" s="158"/>
      <c r="P18" s="158"/>
      <c r="Q18" s="159"/>
    </row>
    <row r="19" spans="1:17" s="21" customFormat="1" ht="16.899999999999999" customHeight="1" x14ac:dyDescent="0.2">
      <c r="A19" s="7" t="str">
        <f>Languages!A114</f>
        <v>Uitbetaling in aparte run</v>
      </c>
      <c r="B19" s="7"/>
      <c r="C19" s="7"/>
      <c r="D19" s="7"/>
      <c r="E19" s="157"/>
      <c r="F19" s="158"/>
      <c r="G19" s="158"/>
      <c r="H19" s="159"/>
      <c r="I19" s="6"/>
      <c r="J19" s="7" t="str">
        <f>Languages!A114</f>
        <v>Uitbetaling in aparte run</v>
      </c>
      <c r="K19" s="7"/>
      <c r="L19" s="7"/>
      <c r="M19" s="7"/>
      <c r="N19" s="157"/>
      <c r="O19" s="158"/>
      <c r="P19" s="158"/>
      <c r="Q19" s="159"/>
    </row>
    <row r="20" spans="1:17" s="21" customFormat="1" ht="16.899999999999999" customHeight="1" x14ac:dyDescent="0.2">
      <c r="A20" s="7"/>
      <c r="B20" s="7"/>
      <c r="C20" s="7"/>
      <c r="D20" s="8"/>
      <c r="E20" s="8"/>
      <c r="F20" s="7"/>
      <c r="G20" s="7"/>
      <c r="H20" s="7"/>
      <c r="I20" s="7"/>
      <c r="J20" s="7"/>
      <c r="K20" s="7"/>
      <c r="L20" s="20"/>
      <c r="M20" s="20"/>
      <c r="N20" s="20"/>
      <c r="O20" s="20"/>
      <c r="P20" s="20"/>
      <c r="Q20" s="3"/>
    </row>
    <row r="21" spans="1:17" s="21" customFormat="1" ht="16.899999999999999" customHeight="1" x14ac:dyDescent="0.2">
      <c r="A21" s="7" t="str">
        <f>Languages!A115</f>
        <v>Minimum per periode/maand</v>
      </c>
      <c r="B21" s="7"/>
      <c r="C21" s="7"/>
      <c r="D21" s="8"/>
      <c r="E21" s="157"/>
      <c r="F21" s="158"/>
      <c r="G21" s="158"/>
      <c r="H21" s="159"/>
      <c r="I21" s="7"/>
      <c r="J21" s="7" t="str">
        <f>Languages!A115</f>
        <v>Minimum per periode/maand</v>
      </c>
      <c r="K21" s="7"/>
      <c r="L21" s="7"/>
      <c r="M21" s="8"/>
      <c r="N21" s="157"/>
      <c r="O21" s="158"/>
      <c r="P21" s="158"/>
      <c r="Q21" s="159"/>
    </row>
    <row r="22" spans="1:17" s="21" customFormat="1" ht="16.899999999999999" customHeight="1" x14ac:dyDescent="0.2">
      <c r="A22" s="36"/>
      <c r="B22" s="36"/>
      <c r="C22" s="36"/>
      <c r="D22" s="35"/>
      <c r="E22" s="163"/>
      <c r="F22" s="163"/>
      <c r="G22" s="163"/>
      <c r="H22" s="163"/>
      <c r="I22" s="36"/>
      <c r="J22" s="36"/>
      <c r="K22" s="36"/>
      <c r="L22" s="36"/>
      <c r="M22" s="35"/>
      <c r="N22" s="163"/>
      <c r="O22" s="163"/>
      <c r="P22" s="163"/>
      <c r="Q22" s="163"/>
    </row>
    <row r="23" spans="1:17" s="21" customFormat="1" ht="16.899999999999999" customHeight="1" x14ac:dyDescent="0.2">
      <c r="A23" s="7" t="str">
        <f>Languages!A204</f>
        <v>Uitbetalen in periode/maand uitdienst</v>
      </c>
      <c r="B23" s="7"/>
      <c r="C23" s="7"/>
      <c r="D23" s="8"/>
      <c r="E23" s="164"/>
      <c r="F23" s="165"/>
      <c r="G23" s="165"/>
      <c r="H23" s="166"/>
      <c r="I23" s="33"/>
      <c r="J23" s="7" t="str">
        <f>Languages!A204</f>
        <v>Uitbetalen in periode/maand uitdienst</v>
      </c>
      <c r="K23" s="7"/>
      <c r="L23" s="7"/>
      <c r="M23" s="8"/>
      <c r="N23" s="164"/>
      <c r="O23" s="165"/>
      <c r="P23" s="165"/>
      <c r="Q23" s="166"/>
    </row>
    <row r="24" spans="1:17" ht="16.899999999999999" customHeight="1" x14ac:dyDescent="0.2">
      <c r="A24" s="7"/>
      <c r="B24" s="7"/>
      <c r="C24" s="7"/>
      <c r="D24" s="8"/>
      <c r="E24" s="8"/>
      <c r="F24" s="7"/>
      <c r="G24" s="7"/>
      <c r="H24" s="7"/>
      <c r="I24" s="7"/>
      <c r="J24" s="20"/>
      <c r="K24" s="20"/>
      <c r="L24" s="20"/>
      <c r="M24" s="20"/>
      <c r="N24" s="20"/>
      <c r="O24" s="20"/>
      <c r="P24" s="20"/>
    </row>
    <row r="25" spans="1:17" ht="16.899999999999999" customHeight="1" x14ac:dyDescent="0.2">
      <c r="A25" s="9" t="str">
        <f>Languages!A42</f>
        <v>Opmerkingen:</v>
      </c>
      <c r="B25" s="7"/>
      <c r="C25" s="7"/>
      <c r="D25" s="8"/>
      <c r="E25" s="8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</row>
    <row r="26" spans="1:17" ht="16.899999999999999" customHeight="1" x14ac:dyDescent="0.2">
      <c r="A26" s="17"/>
      <c r="B26" s="10"/>
      <c r="C26" s="10"/>
      <c r="D26" s="11"/>
      <c r="E26" s="11"/>
      <c r="F26" s="12"/>
      <c r="G26" s="12"/>
      <c r="H26" s="12"/>
      <c r="I26" s="12"/>
      <c r="J26" s="12"/>
      <c r="K26" s="12"/>
      <c r="L26" s="12"/>
      <c r="M26" s="12"/>
      <c r="N26" s="13"/>
      <c r="O26" s="7"/>
      <c r="P26" s="7"/>
    </row>
    <row r="27" spans="1:17" ht="16.899999999999999" customHeight="1" x14ac:dyDescent="0.2">
      <c r="A27" s="18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14"/>
      <c r="O27" s="6"/>
      <c r="P27" s="6"/>
    </row>
    <row r="28" spans="1:17" ht="16.7" customHeight="1" x14ac:dyDescent="0.2">
      <c r="A28" s="18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14"/>
      <c r="O28" s="6"/>
      <c r="P28" s="6"/>
    </row>
    <row r="29" spans="1:17" ht="16.899999999999999" customHeight="1" x14ac:dyDescent="0.2">
      <c r="A29" s="19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6"/>
      <c r="O29" s="6"/>
      <c r="P29" s="6"/>
    </row>
  </sheetData>
  <sheetProtection algorithmName="SHA-512" hashValue="9e2POZaLnvmpNA12CcI2ZkRx/ehiSjC10LUR4/+r+doS3XpjfWyhLq3FipX4CSSyvZKbba+3eWD3S5OzN3gxcQ==" saltValue="thtKerbBsdTJxT73GPxCkA==" spinCount="100000" sheet="1" objects="1" scenarios="1"/>
  <protectedRanges>
    <protectedRange sqref="F4 H4 E5:H8 E10:H11 E13:H16 E18:H19 E21 E23 O4 Q4 N5:Q8 N10:Q11 N13:Q16 N18:Q19 N21 N23 A26:N29" name="Bereik1"/>
  </protectedRanges>
  <mergeCells count="30">
    <mergeCell ref="E23:H23"/>
    <mergeCell ref="N23:Q23"/>
    <mergeCell ref="E15:H15"/>
    <mergeCell ref="N15:Q15"/>
    <mergeCell ref="N16:Q16"/>
    <mergeCell ref="E16:H16"/>
    <mergeCell ref="E19:H19"/>
    <mergeCell ref="N19:Q19"/>
    <mergeCell ref="E22:H22"/>
    <mergeCell ref="N22:Q22"/>
    <mergeCell ref="E18:H18"/>
    <mergeCell ref="N18:Q18"/>
    <mergeCell ref="E21:H21"/>
    <mergeCell ref="N21:Q21"/>
    <mergeCell ref="E13:H13"/>
    <mergeCell ref="N13:Q13"/>
    <mergeCell ref="E14:H14"/>
    <mergeCell ref="E5:H5"/>
    <mergeCell ref="N5:Q5"/>
    <mergeCell ref="E6:H6"/>
    <mergeCell ref="N6:Q6"/>
    <mergeCell ref="E7:H7"/>
    <mergeCell ref="N7:Q7"/>
    <mergeCell ref="E8:H8"/>
    <mergeCell ref="N8:Q8"/>
    <mergeCell ref="E10:H10"/>
    <mergeCell ref="N10:Q10"/>
    <mergeCell ref="E11:H11"/>
    <mergeCell ref="N11:Q11"/>
    <mergeCell ref="N14:Q14"/>
  </mergeCells>
  <pageMargins left="0.39370078740157483" right="0.39370078740157483" top="0.39370078740157483" bottom="0.98425196850393704" header="0" footer="0.39370078740157483"/>
  <pageSetup paperSize="9" orientation="landscape" horizontalDpi="2400" verticalDpi="2400" r:id="rId1"/>
  <headerFooter>
    <oddFooter>&amp;L&amp;"Calibri,Standaard"&amp;K000000&amp;G</oddFooter>
  </headerFooter>
  <legacyDrawingHF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4754B48-5C12-4A5C-B8CC-7E51BF55FFA9}">
          <x14:formula1>
            <xm:f>'Validation values'!$A$6:$A$7</xm:f>
          </x14:formula1>
          <xm:sqref>N6:N7 E6:E7 E19 N19 N23 E23</xm:sqref>
        </x14:dataValidation>
        <x14:dataValidation type="list" allowBlank="1" showInputMessage="1" showErrorMessage="1" xr:uid="{F554CCE7-30CF-4B74-8122-DE6C7A55952F}">
          <x14:formula1>
            <xm:f>'Validation values'!$A$45:$A$69</xm:f>
          </x14:formula1>
          <xm:sqref>Q4 E18:H18 E11:H11 O4 H4 F4 N18:Q18 N11:Q11</xm:sqref>
        </x14:dataValidation>
        <x14:dataValidation type="list" allowBlank="1" showInputMessage="1" showErrorMessage="1" xr:uid="{2C85BB49-1AC1-4F93-A8B1-EB6F050B0EAF}">
          <x14:formula1>
            <xm:f>'Validation values'!$A$83:$A$84</xm:f>
          </x14:formula1>
          <xm:sqref>E10:H10 N10:Q10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427D3-2AD8-4E8B-981F-A0E1AECEECB8}">
  <sheetPr>
    <tabColor rgb="FFFFFF00"/>
  </sheetPr>
  <dimension ref="A1:Q29"/>
  <sheetViews>
    <sheetView showGridLines="0" showRuler="0" zoomScaleNormal="100" zoomScalePageLayoutView="90" workbookViewId="0">
      <selection activeCell="A26" sqref="A26"/>
    </sheetView>
  </sheetViews>
  <sheetFormatPr defaultColWidth="11.625" defaultRowHeight="16.899999999999999" customHeight="1" x14ac:dyDescent="0.2"/>
  <cols>
    <col min="1" max="4" width="7.375" style="3" customWidth="1"/>
    <col min="5" max="5" width="4.625" style="3" customWidth="1"/>
    <col min="6" max="6" width="11.25" style="3" customWidth="1"/>
    <col min="7" max="7" width="4.625" style="3" customWidth="1"/>
    <col min="8" max="8" width="11.25" style="3" customWidth="1"/>
    <col min="9" max="9" width="5" style="3" customWidth="1"/>
    <col min="10" max="13" width="7.375" style="3" customWidth="1"/>
    <col min="14" max="14" width="4.625" style="3" customWidth="1"/>
    <col min="15" max="15" width="11.25" style="3" customWidth="1"/>
    <col min="16" max="16" width="4.625" style="3" customWidth="1"/>
    <col min="17" max="17" width="11.25" style="3" customWidth="1"/>
    <col min="18" max="16384" width="11.625" style="3"/>
  </cols>
  <sheetData>
    <row r="1" spans="1:17" ht="16.899999999999999" customHeight="1" x14ac:dyDescent="0.25">
      <c r="A1" s="1" t="str">
        <f>Languages!A103</f>
        <v>Reserveringen</v>
      </c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16.899999999999999" customHeight="1" x14ac:dyDescent="0.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4"/>
      <c r="N2" s="4"/>
      <c r="O2" s="4"/>
      <c r="P2" s="4"/>
    </row>
    <row r="3" spans="1:17" ht="16.899999999999999" customHeight="1" x14ac:dyDescent="0.2">
      <c r="A3" s="5" t="str">
        <f>Languages!A119</f>
        <v>Individueel keuze budget</v>
      </c>
      <c r="B3" s="5"/>
      <c r="C3" s="5"/>
      <c r="D3" s="7"/>
      <c r="E3" s="7"/>
      <c r="F3" s="7"/>
      <c r="G3" s="7"/>
      <c r="H3" s="7"/>
      <c r="I3" s="7"/>
      <c r="J3" s="7"/>
      <c r="K3" s="7"/>
      <c r="L3" s="7"/>
      <c r="M3" s="4"/>
      <c r="N3" s="4"/>
      <c r="O3" s="4"/>
      <c r="P3" s="4"/>
    </row>
    <row r="4" spans="1:17" ht="16.899999999999999" customHeight="1" x14ac:dyDescent="0.2">
      <c r="A4" s="7" t="str">
        <f>Languages!A104</f>
        <v>Referentie jaar</v>
      </c>
      <c r="B4" s="7"/>
      <c r="C4" s="7"/>
      <c r="D4" s="7"/>
      <c r="E4" s="53" t="str">
        <f>Languages!A61</f>
        <v>van:</v>
      </c>
      <c r="F4" s="79"/>
      <c r="G4" s="54" t="str">
        <f>Languages!A62</f>
        <v>tot:</v>
      </c>
      <c r="H4" s="80"/>
      <c r="I4" s="7"/>
      <c r="J4" s="7"/>
      <c r="K4" s="7"/>
      <c r="L4" s="7"/>
      <c r="M4" s="4"/>
      <c r="N4" s="4"/>
      <c r="O4" s="4"/>
      <c r="P4" s="4"/>
    </row>
    <row r="5" spans="1:17" ht="16.899999999999999" customHeight="1" x14ac:dyDescent="0.2">
      <c r="A5" s="7" t="str">
        <f>Languages!A105</f>
        <v>Uitbetalingspercentage</v>
      </c>
      <c r="B5" s="7"/>
      <c r="C5" s="7"/>
      <c r="D5" s="7"/>
      <c r="E5" s="154"/>
      <c r="F5" s="155"/>
      <c r="G5" s="155"/>
      <c r="H5" s="156"/>
      <c r="I5" s="7"/>
      <c r="J5" s="7"/>
      <c r="K5" s="7"/>
      <c r="L5" s="7"/>
      <c r="M5" s="4"/>
      <c r="N5" s="4"/>
      <c r="O5" s="4"/>
      <c r="P5" s="4"/>
    </row>
    <row r="6" spans="1:17" ht="16.899999999999999" customHeight="1" x14ac:dyDescent="0.2">
      <c r="A6" s="7" t="str">
        <f>Languages!A106</f>
        <v>Periodiek reserveren</v>
      </c>
      <c r="B6" s="7"/>
      <c r="C6" s="7"/>
      <c r="D6" s="7"/>
      <c r="E6" s="154"/>
      <c r="F6" s="155"/>
      <c r="G6" s="155"/>
      <c r="H6" s="156"/>
      <c r="I6" s="7"/>
      <c r="J6" s="7"/>
      <c r="K6" s="7"/>
      <c r="L6" s="7"/>
      <c r="M6" s="4"/>
      <c r="N6" s="4"/>
      <c r="O6" s="4"/>
      <c r="P6" s="4"/>
    </row>
    <row r="7" spans="1:17" ht="16.899999999999999" customHeight="1" x14ac:dyDescent="0.2">
      <c r="A7" s="7" t="str">
        <f>Languages!A107</f>
        <v>Sociale lasten reserveren</v>
      </c>
      <c r="B7" s="7"/>
      <c r="C7" s="7"/>
      <c r="D7" s="7"/>
      <c r="E7" s="154"/>
      <c r="F7" s="155"/>
      <c r="G7" s="155"/>
      <c r="H7" s="156"/>
      <c r="I7" s="7"/>
      <c r="J7" s="7"/>
      <c r="K7" s="7"/>
      <c r="L7" s="7"/>
      <c r="M7" s="4"/>
      <c r="N7" s="4"/>
      <c r="O7" s="4"/>
      <c r="P7" s="4"/>
    </row>
    <row r="8" spans="1:17" ht="16.899999999999999" customHeight="1" x14ac:dyDescent="0.2">
      <c r="A8" s="7" t="str">
        <f>Languages!A108</f>
        <v>zo ja, welk pecentage?</v>
      </c>
      <c r="B8" s="7"/>
      <c r="C8" s="7"/>
      <c r="D8" s="7"/>
      <c r="E8" s="157"/>
      <c r="F8" s="158"/>
      <c r="G8" s="158"/>
      <c r="H8" s="159"/>
      <c r="I8" s="7"/>
      <c r="J8" s="7"/>
      <c r="K8" s="7"/>
      <c r="L8" s="7"/>
      <c r="M8" s="4"/>
      <c r="N8" s="4"/>
      <c r="O8" s="4"/>
      <c r="P8" s="4"/>
    </row>
    <row r="9" spans="1:17" ht="16.899999999999999" customHeight="1" x14ac:dyDescent="0.2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4"/>
      <c r="N9" s="4"/>
      <c r="O9" s="4"/>
      <c r="P9" s="4"/>
    </row>
    <row r="10" spans="1:17" ht="16.899999999999999" customHeight="1" x14ac:dyDescent="0.2">
      <c r="A10" s="7" t="str">
        <f>Languages!A109</f>
        <v>Betaling gebasseerd op</v>
      </c>
      <c r="B10" s="7"/>
      <c r="C10" s="7"/>
      <c r="D10" s="7"/>
      <c r="E10" s="160"/>
      <c r="F10" s="161"/>
      <c r="G10" s="161"/>
      <c r="H10" s="162"/>
      <c r="I10" s="7"/>
      <c r="J10" s="7"/>
      <c r="K10" s="7"/>
      <c r="L10" s="7"/>
      <c r="M10" s="4"/>
      <c r="N10" s="4"/>
      <c r="O10" s="4"/>
      <c r="P10" s="4"/>
    </row>
    <row r="11" spans="1:17" ht="16.899999999999999" customHeight="1" x14ac:dyDescent="0.2">
      <c r="A11" s="7" t="str">
        <f>Languages!A110</f>
        <v>Indien peilmaand, wat is de peilmaand?</v>
      </c>
      <c r="B11" s="7"/>
      <c r="C11" s="5"/>
      <c r="D11" s="6"/>
      <c r="E11" s="160"/>
      <c r="F11" s="161"/>
      <c r="G11" s="161"/>
      <c r="H11" s="162"/>
      <c r="I11" s="6"/>
      <c r="J11" s="7"/>
      <c r="K11" s="7"/>
      <c r="L11" s="7"/>
      <c r="M11" s="4"/>
      <c r="N11" s="4"/>
      <c r="O11" s="4"/>
      <c r="P11" s="4"/>
    </row>
    <row r="12" spans="1:17" ht="16.899999999999999" customHeight="1" x14ac:dyDescent="0.2">
      <c r="A12" s="7"/>
      <c r="B12" s="7"/>
      <c r="C12" s="6"/>
      <c r="D12" s="6"/>
      <c r="E12" s="7"/>
      <c r="F12" s="7"/>
      <c r="G12" s="7"/>
      <c r="H12" s="7"/>
      <c r="I12" s="6"/>
      <c r="J12" s="7"/>
      <c r="K12" s="7"/>
      <c r="L12" s="7"/>
      <c r="M12" s="4"/>
      <c r="N12" s="4"/>
      <c r="O12" s="4"/>
      <c r="P12" s="4"/>
    </row>
    <row r="13" spans="1:17" ht="16.899999999999999" customHeight="1" x14ac:dyDescent="0.2">
      <c r="A13" s="7" t="str">
        <f>Languages!A111</f>
        <v>Welke looncodes tellen in de</v>
      </c>
      <c r="B13" s="7"/>
      <c r="C13" s="6"/>
      <c r="D13" s="6"/>
      <c r="E13" s="157"/>
      <c r="F13" s="158"/>
      <c r="G13" s="158"/>
      <c r="H13" s="159"/>
      <c r="I13" s="6"/>
      <c r="J13" s="7"/>
      <c r="K13" s="7"/>
      <c r="L13" s="7"/>
      <c r="M13" s="4"/>
      <c r="N13" s="4"/>
      <c r="O13" s="4"/>
      <c r="P13" s="4"/>
    </row>
    <row r="14" spans="1:17" ht="16.899999999999999" customHeight="1" x14ac:dyDescent="0.2">
      <c r="A14" s="7" t="str">
        <f>Languages!A112</f>
        <v>grondslag</v>
      </c>
      <c r="B14" s="7"/>
      <c r="C14" s="6"/>
      <c r="D14" s="6"/>
      <c r="E14" s="157"/>
      <c r="F14" s="158"/>
      <c r="G14" s="158"/>
      <c r="H14" s="159"/>
      <c r="I14" s="6"/>
      <c r="J14" s="7"/>
      <c r="K14" s="7"/>
      <c r="L14" s="7"/>
      <c r="M14" s="4"/>
      <c r="N14" s="4"/>
      <c r="O14" s="4"/>
      <c r="P14" s="4"/>
    </row>
    <row r="15" spans="1:17" ht="16.899999999999999" customHeight="1" x14ac:dyDescent="0.2">
      <c r="A15" s="7"/>
      <c r="B15" s="7"/>
      <c r="C15" s="6"/>
      <c r="D15" s="6"/>
      <c r="E15" s="157"/>
      <c r="F15" s="158"/>
      <c r="G15" s="158"/>
      <c r="H15" s="159"/>
      <c r="I15" s="6"/>
      <c r="J15" s="7"/>
      <c r="K15" s="7"/>
      <c r="L15" s="7"/>
      <c r="M15" s="4"/>
      <c r="N15" s="4"/>
      <c r="O15" s="4"/>
      <c r="P15" s="4"/>
    </row>
    <row r="16" spans="1:17" ht="16.899999999999999" customHeight="1" x14ac:dyDescent="0.2">
      <c r="A16" s="7"/>
      <c r="B16" s="7"/>
      <c r="C16" s="6"/>
      <c r="D16" s="6"/>
      <c r="E16" s="157"/>
      <c r="F16" s="158"/>
      <c r="G16" s="158"/>
      <c r="H16" s="159"/>
      <c r="I16" s="6"/>
      <c r="J16" s="7"/>
      <c r="K16" s="7"/>
      <c r="L16" s="7"/>
      <c r="M16" s="4"/>
      <c r="N16" s="4"/>
      <c r="O16" s="4"/>
      <c r="P16" s="4"/>
    </row>
    <row r="17" spans="1:17" ht="16.899999999999999" customHeight="1" x14ac:dyDescent="0.2">
      <c r="A17" s="7"/>
      <c r="B17" s="7"/>
      <c r="C17" s="7"/>
      <c r="D17" s="8"/>
      <c r="E17" s="8"/>
      <c r="F17" s="7"/>
      <c r="G17" s="7"/>
      <c r="H17" s="7"/>
      <c r="I17" s="7"/>
      <c r="J17" s="7"/>
      <c r="K17" s="7"/>
      <c r="L17" s="7"/>
      <c r="M17" s="4"/>
      <c r="N17" s="4"/>
      <c r="O17" s="4"/>
      <c r="P17" s="4"/>
    </row>
    <row r="18" spans="1:17" ht="16.899999999999999" customHeight="1" x14ac:dyDescent="0.2">
      <c r="A18" s="7" t="str">
        <f>Languages!A113</f>
        <v>Uitbetaling in periode/maand</v>
      </c>
      <c r="B18" s="7"/>
      <c r="C18" s="6"/>
      <c r="D18" s="6"/>
      <c r="E18" s="157"/>
      <c r="F18" s="158"/>
      <c r="G18" s="158"/>
      <c r="H18" s="159"/>
      <c r="I18" s="7"/>
      <c r="J18" s="7"/>
      <c r="K18" s="7"/>
      <c r="L18" s="7"/>
      <c r="M18" s="4"/>
      <c r="N18" s="4"/>
      <c r="O18" s="4"/>
      <c r="P18" s="4"/>
    </row>
    <row r="19" spans="1:17" s="21" customFormat="1" ht="16.899999999999999" customHeight="1" x14ac:dyDescent="0.2">
      <c r="A19" s="7" t="str">
        <f>Languages!A114</f>
        <v>Uitbetaling in aparte run</v>
      </c>
      <c r="B19" s="7"/>
      <c r="C19" s="7"/>
      <c r="D19" s="7"/>
      <c r="E19" s="157"/>
      <c r="F19" s="158"/>
      <c r="G19" s="158"/>
      <c r="H19" s="159"/>
      <c r="I19" s="33"/>
      <c r="J19" s="7"/>
      <c r="K19" s="7"/>
      <c r="L19" s="7"/>
      <c r="M19" s="4"/>
      <c r="N19" s="4"/>
      <c r="O19" s="4"/>
      <c r="P19" s="4"/>
      <c r="Q19" s="3"/>
    </row>
    <row r="20" spans="1:17" s="21" customFormat="1" ht="16.899999999999999" customHeight="1" x14ac:dyDescent="0.2">
      <c r="A20" s="7"/>
      <c r="B20" s="7"/>
      <c r="C20" s="7"/>
      <c r="D20" s="8"/>
      <c r="E20" s="8"/>
      <c r="F20" s="7"/>
      <c r="G20" s="7"/>
      <c r="H20" s="7"/>
      <c r="I20" s="33"/>
      <c r="J20" s="7"/>
      <c r="K20" s="7"/>
      <c r="L20" s="7"/>
      <c r="M20" s="4"/>
      <c r="N20" s="4"/>
      <c r="O20" s="4"/>
      <c r="P20" s="4"/>
      <c r="Q20" s="3"/>
    </row>
    <row r="21" spans="1:17" s="21" customFormat="1" ht="16.899999999999999" customHeight="1" x14ac:dyDescent="0.2">
      <c r="A21" s="7" t="str">
        <f>Languages!A115</f>
        <v>Minimum per periode/maand</v>
      </c>
      <c r="B21" s="7"/>
      <c r="C21" s="7"/>
      <c r="D21" s="8"/>
      <c r="E21" s="157"/>
      <c r="F21" s="158"/>
      <c r="G21" s="158"/>
      <c r="H21" s="159"/>
      <c r="I21" s="36"/>
      <c r="J21" s="7"/>
      <c r="K21" s="7"/>
      <c r="L21" s="7"/>
      <c r="M21" s="4"/>
      <c r="N21" s="4"/>
      <c r="O21" s="4"/>
      <c r="P21" s="4"/>
      <c r="Q21" s="3"/>
    </row>
    <row r="22" spans="1:17" s="21" customFormat="1" ht="16.899999999999999" customHeight="1" x14ac:dyDescent="0.2">
      <c r="A22" s="36"/>
      <c r="B22" s="36"/>
      <c r="C22" s="36"/>
      <c r="D22" s="35"/>
      <c r="E22" s="163"/>
      <c r="F22" s="163"/>
      <c r="G22" s="163"/>
      <c r="H22" s="163"/>
      <c r="I22" s="36"/>
      <c r="J22" s="7"/>
      <c r="K22" s="7"/>
      <c r="L22" s="7"/>
      <c r="M22" s="4"/>
      <c r="N22" s="4"/>
      <c r="O22" s="4"/>
      <c r="P22" s="4"/>
      <c r="Q22" s="3"/>
    </row>
    <row r="23" spans="1:17" s="21" customFormat="1" ht="16.899999999999999" customHeight="1" x14ac:dyDescent="0.2">
      <c r="A23" s="7" t="str">
        <f>Languages!A204</f>
        <v>Uitbetalen in periode/maand uitdienst</v>
      </c>
      <c r="B23" s="7"/>
      <c r="C23" s="7"/>
      <c r="D23" s="8"/>
      <c r="E23" s="164"/>
      <c r="F23" s="165"/>
      <c r="G23" s="165"/>
      <c r="H23" s="166"/>
      <c r="I23" s="36"/>
      <c r="J23" s="7"/>
      <c r="K23" s="7"/>
      <c r="L23" s="7"/>
      <c r="M23" s="4"/>
      <c r="N23" s="4"/>
      <c r="O23" s="4"/>
      <c r="P23" s="4"/>
      <c r="Q23" s="3"/>
    </row>
    <row r="24" spans="1:17" ht="16.899999999999999" customHeight="1" x14ac:dyDescent="0.2">
      <c r="A24" s="7"/>
      <c r="B24" s="7"/>
      <c r="C24" s="7"/>
      <c r="D24" s="8"/>
      <c r="E24" s="8"/>
      <c r="F24" s="7"/>
      <c r="G24" s="7"/>
      <c r="H24" s="7"/>
      <c r="I24" s="7"/>
      <c r="J24" s="7"/>
      <c r="K24" s="7"/>
      <c r="L24" s="7"/>
      <c r="M24" s="4"/>
      <c r="N24" s="4"/>
      <c r="O24" s="4"/>
      <c r="P24" s="4"/>
    </row>
    <row r="25" spans="1:17" ht="16.899999999999999" customHeight="1" x14ac:dyDescent="0.2">
      <c r="A25" s="9" t="str">
        <f>Languages!A42</f>
        <v>Opmerkingen:</v>
      </c>
      <c r="B25" s="7"/>
      <c r="C25" s="7"/>
      <c r="D25" s="8"/>
      <c r="E25" s="8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</row>
    <row r="26" spans="1:17" ht="16.899999999999999" customHeight="1" x14ac:dyDescent="0.2">
      <c r="A26" s="17"/>
      <c r="B26" s="10"/>
      <c r="C26" s="10"/>
      <c r="D26" s="11"/>
      <c r="E26" s="11"/>
      <c r="F26" s="12"/>
      <c r="G26" s="12"/>
      <c r="H26" s="12"/>
      <c r="I26" s="12"/>
      <c r="J26" s="12"/>
      <c r="K26" s="12"/>
      <c r="L26" s="12"/>
      <c r="M26" s="12"/>
      <c r="N26" s="13"/>
      <c r="O26" s="7"/>
      <c r="P26" s="7"/>
    </row>
    <row r="27" spans="1:17" ht="16.899999999999999" customHeight="1" x14ac:dyDescent="0.2">
      <c r="A27" s="18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14"/>
      <c r="O27" s="6"/>
      <c r="P27" s="6"/>
    </row>
    <row r="28" spans="1:17" ht="16.7" customHeight="1" x14ac:dyDescent="0.2">
      <c r="A28" s="18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14"/>
      <c r="O28" s="6"/>
      <c r="P28" s="6"/>
    </row>
    <row r="29" spans="1:17" ht="16.899999999999999" customHeight="1" x14ac:dyDescent="0.2">
      <c r="A29" s="19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6"/>
      <c r="O29" s="6"/>
      <c r="P29" s="6"/>
    </row>
  </sheetData>
  <sheetProtection algorithmName="SHA-512" hashValue="ZTVYydj2raYvzCzSF47f2jJ8Z1iqQXk8kBG0ikocLGeP4O6sXAx5e10OElArE4qf/Ew860LrCiSX0nf7/MPV5g==" saltValue="qNwW8/tFB3bem2C5I6OcSw==" spinCount="100000" sheet="1" objects="1" scenarios="1"/>
  <protectedRanges>
    <protectedRange sqref="F4 H4 E5:H8 E10:H11 E13:H16 E18:H19 E21 E23 A26:N29" name="Bereik1"/>
  </protectedRanges>
  <mergeCells count="15">
    <mergeCell ref="E23:H23"/>
    <mergeCell ref="E5:H5"/>
    <mergeCell ref="E6:H6"/>
    <mergeCell ref="E7:H7"/>
    <mergeCell ref="E19:H19"/>
    <mergeCell ref="E22:H22"/>
    <mergeCell ref="E21:H21"/>
    <mergeCell ref="E18:H18"/>
    <mergeCell ref="E8:H8"/>
    <mergeCell ref="E10:H10"/>
    <mergeCell ref="E11:H11"/>
    <mergeCell ref="E15:H15"/>
    <mergeCell ref="E13:H13"/>
    <mergeCell ref="E14:H14"/>
    <mergeCell ref="E16:H16"/>
  </mergeCells>
  <pageMargins left="0.39370078740157483" right="0.39370078740157483" top="0.39370078740157483" bottom="0.98425196850393704" header="0" footer="0.39370078740157483"/>
  <pageSetup paperSize="9" orientation="landscape" horizontalDpi="2400" verticalDpi="2400" r:id="rId1"/>
  <headerFooter>
    <oddFooter>&amp;L&amp;"Calibri,Standaard"&amp;K000000&amp;G</oddFooter>
  </headerFooter>
  <legacyDrawingHF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9BCACB7-E3B8-4C2C-9EA7-CA735599929C}">
          <x14:formula1>
            <xm:f>'Validation values'!$A$6:$A$7</xm:f>
          </x14:formula1>
          <xm:sqref>E19 E6:E7 E23</xm:sqref>
        </x14:dataValidation>
        <x14:dataValidation type="list" allowBlank="1" showInputMessage="1" showErrorMessage="1" xr:uid="{E6E32EEE-8738-4978-A96A-17E6D62B9FA4}">
          <x14:formula1>
            <xm:f>'Validation values'!$A$45:$A$69</xm:f>
          </x14:formula1>
          <xm:sqref>F4 E18:H18 H4 E11:H11</xm:sqref>
        </x14:dataValidation>
        <x14:dataValidation type="list" allowBlank="1" showInputMessage="1" showErrorMessage="1" xr:uid="{5633289A-9CB1-4E76-8B9D-B694C4661BD6}">
          <x14:formula1>
            <xm:f>'Validation values'!$A$83:$A$84</xm:f>
          </x14:formula1>
          <xm:sqref>E10:H10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02346-F2A1-4915-8970-3E156FECD196}">
  <sheetPr>
    <tabColor rgb="FF92D050"/>
  </sheetPr>
  <dimension ref="A1:Q29"/>
  <sheetViews>
    <sheetView showGridLines="0" showRuler="0" zoomScaleNormal="100" zoomScalePageLayoutView="90" workbookViewId="0">
      <selection activeCell="A26" sqref="A26"/>
    </sheetView>
  </sheetViews>
  <sheetFormatPr defaultColWidth="11.625" defaultRowHeight="16.899999999999999" customHeight="1" x14ac:dyDescent="0.2"/>
  <cols>
    <col min="1" max="3" width="7.375" style="3" customWidth="1"/>
    <col min="4" max="4" width="8.375" style="3" customWidth="1"/>
    <col min="5" max="5" width="6.875" style="3" customWidth="1"/>
    <col min="6" max="6" width="8.875" style="3" customWidth="1"/>
    <col min="7" max="7" width="6.875" style="3" customWidth="1"/>
    <col min="8" max="8" width="3.75" style="3" customWidth="1"/>
    <col min="9" max="9" width="4.75" style="3" customWidth="1"/>
    <col min="10" max="10" width="4" style="3" customWidth="1"/>
    <col min="11" max="14" width="7.375" style="3" customWidth="1"/>
    <col min="15" max="17" width="10.625" style="3" customWidth="1"/>
    <col min="18" max="16384" width="11.625" style="3"/>
  </cols>
  <sheetData>
    <row r="1" spans="1:17" ht="16.899999999999999" customHeight="1" x14ac:dyDescent="0.25">
      <c r="A1" s="1" t="str">
        <f>Languages!A120</f>
        <v>Regelingen</v>
      </c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16.899999999999999" customHeight="1" x14ac:dyDescent="0.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4"/>
      <c r="O2" s="4"/>
      <c r="P2" s="4"/>
      <c r="Q2" s="4"/>
    </row>
    <row r="3" spans="1:17" ht="16.899999999999999" customHeight="1" x14ac:dyDescent="0.2">
      <c r="A3" s="5" t="str">
        <f>Languages!A121</f>
        <v>Pensioen regeling</v>
      </c>
      <c r="B3" s="5"/>
      <c r="C3" s="5"/>
      <c r="D3" s="7"/>
      <c r="E3" s="7"/>
      <c r="F3" s="7"/>
      <c r="G3" s="7"/>
      <c r="H3" s="7"/>
      <c r="I3" s="7"/>
      <c r="J3" s="7"/>
      <c r="K3" s="8"/>
      <c r="L3" s="8"/>
      <c r="M3" s="8"/>
      <c r="N3" s="8"/>
      <c r="O3" s="8"/>
      <c r="P3" s="8"/>
      <c r="Q3" s="6"/>
    </row>
    <row r="4" spans="1:17" ht="16.899999999999999" customHeight="1" x14ac:dyDescent="0.2">
      <c r="A4" s="7" t="str">
        <f>Languages!A122</f>
        <v>Aangesloten bij bedrijfspensioenfonds</v>
      </c>
      <c r="B4" s="7"/>
      <c r="C4" s="7"/>
      <c r="D4" s="7"/>
      <c r="E4" s="157" t="s">
        <v>2</v>
      </c>
      <c r="F4" s="158"/>
      <c r="G4" s="158"/>
      <c r="H4" s="158"/>
      <c r="I4" s="159"/>
      <c r="J4" s="7"/>
      <c r="K4" s="7" t="str">
        <f>Languages!A138</f>
        <v>Basis periode</v>
      </c>
      <c r="L4" s="7"/>
      <c r="M4" s="6"/>
      <c r="N4" s="6"/>
      <c r="O4" s="157"/>
      <c r="P4" s="158"/>
      <c r="Q4" s="159"/>
    </row>
    <row r="5" spans="1:17" ht="16.899999999999999" customHeight="1" x14ac:dyDescent="0.2">
      <c r="A5" s="7" t="str">
        <f>Languages!A123</f>
        <v>zo ja, welke?</v>
      </c>
      <c r="B5" s="7"/>
      <c r="C5" s="7"/>
      <c r="D5" s="7"/>
      <c r="E5" s="157"/>
      <c r="F5" s="158"/>
      <c r="G5" s="158"/>
      <c r="H5" s="158"/>
      <c r="I5" s="159"/>
      <c r="J5" s="7"/>
    </row>
    <row r="6" spans="1:17" ht="16.899999999999999" customHeight="1" x14ac:dyDescent="0.2">
      <c r="A6" s="7" t="str">
        <f>Languages!A124</f>
        <v>Berekeningsmethode conform BPF?</v>
      </c>
      <c r="B6" s="7"/>
      <c r="C6" s="7"/>
      <c r="D6" s="7"/>
      <c r="E6" s="157"/>
      <c r="F6" s="158"/>
      <c r="G6" s="158"/>
      <c r="H6" s="158"/>
      <c r="I6" s="159"/>
      <c r="J6" s="7"/>
      <c r="K6" s="7" t="str">
        <f>Languages!A111</f>
        <v>Welke looncodes tellen in de</v>
      </c>
      <c r="L6" s="7"/>
      <c r="M6" s="7"/>
      <c r="N6" s="7"/>
      <c r="O6" s="157" t="str">
        <f>Languages!A65</f>
        <v>Graag opgeven op tabblad "Wage codes"</v>
      </c>
      <c r="P6" s="158"/>
      <c r="Q6" s="159"/>
    </row>
    <row r="7" spans="1:17" ht="16.899999999999999" customHeight="1" x14ac:dyDescent="0.2">
      <c r="A7" s="7"/>
      <c r="B7" s="7"/>
      <c r="C7" s="7"/>
      <c r="D7" s="7"/>
      <c r="E7" s="7"/>
      <c r="F7" s="7"/>
      <c r="G7" s="7"/>
      <c r="H7" s="7"/>
      <c r="I7" s="7"/>
      <c r="J7" s="7"/>
      <c r="K7" s="7" t="str">
        <f>Languages!A139</f>
        <v>(pensioen)grondslag</v>
      </c>
      <c r="L7" s="7"/>
      <c r="M7" s="7"/>
      <c r="N7" s="7"/>
      <c r="O7" s="157"/>
      <c r="P7" s="158"/>
      <c r="Q7" s="159"/>
    </row>
    <row r="8" spans="1:17" ht="16.899999999999999" customHeight="1" x14ac:dyDescent="0.2">
      <c r="A8" s="7" t="str">
        <f>Languages!A125</f>
        <v>Start leeftijdsbepaling</v>
      </c>
      <c r="B8" s="7"/>
      <c r="C8" s="7"/>
      <c r="D8" s="7"/>
      <c r="E8" s="157"/>
      <c r="F8" s="158"/>
      <c r="G8" s="158"/>
      <c r="H8" s="158"/>
      <c r="I8" s="159"/>
      <c r="J8" s="7"/>
      <c r="K8" s="7"/>
      <c r="L8" s="7"/>
      <c r="M8" s="7"/>
      <c r="N8" s="7"/>
      <c r="O8" s="157"/>
      <c r="P8" s="158"/>
      <c r="Q8" s="159"/>
    </row>
    <row r="9" spans="1:17" ht="16.899999999999999" customHeight="1" x14ac:dyDescent="0.2">
      <c r="A9" s="7" t="str">
        <f>Languages!A126</f>
        <v>Minimum leeftijd</v>
      </c>
      <c r="B9" s="7"/>
      <c r="C9" s="7"/>
      <c r="D9" s="7"/>
      <c r="E9" s="86" t="str">
        <f>Languages!A63</f>
        <v>Jaren:</v>
      </c>
      <c r="F9" s="79"/>
      <c r="G9" s="87" t="str">
        <f>Languages!A64</f>
        <v>Maanden:</v>
      </c>
      <c r="H9" s="176"/>
      <c r="I9" s="177"/>
      <c r="J9" s="7"/>
      <c r="K9" s="7"/>
      <c r="L9" s="7"/>
      <c r="M9" s="7"/>
      <c r="N9" s="7"/>
      <c r="O9" s="157"/>
      <c r="P9" s="158"/>
      <c r="Q9" s="159"/>
    </row>
    <row r="10" spans="1:17" ht="16.899999999999999" customHeight="1" x14ac:dyDescent="0.2">
      <c r="A10" s="7" t="str">
        <f>Languages!A127</f>
        <v>Begin of eind periode</v>
      </c>
      <c r="B10" s="7"/>
      <c r="C10" s="7"/>
      <c r="D10" s="7"/>
      <c r="E10" s="157"/>
      <c r="F10" s="158"/>
      <c r="G10" s="158"/>
      <c r="H10" s="158"/>
      <c r="I10" s="159"/>
      <c r="J10" s="7"/>
      <c r="K10" s="7"/>
      <c r="L10" s="7"/>
      <c r="M10" s="7"/>
      <c r="N10" s="7"/>
      <c r="O10" s="157"/>
      <c r="P10" s="158"/>
      <c r="Q10" s="159"/>
    </row>
    <row r="11" spans="1:17" ht="16.899999999999999" customHeight="1" x14ac:dyDescent="0.2">
      <c r="A11" s="7"/>
      <c r="B11" s="7"/>
      <c r="C11" s="5"/>
      <c r="D11" s="6"/>
      <c r="E11" s="8"/>
      <c r="F11" s="7"/>
      <c r="G11" s="7"/>
      <c r="H11" s="7"/>
      <c r="I11" s="7"/>
      <c r="J11" s="6"/>
    </row>
    <row r="12" spans="1:17" ht="16.899999999999999" customHeight="1" x14ac:dyDescent="0.2">
      <c r="A12" s="7" t="str">
        <f>Languages!A128</f>
        <v>Einde leeftijdsbepaling</v>
      </c>
      <c r="B12" s="7"/>
      <c r="C12" s="7"/>
      <c r="D12" s="7"/>
      <c r="E12" s="157"/>
      <c r="F12" s="158"/>
      <c r="G12" s="158"/>
      <c r="H12" s="158"/>
      <c r="I12" s="159"/>
      <c r="J12" s="6"/>
      <c r="K12" s="7" t="str">
        <f>Languages!A140</f>
        <v>Is er een leeftijdsstaffel van toepassing?</v>
      </c>
      <c r="L12" s="7"/>
      <c r="M12" s="7"/>
      <c r="N12" s="7"/>
      <c r="O12" s="157"/>
      <c r="P12" s="158"/>
      <c r="Q12" s="159"/>
    </row>
    <row r="13" spans="1:17" ht="16.899999999999999" customHeight="1" x14ac:dyDescent="0.2">
      <c r="A13" s="7" t="str">
        <f>Languages!A129</f>
        <v>Maximum leeftijd</v>
      </c>
      <c r="B13" s="7"/>
      <c r="C13" s="7"/>
      <c r="D13" s="7"/>
      <c r="E13" s="86" t="str">
        <f>Languages!A63</f>
        <v>Jaren:</v>
      </c>
      <c r="F13" s="79"/>
      <c r="G13" s="87" t="str">
        <f>Languages!A64</f>
        <v>Maanden:</v>
      </c>
      <c r="H13" s="176"/>
      <c r="I13" s="177"/>
      <c r="J13" s="6"/>
      <c r="K13" s="7" t="str">
        <f>Languages!A141</f>
        <v>zo ja, graag specificeren</v>
      </c>
      <c r="L13" s="7"/>
      <c r="M13" s="5"/>
      <c r="N13" s="6"/>
      <c r="O13" s="97" t="str">
        <f>Languages!A143</f>
        <v>Leeftijd</v>
      </c>
      <c r="P13" s="91" t="str">
        <f>Languages!A144</f>
        <v>% Wkn</v>
      </c>
      <c r="Q13" s="91" t="str">
        <f>Languages!A145</f>
        <v>% Wkg</v>
      </c>
    </row>
    <row r="14" spans="1:17" ht="16.899999999999999" customHeight="1" x14ac:dyDescent="0.2">
      <c r="A14" s="7" t="str">
        <f>Languages!A127</f>
        <v>Begin of eind periode</v>
      </c>
      <c r="B14" s="7"/>
      <c r="C14" s="7"/>
      <c r="D14" s="7"/>
      <c r="E14" s="157"/>
      <c r="F14" s="158"/>
      <c r="G14" s="158"/>
      <c r="H14" s="158"/>
      <c r="I14" s="159"/>
      <c r="J14" s="6"/>
      <c r="K14" s="7"/>
      <c r="L14" s="7"/>
      <c r="M14" s="6"/>
      <c r="N14" s="6"/>
      <c r="O14" s="90"/>
      <c r="P14" s="92"/>
      <c r="Q14" s="92"/>
    </row>
    <row r="15" spans="1:17" ht="16.899999999999999" customHeight="1" x14ac:dyDescent="0.2">
      <c r="A15" s="7"/>
      <c r="B15" s="7"/>
      <c r="C15" s="6"/>
      <c r="D15" s="6"/>
      <c r="E15" s="8"/>
      <c r="F15" s="7"/>
      <c r="G15" s="7"/>
      <c r="H15" s="7"/>
      <c r="I15" s="7"/>
      <c r="J15" s="6"/>
      <c r="K15" s="7"/>
      <c r="L15" s="7"/>
      <c r="M15" s="6"/>
      <c r="N15" s="6"/>
      <c r="O15" s="90"/>
      <c r="P15" s="92"/>
      <c r="Q15" s="92"/>
    </row>
    <row r="16" spans="1:17" ht="16.899999999999999" customHeight="1" x14ac:dyDescent="0.2">
      <c r="A16" s="7" t="str">
        <f>Languages!A131</f>
        <v>Werknemers %</v>
      </c>
      <c r="B16" s="7"/>
      <c r="C16" s="6"/>
      <c r="D16" s="6"/>
      <c r="E16" s="170"/>
      <c r="F16" s="171"/>
      <c r="G16" s="171"/>
      <c r="H16" s="171"/>
      <c r="I16" s="172"/>
      <c r="J16" s="6"/>
      <c r="K16" s="7"/>
      <c r="L16" s="7"/>
      <c r="M16" s="6"/>
      <c r="N16" s="6"/>
      <c r="O16" s="90"/>
      <c r="P16" s="92"/>
      <c r="Q16" s="92"/>
    </row>
    <row r="17" spans="1:17" ht="16.899999999999999" customHeight="1" x14ac:dyDescent="0.2">
      <c r="A17" s="7" t="str">
        <f>Languages!A130</f>
        <v>Werkgevers %</v>
      </c>
      <c r="B17" s="7"/>
      <c r="C17" s="6"/>
      <c r="D17" s="6"/>
      <c r="E17" s="170"/>
      <c r="F17" s="171"/>
      <c r="G17" s="171"/>
      <c r="H17" s="171"/>
      <c r="I17" s="172"/>
      <c r="J17" s="6"/>
      <c r="K17" s="7"/>
      <c r="L17" s="7"/>
      <c r="M17" s="6"/>
      <c r="N17" s="6"/>
      <c r="O17" s="90"/>
      <c r="P17" s="92"/>
      <c r="Q17" s="92"/>
    </row>
    <row r="18" spans="1:17" ht="16.899999999999999" customHeight="1" x14ac:dyDescent="0.2">
      <c r="A18" s="7" t="str">
        <f>Languages!A132</f>
        <v>Franchise</v>
      </c>
      <c r="B18" s="7"/>
      <c r="C18" s="6"/>
      <c r="D18" s="6"/>
      <c r="E18" s="173"/>
      <c r="F18" s="174"/>
      <c r="G18" s="174"/>
      <c r="H18" s="174"/>
      <c r="I18" s="175"/>
      <c r="J18" s="6"/>
      <c r="K18" s="7"/>
      <c r="L18" s="7"/>
      <c r="M18" s="6"/>
      <c r="N18" s="6"/>
      <c r="O18" s="90"/>
      <c r="P18" s="92"/>
      <c r="Q18" s="92"/>
    </row>
    <row r="19" spans="1:17" ht="16.899999999999999" customHeight="1" x14ac:dyDescent="0.2">
      <c r="A19" s="7" t="str">
        <f>Languages!A133</f>
        <v>Maximum jaarbedrag</v>
      </c>
      <c r="B19" s="7"/>
      <c r="C19" s="7"/>
      <c r="D19" s="7"/>
      <c r="E19" s="173"/>
      <c r="F19" s="174"/>
      <c r="G19" s="174"/>
      <c r="H19" s="174"/>
      <c r="I19" s="175"/>
      <c r="J19" s="6"/>
      <c r="K19" s="7"/>
      <c r="L19" s="7"/>
      <c r="M19" s="6"/>
      <c r="N19" s="6"/>
      <c r="O19" s="90"/>
      <c r="P19" s="92"/>
      <c r="Q19" s="92"/>
    </row>
    <row r="20" spans="1:17" ht="16.899999999999999" customHeight="1" x14ac:dyDescent="0.2">
      <c r="J20" s="6"/>
      <c r="K20" s="7"/>
      <c r="L20" s="7"/>
      <c r="M20" s="6"/>
      <c r="N20" s="6"/>
      <c r="O20" s="90"/>
      <c r="P20" s="92"/>
      <c r="Q20" s="92"/>
    </row>
    <row r="21" spans="1:17" ht="16.899999999999999" customHeight="1" x14ac:dyDescent="0.2">
      <c r="A21" s="7" t="str">
        <f>Languages!A134</f>
        <v>Vermenigvuldigingsfactor</v>
      </c>
      <c r="B21" s="7"/>
      <c r="C21" s="7"/>
      <c r="D21" s="7"/>
      <c r="E21" s="167"/>
      <c r="F21" s="168"/>
      <c r="G21" s="168"/>
      <c r="H21" s="168"/>
      <c r="I21" s="169"/>
      <c r="J21" s="6"/>
      <c r="K21" s="7"/>
      <c r="L21" s="7"/>
      <c r="M21" s="6"/>
      <c r="N21" s="6"/>
      <c r="O21" s="90"/>
      <c r="P21" s="92"/>
      <c r="Q21" s="92"/>
    </row>
    <row r="22" spans="1:17" ht="16.899999999999999" customHeight="1" x14ac:dyDescent="0.2">
      <c r="A22" s="7" t="str">
        <f>Languages!A135</f>
        <v>Deelfactor</v>
      </c>
      <c r="B22" s="7"/>
      <c r="C22" s="7"/>
      <c r="D22" s="7"/>
      <c r="E22" s="167"/>
      <c r="F22" s="168"/>
      <c r="G22" s="168"/>
      <c r="H22" s="168"/>
      <c r="I22" s="169"/>
      <c r="J22" s="7"/>
      <c r="K22" s="7"/>
      <c r="L22" s="7"/>
      <c r="M22" s="7"/>
      <c r="N22" s="7"/>
      <c r="O22" s="90"/>
      <c r="P22" s="92"/>
      <c r="Q22" s="92"/>
    </row>
    <row r="23" spans="1:17" ht="16.899999999999999" customHeight="1" x14ac:dyDescent="0.2">
      <c r="J23" s="7"/>
      <c r="K23" s="7"/>
      <c r="L23" s="7"/>
      <c r="M23" s="6"/>
      <c r="N23" s="8"/>
      <c r="O23" s="90"/>
      <c r="P23" s="92"/>
      <c r="Q23" s="92"/>
    </row>
    <row r="24" spans="1:17" ht="16.899999999999999" customHeight="1" x14ac:dyDescent="0.2">
      <c r="A24" s="7"/>
      <c r="B24" s="7"/>
      <c r="C24" s="7"/>
      <c r="D24" s="8"/>
      <c r="E24" s="8"/>
      <c r="F24" s="7"/>
      <c r="G24" s="7"/>
      <c r="H24" s="7"/>
      <c r="I24" s="7"/>
      <c r="J24" s="7"/>
    </row>
    <row r="25" spans="1:17" ht="16.899999999999999" customHeight="1" x14ac:dyDescent="0.2">
      <c r="A25" s="9" t="str">
        <f>Languages!A42</f>
        <v>Opmerkingen:</v>
      </c>
      <c r="B25" s="7"/>
      <c r="C25" s="7"/>
      <c r="D25" s="8"/>
      <c r="E25" s="8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</row>
    <row r="26" spans="1:17" ht="16.899999999999999" customHeight="1" x14ac:dyDescent="0.2">
      <c r="A26" s="17" t="str">
        <f>Languages!A137</f>
        <v>Als UPA aangifte van toepassing is, geef hier dan de account informatie op. Zoals gebruikersinfo, wachtwoord en productcodes.</v>
      </c>
      <c r="B26" s="10"/>
      <c r="C26" s="10"/>
      <c r="D26" s="11"/>
      <c r="E26" s="11"/>
      <c r="F26" s="12"/>
      <c r="G26" s="12"/>
      <c r="H26" s="12"/>
      <c r="I26" s="12"/>
      <c r="J26" s="12"/>
      <c r="K26" s="12"/>
      <c r="L26" s="12"/>
      <c r="M26" s="12"/>
      <c r="N26" s="12"/>
      <c r="O26" s="13"/>
      <c r="P26" s="7"/>
      <c r="Q26" s="7"/>
    </row>
    <row r="27" spans="1:17" ht="16.899999999999999" customHeight="1" x14ac:dyDescent="0.2">
      <c r="A27" s="18" t="s">
        <v>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14"/>
      <c r="P27" s="6"/>
      <c r="Q27" s="6"/>
    </row>
    <row r="28" spans="1:17" ht="16.7" customHeight="1" x14ac:dyDescent="0.2">
      <c r="A28" s="18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14"/>
      <c r="P28" s="6"/>
      <c r="Q28" s="6"/>
    </row>
    <row r="29" spans="1:17" ht="16.899999999999999" customHeight="1" x14ac:dyDescent="0.2">
      <c r="A29" s="19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6"/>
      <c r="P29" s="6"/>
      <c r="Q29" s="6"/>
    </row>
  </sheetData>
  <sheetProtection algorithmName="SHA-512" hashValue="2FYXlw1o1UCXYir1QzCPSSdmEpL46Bo+YdqKDPOa9/EOsM945cUb+HKBaywcyXuQAbRy+hmiSFJHouTLek+mEw==" saltValue="xjGQpN4cu4d2Rfy7fqE7Uw==" spinCount="100000" sheet="1" objects="1" scenarios="1"/>
  <protectedRanges>
    <protectedRange sqref="E4 E4:I6 E8 F9 H9 E10 E12 F13 H13 E14 E16:I19 E21:I22 A26:O29 O4 O12 O14:Q23" name="Bereik1"/>
  </protectedRanges>
  <mergeCells count="22">
    <mergeCell ref="E14:I14"/>
    <mergeCell ref="O10:Q10"/>
    <mergeCell ref="O4:Q4"/>
    <mergeCell ref="O6:Q6"/>
    <mergeCell ref="O12:Q12"/>
    <mergeCell ref="E4:I4"/>
    <mergeCell ref="E5:I5"/>
    <mergeCell ref="O8:Q8"/>
    <mergeCell ref="E6:I6"/>
    <mergeCell ref="O9:Q9"/>
    <mergeCell ref="E10:I10"/>
    <mergeCell ref="O7:Q7"/>
    <mergeCell ref="E8:I8"/>
    <mergeCell ref="E12:I12"/>
    <mergeCell ref="H9:I9"/>
    <mergeCell ref="H13:I13"/>
    <mergeCell ref="E22:I22"/>
    <mergeCell ref="E16:I16"/>
    <mergeCell ref="E18:I18"/>
    <mergeCell ref="E19:I19"/>
    <mergeCell ref="E17:I17"/>
    <mergeCell ref="E21:I21"/>
  </mergeCells>
  <conditionalFormatting sqref="E8:I8">
    <cfRule type="colorScale" priority="2">
      <colorScale>
        <cfvo type="min"/>
        <cfvo type="max"/>
        <color rgb="FFFF7128"/>
        <color rgb="FFFFEF9C"/>
      </colorScale>
    </cfRule>
  </conditionalFormatting>
  <conditionalFormatting sqref="E12:I12">
    <cfRule type="colorScale" priority="1">
      <colorScale>
        <cfvo type="min"/>
        <cfvo type="max"/>
        <color rgb="FFFF7128"/>
        <color rgb="FFFFEF9C"/>
      </colorScale>
    </cfRule>
  </conditionalFormatting>
  <pageMargins left="0.39370078740157483" right="0.39370078740157483" top="0.39370078740157483" bottom="0.98425196850393704" header="0" footer="0.39370078740157483"/>
  <pageSetup paperSize="9" orientation="landscape" horizontalDpi="2400" verticalDpi="2400" r:id="rId1"/>
  <headerFooter>
    <oddFooter>&amp;L&amp;"Calibri,Standaard"&amp;K000000&amp;G</oddFooter>
  </headerFooter>
  <legacyDrawingHF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86E76B1-02A0-4575-8A32-3B9E7DE89CFE}">
          <x14:formula1>
            <xm:f>'Validation values'!$A$6:$A$7</xm:f>
          </x14:formula1>
          <xm:sqref>E6 E4 O12</xm:sqref>
        </x14:dataValidation>
        <x14:dataValidation type="list" allowBlank="1" showInputMessage="1" showErrorMessage="1" xr:uid="{1B98FA04-1CEE-4F7B-9F86-6AEF7CE28971}">
          <x14:formula1>
            <xm:f>'Validation values'!$A$45:$A$69</xm:f>
          </x14:formula1>
          <xm:sqref>O4:Q4</xm:sqref>
        </x14:dataValidation>
        <x14:dataValidation type="list" allowBlank="1" showInputMessage="1" showErrorMessage="1" xr:uid="{B849856A-89D7-4EA1-ACF0-FA4A86789C0C}">
          <x14:formula1>
            <xm:f>'Validation values'!$A$72:$A$73</xm:f>
          </x14:formula1>
          <xm:sqref>E10:I10 E14:I14</xm:sqref>
        </x14:dataValidation>
        <x14:dataValidation type="list" allowBlank="1" showInputMessage="1" showErrorMessage="1" xr:uid="{AB25A9E1-BAAE-4C77-A957-127297381D02}">
          <x14:formula1>
            <xm:f>'Validation values'!$A$87:$A$95</xm:f>
          </x14:formula1>
          <xm:sqref>E8:I8 E12:I12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FDB44-A9B1-4374-BD68-31AF191EBA73}">
  <sheetPr>
    <tabColor rgb="FF92D050"/>
  </sheetPr>
  <dimension ref="A1:Q29"/>
  <sheetViews>
    <sheetView showGridLines="0" showRuler="0" zoomScaleNormal="100" zoomScalePageLayoutView="90" workbookViewId="0">
      <selection activeCell="E4" sqref="E4:I4"/>
    </sheetView>
  </sheetViews>
  <sheetFormatPr defaultColWidth="11.625" defaultRowHeight="16.899999999999999" customHeight="1" x14ac:dyDescent="0.2"/>
  <cols>
    <col min="1" max="3" width="7.375" style="3" customWidth="1"/>
    <col min="4" max="4" width="8.375" style="3" customWidth="1"/>
    <col min="5" max="5" width="6.875" style="3" customWidth="1"/>
    <col min="6" max="6" width="8.875" style="3" customWidth="1"/>
    <col min="7" max="7" width="6.875" style="3" customWidth="1"/>
    <col min="8" max="8" width="3.75" style="3" customWidth="1"/>
    <col min="9" max="9" width="4.75" style="3" customWidth="1"/>
    <col min="10" max="10" width="4" style="3" customWidth="1"/>
    <col min="11" max="14" width="7.375" style="3" customWidth="1"/>
    <col min="15" max="17" width="10.625" style="3" customWidth="1"/>
    <col min="18" max="16384" width="11.625" style="3"/>
  </cols>
  <sheetData>
    <row r="1" spans="1:17" ht="16.899999999999999" customHeight="1" x14ac:dyDescent="0.25">
      <c r="A1" s="1" t="str">
        <f>Languages!A120</f>
        <v>Regelingen</v>
      </c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16.899999999999999" customHeight="1" x14ac:dyDescent="0.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4"/>
      <c r="O2" s="4"/>
      <c r="P2" s="4"/>
      <c r="Q2" s="4"/>
    </row>
    <row r="3" spans="1:17" ht="16.899999999999999" customHeight="1" x14ac:dyDescent="0.2">
      <c r="A3" s="5" t="str">
        <f>Languages!A146</f>
        <v>Pensioen excedent regeling</v>
      </c>
      <c r="B3" s="5"/>
      <c r="C3" s="5"/>
      <c r="D3" s="7"/>
      <c r="E3" s="7"/>
      <c r="F3" s="7"/>
      <c r="G3" s="7"/>
      <c r="H3" s="7"/>
      <c r="I3" s="7"/>
      <c r="J3" s="7"/>
      <c r="K3" s="8"/>
      <c r="L3" s="8"/>
      <c r="M3" s="8"/>
      <c r="N3" s="8"/>
      <c r="O3" s="8"/>
      <c r="P3" s="8"/>
      <c r="Q3" s="6"/>
    </row>
    <row r="4" spans="1:17" ht="16.899999999999999" customHeight="1" x14ac:dyDescent="0.2">
      <c r="A4" s="7" t="str">
        <f>Languages!A122</f>
        <v>Aangesloten bij bedrijfspensioenfonds</v>
      </c>
      <c r="B4" s="7"/>
      <c r="C4" s="7"/>
      <c r="D4" s="7"/>
      <c r="E4" s="157" t="s">
        <v>2</v>
      </c>
      <c r="F4" s="158"/>
      <c r="G4" s="158"/>
      <c r="H4" s="158"/>
      <c r="I4" s="159"/>
      <c r="J4" s="7"/>
      <c r="K4" s="7" t="str">
        <f>Languages!A138</f>
        <v>Basis periode</v>
      </c>
      <c r="L4" s="7"/>
      <c r="M4" s="7"/>
      <c r="N4" s="7"/>
      <c r="O4" s="157"/>
      <c r="P4" s="158"/>
      <c r="Q4" s="159"/>
    </row>
    <row r="5" spans="1:17" ht="16.899999999999999" customHeight="1" x14ac:dyDescent="0.2">
      <c r="A5" s="7" t="str">
        <f>Languages!A123</f>
        <v>zo ja, welke?</v>
      </c>
      <c r="B5" s="7"/>
      <c r="C5" s="7"/>
      <c r="D5" s="7"/>
      <c r="E5" s="157"/>
      <c r="F5" s="158"/>
      <c r="G5" s="158"/>
      <c r="H5" s="158"/>
      <c r="I5" s="159"/>
      <c r="J5" s="7"/>
      <c r="L5" s="62"/>
      <c r="M5" s="62"/>
      <c r="N5" s="62"/>
      <c r="O5" s="62"/>
      <c r="P5" s="62"/>
      <c r="Q5" s="62"/>
    </row>
    <row r="6" spans="1:17" ht="16.899999999999999" customHeight="1" x14ac:dyDescent="0.2">
      <c r="A6" s="7" t="str">
        <f>Languages!A124</f>
        <v>Berekeningsmethode conform BPF?</v>
      </c>
      <c r="B6" s="7"/>
      <c r="C6" s="7"/>
      <c r="D6" s="7"/>
      <c r="E6" s="157"/>
      <c r="F6" s="158"/>
      <c r="G6" s="158"/>
      <c r="H6" s="158"/>
      <c r="I6" s="159"/>
      <c r="J6" s="7"/>
      <c r="K6" s="7" t="str">
        <f>Languages!A111</f>
        <v>Welke looncodes tellen in de</v>
      </c>
      <c r="L6" s="7"/>
      <c r="M6" s="7"/>
      <c r="N6" s="7"/>
      <c r="O6" s="157"/>
      <c r="P6" s="158"/>
      <c r="Q6" s="159"/>
    </row>
    <row r="7" spans="1:17" ht="16.899999999999999" customHeight="1" x14ac:dyDescent="0.2">
      <c r="A7" s="7"/>
      <c r="B7" s="7"/>
      <c r="C7" s="7"/>
      <c r="D7" s="7"/>
      <c r="E7" s="7"/>
      <c r="F7" s="7"/>
      <c r="G7" s="7"/>
      <c r="H7" s="7"/>
      <c r="I7" s="7"/>
      <c r="J7" s="7"/>
      <c r="K7" s="7" t="str">
        <f>Languages!A139</f>
        <v>(pensioen)grondslag</v>
      </c>
      <c r="L7" s="7"/>
      <c r="M7" s="7"/>
      <c r="N7" s="7"/>
      <c r="O7" s="157"/>
      <c r="P7" s="158"/>
      <c r="Q7" s="159"/>
    </row>
    <row r="8" spans="1:17" ht="16.899999999999999" customHeight="1" x14ac:dyDescent="0.2">
      <c r="A8" s="7" t="str">
        <f>Languages!A125</f>
        <v>Start leeftijdsbepaling</v>
      </c>
      <c r="B8" s="7"/>
      <c r="C8" s="7"/>
      <c r="D8" s="7"/>
      <c r="E8" s="157"/>
      <c r="F8" s="158"/>
      <c r="G8" s="158"/>
      <c r="H8" s="158"/>
      <c r="I8" s="159"/>
      <c r="J8" s="7"/>
      <c r="K8" s="7"/>
      <c r="L8" s="7"/>
      <c r="M8" s="7"/>
      <c r="N8" s="7"/>
      <c r="O8" s="157"/>
      <c r="P8" s="158"/>
      <c r="Q8" s="159"/>
    </row>
    <row r="9" spans="1:17" ht="16.899999999999999" customHeight="1" x14ac:dyDescent="0.2">
      <c r="A9" s="7" t="str">
        <f>Languages!A126</f>
        <v>Minimum leeftijd</v>
      </c>
      <c r="B9" s="7"/>
      <c r="C9" s="7"/>
      <c r="D9" s="7"/>
      <c r="E9" s="86" t="str">
        <f>Languages!A63</f>
        <v>Jaren:</v>
      </c>
      <c r="F9" s="79"/>
      <c r="G9" s="87" t="str">
        <f>Languages!A64</f>
        <v>Maanden:</v>
      </c>
      <c r="H9" s="176"/>
      <c r="I9" s="177"/>
      <c r="J9" s="7"/>
      <c r="K9" s="7"/>
      <c r="L9" s="7"/>
      <c r="M9" s="7"/>
      <c r="N9" s="7"/>
      <c r="O9" s="157"/>
      <c r="P9" s="158"/>
      <c r="Q9" s="159"/>
    </row>
    <row r="10" spans="1:17" ht="16.899999999999999" customHeight="1" x14ac:dyDescent="0.2">
      <c r="A10" s="7" t="str">
        <f>Languages!A127</f>
        <v>Begin of eind periode</v>
      </c>
      <c r="B10" s="7"/>
      <c r="C10" s="7"/>
      <c r="D10" s="7"/>
      <c r="E10" s="157"/>
      <c r="F10" s="158"/>
      <c r="G10" s="158"/>
      <c r="H10" s="158"/>
      <c r="I10" s="159"/>
      <c r="J10" s="7"/>
      <c r="K10" s="7"/>
      <c r="L10" s="7"/>
      <c r="M10" s="7"/>
      <c r="N10" s="7"/>
      <c r="O10" s="157"/>
      <c r="P10" s="158"/>
      <c r="Q10" s="159"/>
    </row>
    <row r="11" spans="1:17" ht="16.899999999999999" customHeight="1" x14ac:dyDescent="0.2">
      <c r="A11" s="7"/>
      <c r="B11" s="7"/>
      <c r="C11" s="96"/>
      <c r="D11" s="7"/>
      <c r="E11" s="7"/>
      <c r="F11" s="7"/>
      <c r="G11" s="7"/>
      <c r="H11" s="7"/>
      <c r="I11" s="7"/>
      <c r="J11" s="7"/>
      <c r="L11" s="62"/>
      <c r="M11" s="62"/>
      <c r="N11" s="62"/>
      <c r="O11" s="62"/>
      <c r="P11" s="62"/>
      <c r="Q11" s="62"/>
    </row>
    <row r="12" spans="1:17" ht="16.899999999999999" customHeight="1" x14ac:dyDescent="0.2">
      <c r="A12" s="7" t="str">
        <f>Languages!A128</f>
        <v>Einde leeftijdsbepaling</v>
      </c>
      <c r="B12" s="7"/>
      <c r="C12" s="7"/>
      <c r="D12" s="7"/>
      <c r="E12" s="157"/>
      <c r="F12" s="158"/>
      <c r="G12" s="158"/>
      <c r="H12" s="158"/>
      <c r="I12" s="159"/>
      <c r="J12" s="7"/>
      <c r="K12" s="7" t="str">
        <f>Languages!A140</f>
        <v>Is er een leeftijdsstaffel van toepassing?</v>
      </c>
      <c r="L12" s="7"/>
      <c r="M12" s="7"/>
      <c r="N12" s="7"/>
      <c r="O12" s="157"/>
      <c r="P12" s="158"/>
      <c r="Q12" s="159"/>
    </row>
    <row r="13" spans="1:17" ht="16.899999999999999" customHeight="1" x14ac:dyDescent="0.2">
      <c r="A13" s="7" t="str">
        <f>Languages!A129</f>
        <v>Maximum leeftijd</v>
      </c>
      <c r="B13" s="7"/>
      <c r="C13" s="7"/>
      <c r="D13" s="7"/>
      <c r="E13" s="86" t="str">
        <f>Languages!A63</f>
        <v>Jaren:</v>
      </c>
      <c r="F13" s="79"/>
      <c r="G13" s="87" t="str">
        <f>Languages!A64</f>
        <v>Maanden:</v>
      </c>
      <c r="H13" s="176"/>
      <c r="I13" s="177"/>
      <c r="J13" s="7"/>
      <c r="K13" s="7" t="str">
        <f>Languages!A141</f>
        <v>zo ja, graag specificeren</v>
      </c>
      <c r="L13" s="7"/>
      <c r="M13" s="96"/>
      <c r="N13" s="7"/>
      <c r="O13" s="97" t="str">
        <f>Languages!A143</f>
        <v>Leeftijd</v>
      </c>
      <c r="P13" s="91" t="str">
        <f>Languages!A144</f>
        <v>% Wkn</v>
      </c>
      <c r="Q13" s="91" t="str">
        <f>Languages!A145</f>
        <v>% Wkg</v>
      </c>
    </row>
    <row r="14" spans="1:17" ht="16.899999999999999" customHeight="1" x14ac:dyDescent="0.2">
      <c r="A14" s="7" t="str">
        <f>Languages!A127</f>
        <v>Begin of eind periode</v>
      </c>
      <c r="B14" s="7"/>
      <c r="C14" s="7"/>
      <c r="D14" s="7"/>
      <c r="E14" s="157"/>
      <c r="F14" s="158"/>
      <c r="G14" s="158"/>
      <c r="H14" s="158"/>
      <c r="I14" s="159"/>
      <c r="J14" s="7"/>
      <c r="K14" s="7"/>
      <c r="L14" s="7"/>
      <c r="M14" s="7"/>
      <c r="N14" s="7"/>
      <c r="O14" s="93"/>
      <c r="P14" s="92"/>
      <c r="Q14" s="92"/>
    </row>
    <row r="15" spans="1:17" ht="16.899999999999999" customHeight="1" x14ac:dyDescent="0.2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93"/>
      <c r="P15" s="92"/>
      <c r="Q15" s="92"/>
    </row>
    <row r="16" spans="1:17" ht="16.899999999999999" customHeight="1" x14ac:dyDescent="0.2">
      <c r="A16" s="7" t="str">
        <f>Languages!A131</f>
        <v>Werknemers %</v>
      </c>
      <c r="B16" s="7"/>
      <c r="C16" s="7"/>
      <c r="D16" s="7"/>
      <c r="E16" s="170"/>
      <c r="F16" s="171"/>
      <c r="G16" s="171"/>
      <c r="H16" s="171"/>
      <c r="I16" s="172"/>
      <c r="J16" s="7"/>
      <c r="K16" s="7"/>
      <c r="L16" s="7"/>
      <c r="M16" s="7"/>
      <c r="N16" s="7"/>
      <c r="O16" s="93"/>
      <c r="P16" s="92"/>
      <c r="Q16" s="92"/>
    </row>
    <row r="17" spans="1:17" ht="16.899999999999999" customHeight="1" x14ac:dyDescent="0.2">
      <c r="A17" s="7" t="str">
        <f>Languages!A130</f>
        <v>Werkgevers %</v>
      </c>
      <c r="B17" s="7"/>
      <c r="C17" s="7"/>
      <c r="D17" s="7"/>
      <c r="E17" s="170"/>
      <c r="F17" s="171"/>
      <c r="G17" s="171"/>
      <c r="H17" s="171"/>
      <c r="I17" s="172"/>
      <c r="J17" s="7"/>
      <c r="K17" s="7"/>
      <c r="L17" s="7"/>
      <c r="M17" s="7"/>
      <c r="N17" s="7"/>
      <c r="O17" s="93"/>
      <c r="P17" s="92"/>
      <c r="Q17" s="92"/>
    </row>
    <row r="18" spans="1:17" ht="16.899999999999999" customHeight="1" x14ac:dyDescent="0.2">
      <c r="A18" s="7" t="str">
        <f>Languages!A132</f>
        <v>Franchise</v>
      </c>
      <c r="B18" s="7"/>
      <c r="C18" s="7"/>
      <c r="D18" s="7"/>
      <c r="E18" s="173"/>
      <c r="F18" s="174"/>
      <c r="G18" s="174"/>
      <c r="H18" s="174"/>
      <c r="I18" s="175"/>
      <c r="J18" s="7"/>
      <c r="K18" s="7"/>
      <c r="L18" s="7"/>
      <c r="M18" s="7"/>
      <c r="N18" s="7"/>
      <c r="O18" s="93"/>
      <c r="P18" s="92"/>
      <c r="Q18" s="92"/>
    </row>
    <row r="19" spans="1:17" ht="16.899999999999999" customHeight="1" x14ac:dyDescent="0.2">
      <c r="A19" s="7" t="str">
        <f>Languages!A133</f>
        <v>Maximum jaarbedrag</v>
      </c>
      <c r="B19" s="7"/>
      <c r="C19" s="7"/>
      <c r="D19" s="7"/>
      <c r="E19" s="173"/>
      <c r="F19" s="174"/>
      <c r="G19" s="174"/>
      <c r="H19" s="174"/>
      <c r="I19" s="175"/>
      <c r="J19" s="7"/>
      <c r="K19" s="7"/>
      <c r="L19" s="7"/>
      <c r="M19" s="7"/>
      <c r="N19" s="7"/>
      <c r="O19" s="93"/>
      <c r="P19" s="92"/>
      <c r="Q19" s="92"/>
    </row>
    <row r="20" spans="1:17" ht="16.899999999999999" customHeight="1" x14ac:dyDescent="0.2">
      <c r="B20" s="62"/>
      <c r="C20" s="62"/>
      <c r="D20" s="62"/>
      <c r="E20" s="62"/>
      <c r="F20" s="62"/>
      <c r="G20" s="62"/>
      <c r="H20" s="62"/>
      <c r="I20" s="62"/>
      <c r="J20" s="7"/>
      <c r="K20" s="7"/>
      <c r="L20" s="7"/>
      <c r="M20" s="7"/>
      <c r="N20" s="7"/>
      <c r="O20" s="93"/>
      <c r="P20" s="92"/>
      <c r="Q20" s="92"/>
    </row>
    <row r="21" spans="1:17" ht="16.899999999999999" customHeight="1" x14ac:dyDescent="0.2">
      <c r="A21" s="7" t="str">
        <f>Languages!A134</f>
        <v>Vermenigvuldigingsfactor</v>
      </c>
      <c r="B21" s="7"/>
      <c r="C21" s="7"/>
      <c r="D21" s="7"/>
      <c r="E21" s="167"/>
      <c r="F21" s="168"/>
      <c r="G21" s="168"/>
      <c r="H21" s="168"/>
      <c r="I21" s="169"/>
      <c r="J21" s="7"/>
      <c r="K21" s="7"/>
      <c r="L21" s="7"/>
      <c r="M21" s="7"/>
      <c r="N21" s="7"/>
      <c r="O21" s="93"/>
      <c r="P21" s="92"/>
      <c r="Q21" s="92"/>
    </row>
    <row r="22" spans="1:17" ht="16.899999999999999" customHeight="1" x14ac:dyDescent="0.2">
      <c r="A22" s="7" t="str">
        <f>Languages!A135</f>
        <v>Deelfactor</v>
      </c>
      <c r="B22" s="7"/>
      <c r="C22" s="7"/>
      <c r="D22" s="7"/>
      <c r="E22" s="167"/>
      <c r="F22" s="168"/>
      <c r="G22" s="168"/>
      <c r="H22" s="168"/>
      <c r="I22" s="169"/>
      <c r="J22" s="7"/>
      <c r="K22" s="7"/>
      <c r="L22" s="7"/>
      <c r="M22" s="7"/>
      <c r="N22" s="7"/>
      <c r="O22" s="93"/>
      <c r="P22" s="92"/>
      <c r="Q22" s="92"/>
    </row>
    <row r="23" spans="1:17" ht="16.899999999999999" customHeight="1" x14ac:dyDescent="0.2">
      <c r="J23" s="7"/>
      <c r="K23" s="7"/>
      <c r="L23" s="7"/>
      <c r="M23" s="7"/>
      <c r="N23" s="7"/>
      <c r="O23" s="93"/>
      <c r="P23" s="92"/>
      <c r="Q23" s="92"/>
    </row>
    <row r="24" spans="1:17" ht="16.899999999999999" customHeight="1" x14ac:dyDescent="0.2">
      <c r="A24" s="7"/>
      <c r="B24" s="7"/>
      <c r="C24" s="7"/>
      <c r="D24" s="8"/>
      <c r="E24" s="8"/>
      <c r="F24" s="7"/>
      <c r="G24" s="7"/>
      <c r="H24" s="7"/>
      <c r="I24" s="7"/>
      <c r="J24" s="7"/>
    </row>
    <row r="25" spans="1:17" ht="16.899999999999999" customHeight="1" x14ac:dyDescent="0.2">
      <c r="A25" s="9" t="str">
        <f>Languages!A42</f>
        <v>Opmerkingen:</v>
      </c>
      <c r="B25" s="7"/>
      <c r="C25" s="7"/>
      <c r="D25" s="8"/>
      <c r="E25" s="8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</row>
    <row r="26" spans="1:17" ht="16.899999999999999" customHeight="1" x14ac:dyDescent="0.2">
      <c r="A26" s="17" t="str">
        <f>Languages!A137</f>
        <v>Als UPA aangifte van toepassing is, geef hier dan de account informatie op. Zoals gebruikersinfo, wachtwoord en productcodes.</v>
      </c>
      <c r="B26" s="10"/>
      <c r="C26" s="10"/>
      <c r="D26" s="11"/>
      <c r="E26" s="11"/>
      <c r="F26" s="12"/>
      <c r="G26" s="12"/>
      <c r="H26" s="12"/>
      <c r="I26" s="12"/>
      <c r="J26" s="12"/>
      <c r="K26" s="12"/>
      <c r="L26" s="12"/>
      <c r="M26" s="12"/>
      <c r="N26" s="12"/>
      <c r="O26" s="13"/>
      <c r="P26" s="7"/>
      <c r="Q26" s="7"/>
    </row>
    <row r="27" spans="1:17" ht="16.899999999999999" customHeight="1" x14ac:dyDescent="0.2">
      <c r="A27" s="18" t="s">
        <v>19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14"/>
      <c r="P27" s="6"/>
      <c r="Q27" s="6"/>
    </row>
    <row r="28" spans="1:17" ht="16.7" customHeight="1" x14ac:dyDescent="0.2">
      <c r="A28" s="18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14"/>
      <c r="P28" s="6"/>
      <c r="Q28" s="6"/>
    </row>
    <row r="29" spans="1:17" ht="16.899999999999999" customHeight="1" x14ac:dyDescent="0.2">
      <c r="A29" s="19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6"/>
      <c r="P29" s="6"/>
      <c r="Q29" s="6"/>
    </row>
  </sheetData>
  <sheetProtection algorithmName="SHA-512" hashValue="zShj1T7Fq7OhtRHEmPm8ExtCb6hFAhXzDZ4ZydsBvp1glU3g7F5zfO0kh/xmyKfyhf4teAUjH101H60uZnIIsA==" saltValue="/3/xL0wpjXZMrIw+X7ptTA==" spinCount="100000" sheet="1" objects="1" scenarios="1"/>
  <protectedRanges>
    <protectedRange sqref="E4:I6 E8 F9 H9 E10 E12 F13 H13 E14 E16:I19 E21:I22 A26:O29 O4 O6:Q10 O12 O14:Q23" name="Bereik1"/>
  </protectedRanges>
  <mergeCells count="22">
    <mergeCell ref="E22:I22"/>
    <mergeCell ref="E14:I14"/>
    <mergeCell ref="E16:I16"/>
    <mergeCell ref="E17:I17"/>
    <mergeCell ref="E18:I18"/>
    <mergeCell ref="E19:I19"/>
    <mergeCell ref="E21:I21"/>
    <mergeCell ref="H13:I13"/>
    <mergeCell ref="E12:I12"/>
    <mergeCell ref="O12:Q12"/>
    <mergeCell ref="E4:I4"/>
    <mergeCell ref="O4:Q4"/>
    <mergeCell ref="E5:I5"/>
    <mergeCell ref="E6:I6"/>
    <mergeCell ref="O6:Q6"/>
    <mergeCell ref="O7:Q7"/>
    <mergeCell ref="E8:I8"/>
    <mergeCell ref="O8:Q8"/>
    <mergeCell ref="O9:Q9"/>
    <mergeCell ref="E10:I10"/>
    <mergeCell ref="O10:Q10"/>
    <mergeCell ref="H9:I9"/>
  </mergeCells>
  <conditionalFormatting sqref="E8:I8">
    <cfRule type="colorScale" priority="2">
      <colorScale>
        <cfvo type="min"/>
        <cfvo type="max"/>
        <color rgb="FFFF7128"/>
        <color rgb="FFFFEF9C"/>
      </colorScale>
    </cfRule>
  </conditionalFormatting>
  <conditionalFormatting sqref="E12:I12">
    <cfRule type="colorScale" priority="1">
      <colorScale>
        <cfvo type="min"/>
        <cfvo type="max"/>
        <color rgb="FFFF7128"/>
        <color rgb="FFFFEF9C"/>
      </colorScale>
    </cfRule>
  </conditionalFormatting>
  <pageMargins left="0.39370078740157483" right="0.39370078740157483" top="0.39370078740157483" bottom="0.98425196850393704" header="0" footer="0.39370078740157483"/>
  <pageSetup paperSize="9" orientation="landscape" horizontalDpi="2400" verticalDpi="2400" r:id="rId1"/>
  <headerFooter>
    <oddFooter>&amp;L&amp;"Calibri,Standaard"&amp;K000000&amp;G</oddFooter>
  </headerFooter>
  <legacyDrawingHF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C2424ED-C317-4C57-822D-2A5923192ADF}">
          <x14:formula1>
            <xm:f>'Validation values'!$A$6:$A$7</xm:f>
          </x14:formula1>
          <xm:sqref>E6 E4 O12</xm:sqref>
        </x14:dataValidation>
        <x14:dataValidation type="list" allowBlank="1" showInputMessage="1" showErrorMessage="1" xr:uid="{E1A04574-3D1B-4FE9-9B65-82E3E3B3DCFD}">
          <x14:formula1>
            <xm:f>'Validation values'!$A$45:$A$69</xm:f>
          </x14:formula1>
          <xm:sqref>O4:Q4</xm:sqref>
        </x14:dataValidation>
        <x14:dataValidation type="list" allowBlank="1" showInputMessage="1" showErrorMessage="1" xr:uid="{BCB20E8A-35A6-4245-817A-701577DD3DFD}">
          <x14:formula1>
            <xm:f>'Validation values'!$A$87:$A$95</xm:f>
          </x14:formula1>
          <xm:sqref>E8:I8 E12:I12</xm:sqref>
        </x14:dataValidation>
        <x14:dataValidation type="list" allowBlank="1" showInputMessage="1" showErrorMessage="1" xr:uid="{96229544-68AA-46C8-A401-56F6F3250037}">
          <x14:formula1>
            <xm:f>'Validation values'!$A$72:$A$73</xm:f>
          </x14:formula1>
          <xm:sqref>E10:I10 E14:I14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F771E-C93F-4A4C-829E-DE2F01B47C38}">
  <sheetPr>
    <tabColor rgb="FF92D050"/>
  </sheetPr>
  <dimension ref="A1:Q29"/>
  <sheetViews>
    <sheetView showGridLines="0" showRuler="0" zoomScaleNormal="100" zoomScalePageLayoutView="90" workbookViewId="0">
      <selection activeCell="E4" sqref="E4:I5"/>
    </sheetView>
  </sheetViews>
  <sheetFormatPr defaultColWidth="11.625" defaultRowHeight="16.899999999999999" customHeight="1" x14ac:dyDescent="0.2"/>
  <cols>
    <col min="1" max="3" width="7.375" style="3" customWidth="1"/>
    <col min="4" max="4" width="8.375" style="3" customWidth="1"/>
    <col min="5" max="5" width="6.875" style="3" customWidth="1"/>
    <col min="6" max="6" width="8.875" style="3" customWidth="1"/>
    <col min="7" max="7" width="6.875" style="3" customWidth="1"/>
    <col min="8" max="8" width="3.75" style="3" customWidth="1"/>
    <col min="9" max="9" width="4.75" style="3" customWidth="1"/>
    <col min="10" max="10" width="4" style="3" customWidth="1"/>
    <col min="11" max="14" width="7.375" style="3" customWidth="1"/>
    <col min="15" max="17" width="10.625" style="3" customWidth="1"/>
    <col min="18" max="16384" width="11.625" style="3"/>
  </cols>
  <sheetData>
    <row r="1" spans="1:17" ht="16.899999999999999" customHeight="1" x14ac:dyDescent="0.25">
      <c r="A1" s="1" t="str">
        <f>Languages!A120</f>
        <v>Regelingen</v>
      </c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16.899999999999999" customHeight="1" x14ac:dyDescent="0.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4"/>
      <c r="O2" s="4"/>
      <c r="P2" s="4"/>
      <c r="Q2" s="4"/>
    </row>
    <row r="3" spans="1:17" ht="16.899999999999999" customHeight="1" x14ac:dyDescent="0.2">
      <c r="A3" s="5" t="str">
        <f>Languages!A147</f>
        <v>WGA - WIA regeling</v>
      </c>
      <c r="B3" s="5"/>
      <c r="C3" s="5"/>
      <c r="D3" s="7"/>
      <c r="E3" s="7"/>
      <c r="F3" s="7"/>
      <c r="G3" s="7"/>
      <c r="H3" s="7"/>
      <c r="I3" s="7"/>
      <c r="J3" s="7"/>
      <c r="K3" s="8"/>
      <c r="L3" s="8"/>
      <c r="M3" s="8"/>
      <c r="N3" s="8"/>
      <c r="O3" s="8"/>
      <c r="P3" s="8"/>
      <c r="Q3" s="6"/>
    </row>
    <row r="4" spans="1:17" ht="16.899999999999999" customHeight="1" x14ac:dyDescent="0.2">
      <c r="A4" s="7" t="str">
        <f>Languages!A122</f>
        <v>Aangesloten bij bedrijfspensioenfonds</v>
      </c>
      <c r="B4" s="7"/>
      <c r="C4" s="7"/>
      <c r="D4" s="7"/>
      <c r="E4" s="157" t="s">
        <v>2</v>
      </c>
      <c r="F4" s="158"/>
      <c r="G4" s="158"/>
      <c r="H4" s="158"/>
      <c r="I4" s="159"/>
      <c r="J4" s="7"/>
      <c r="K4" s="7" t="str">
        <f>Languages!A138</f>
        <v>Basis periode</v>
      </c>
      <c r="L4" s="7"/>
      <c r="M4" s="7"/>
      <c r="N4" s="7"/>
      <c r="O4" s="157"/>
      <c r="P4" s="158"/>
      <c r="Q4" s="159"/>
    </row>
    <row r="5" spans="1:17" ht="16.899999999999999" customHeight="1" x14ac:dyDescent="0.2">
      <c r="A5" s="7" t="str">
        <f>Languages!A123</f>
        <v>zo ja, welke?</v>
      </c>
      <c r="B5" s="7"/>
      <c r="C5" s="7"/>
      <c r="D5" s="7"/>
      <c r="E5" s="157"/>
      <c r="F5" s="158"/>
      <c r="G5" s="158"/>
      <c r="H5" s="158"/>
      <c r="I5" s="159"/>
      <c r="J5" s="7"/>
      <c r="L5" s="62"/>
      <c r="M5" s="62"/>
      <c r="N5" s="62"/>
      <c r="O5" s="62"/>
      <c r="P5" s="62"/>
      <c r="Q5" s="62"/>
    </row>
    <row r="6" spans="1:17" ht="16.899999999999999" customHeight="1" x14ac:dyDescent="0.2">
      <c r="A6" s="7" t="str">
        <f>Languages!A124</f>
        <v>Berekeningsmethode conform BPF?</v>
      </c>
      <c r="B6" s="7"/>
      <c r="C6" s="7"/>
      <c r="D6" s="7"/>
      <c r="E6" s="157"/>
      <c r="F6" s="158"/>
      <c r="G6" s="158"/>
      <c r="H6" s="158"/>
      <c r="I6" s="159"/>
      <c r="J6" s="7"/>
      <c r="K6" s="7" t="str">
        <f>Languages!A111</f>
        <v>Welke looncodes tellen in de</v>
      </c>
      <c r="L6" s="7"/>
      <c r="M6" s="7"/>
      <c r="N6" s="7"/>
      <c r="O6" s="157"/>
      <c r="P6" s="158"/>
      <c r="Q6" s="159"/>
    </row>
    <row r="7" spans="1:17" ht="16.899999999999999" customHeight="1" x14ac:dyDescent="0.2">
      <c r="A7" s="7"/>
      <c r="B7" s="7"/>
      <c r="C7" s="7"/>
      <c r="D7" s="7"/>
      <c r="E7" s="7"/>
      <c r="F7" s="7"/>
      <c r="G7" s="7"/>
      <c r="H7" s="7"/>
      <c r="I7" s="7"/>
      <c r="J7" s="7"/>
      <c r="K7" s="7" t="str">
        <f>Languages!A139</f>
        <v>(pensioen)grondslag</v>
      </c>
      <c r="L7" s="7"/>
      <c r="M7" s="7"/>
      <c r="N7" s="7"/>
      <c r="O7" s="157"/>
      <c r="P7" s="158"/>
      <c r="Q7" s="159"/>
    </row>
    <row r="8" spans="1:17" ht="16.899999999999999" customHeight="1" x14ac:dyDescent="0.2">
      <c r="A8" s="7" t="str">
        <f>Languages!A125</f>
        <v>Start leeftijdsbepaling</v>
      </c>
      <c r="B8" s="7"/>
      <c r="C8" s="7"/>
      <c r="D8" s="7"/>
      <c r="E8" s="157"/>
      <c r="F8" s="158"/>
      <c r="G8" s="158"/>
      <c r="H8" s="158"/>
      <c r="I8" s="159"/>
      <c r="J8" s="7"/>
      <c r="K8" s="7"/>
      <c r="L8" s="7"/>
      <c r="M8" s="7"/>
      <c r="N8" s="7"/>
      <c r="O8" s="157"/>
      <c r="P8" s="158"/>
      <c r="Q8" s="159"/>
    </row>
    <row r="9" spans="1:17" ht="16.899999999999999" customHeight="1" x14ac:dyDescent="0.2">
      <c r="A9" s="7" t="str">
        <f>Languages!A126</f>
        <v>Minimum leeftijd</v>
      </c>
      <c r="B9" s="7"/>
      <c r="C9" s="7"/>
      <c r="D9" s="7"/>
      <c r="E9" s="86" t="str">
        <f>Languages!A63</f>
        <v>Jaren:</v>
      </c>
      <c r="F9" s="79"/>
      <c r="G9" s="87" t="str">
        <f>Languages!A64</f>
        <v>Maanden:</v>
      </c>
      <c r="H9" s="176"/>
      <c r="I9" s="177"/>
      <c r="J9" s="7"/>
      <c r="K9" s="7"/>
      <c r="L9" s="7"/>
      <c r="M9" s="7"/>
      <c r="N9" s="7"/>
      <c r="O9" s="157"/>
      <c r="P9" s="158"/>
      <c r="Q9" s="159"/>
    </row>
    <row r="10" spans="1:17" ht="16.899999999999999" customHeight="1" x14ac:dyDescent="0.2">
      <c r="A10" s="7" t="str">
        <f>Languages!A127</f>
        <v>Begin of eind periode</v>
      </c>
      <c r="B10" s="7"/>
      <c r="C10" s="7"/>
      <c r="D10" s="7"/>
      <c r="E10" s="157"/>
      <c r="F10" s="158"/>
      <c r="G10" s="158"/>
      <c r="H10" s="158"/>
      <c r="I10" s="159"/>
      <c r="J10" s="7"/>
      <c r="K10" s="7"/>
      <c r="L10" s="7"/>
      <c r="M10" s="7"/>
      <c r="N10" s="7"/>
      <c r="O10" s="157"/>
      <c r="P10" s="158"/>
      <c r="Q10" s="159"/>
    </row>
    <row r="11" spans="1:17" ht="16.899999999999999" customHeight="1" x14ac:dyDescent="0.2">
      <c r="A11" s="7"/>
      <c r="B11" s="7"/>
      <c r="C11" s="96"/>
      <c r="D11" s="7"/>
      <c r="E11" s="7"/>
      <c r="F11" s="7"/>
      <c r="G11" s="7"/>
      <c r="H11" s="7"/>
      <c r="I11" s="7"/>
      <c r="J11" s="7"/>
      <c r="L11" s="62"/>
      <c r="M11" s="62"/>
      <c r="N11" s="62"/>
      <c r="O11" s="62"/>
      <c r="P11" s="62"/>
      <c r="Q11" s="62"/>
    </row>
    <row r="12" spans="1:17" ht="16.899999999999999" customHeight="1" x14ac:dyDescent="0.2">
      <c r="A12" s="7" t="str">
        <f>Languages!A128</f>
        <v>Einde leeftijdsbepaling</v>
      </c>
      <c r="B12" s="7"/>
      <c r="C12" s="7"/>
      <c r="D12" s="7"/>
      <c r="E12" s="157"/>
      <c r="F12" s="158"/>
      <c r="G12" s="158"/>
      <c r="H12" s="158"/>
      <c r="I12" s="159"/>
      <c r="J12" s="7"/>
      <c r="K12" s="7" t="str">
        <f>Languages!A140</f>
        <v>Is er een leeftijdsstaffel van toepassing?</v>
      </c>
      <c r="L12" s="7"/>
      <c r="M12" s="7"/>
      <c r="N12" s="7"/>
      <c r="O12" s="157"/>
      <c r="P12" s="158"/>
      <c r="Q12" s="159"/>
    </row>
    <row r="13" spans="1:17" ht="16.899999999999999" customHeight="1" x14ac:dyDescent="0.2">
      <c r="A13" s="7" t="str">
        <f>Languages!A129</f>
        <v>Maximum leeftijd</v>
      </c>
      <c r="B13" s="7"/>
      <c r="C13" s="7"/>
      <c r="D13" s="7"/>
      <c r="E13" s="86" t="str">
        <f>Languages!A63</f>
        <v>Jaren:</v>
      </c>
      <c r="F13" s="79"/>
      <c r="G13" s="87" t="str">
        <f>Languages!A64</f>
        <v>Maanden:</v>
      </c>
      <c r="H13" s="176"/>
      <c r="I13" s="177"/>
      <c r="J13" s="7"/>
      <c r="K13" s="7" t="str">
        <f>Languages!A141</f>
        <v>zo ja, graag specificeren</v>
      </c>
      <c r="L13" s="7"/>
      <c r="M13" s="96"/>
      <c r="N13" s="7"/>
      <c r="O13" s="97" t="str">
        <f>Languages!A143</f>
        <v>Leeftijd</v>
      </c>
      <c r="P13" s="91" t="str">
        <f>Languages!A144</f>
        <v>% Wkn</v>
      </c>
      <c r="Q13" s="91" t="str">
        <f>Languages!A145</f>
        <v>% Wkg</v>
      </c>
    </row>
    <row r="14" spans="1:17" ht="16.899999999999999" customHeight="1" x14ac:dyDescent="0.2">
      <c r="A14" s="7" t="str">
        <f>Languages!A127</f>
        <v>Begin of eind periode</v>
      </c>
      <c r="B14" s="7"/>
      <c r="C14" s="7"/>
      <c r="D14" s="7"/>
      <c r="E14" s="157"/>
      <c r="F14" s="158"/>
      <c r="G14" s="158"/>
      <c r="H14" s="158"/>
      <c r="I14" s="159"/>
      <c r="J14" s="7"/>
      <c r="K14" s="7"/>
      <c r="L14" s="7"/>
      <c r="M14" s="7"/>
      <c r="N14" s="7"/>
      <c r="O14" s="93"/>
      <c r="P14" s="92"/>
      <c r="Q14" s="92"/>
    </row>
    <row r="15" spans="1:17" ht="16.899999999999999" customHeight="1" x14ac:dyDescent="0.2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93"/>
      <c r="P15" s="92"/>
      <c r="Q15" s="92"/>
    </row>
    <row r="16" spans="1:17" ht="16.899999999999999" customHeight="1" x14ac:dyDescent="0.2">
      <c r="A16" s="7" t="str">
        <f>Languages!A131</f>
        <v>Werknemers %</v>
      </c>
      <c r="B16" s="7"/>
      <c r="C16" s="7"/>
      <c r="D16" s="7"/>
      <c r="E16" s="170"/>
      <c r="F16" s="171"/>
      <c r="G16" s="171"/>
      <c r="H16" s="171"/>
      <c r="I16" s="172"/>
      <c r="J16" s="7"/>
      <c r="K16" s="7"/>
      <c r="L16" s="7"/>
      <c r="M16" s="7"/>
      <c r="N16" s="7"/>
      <c r="O16" s="93"/>
      <c r="P16" s="92"/>
      <c r="Q16" s="92"/>
    </row>
    <row r="17" spans="1:17" ht="16.899999999999999" customHeight="1" x14ac:dyDescent="0.2">
      <c r="A17" s="7" t="str">
        <f>Languages!A130</f>
        <v>Werkgevers %</v>
      </c>
      <c r="B17" s="7"/>
      <c r="C17" s="7"/>
      <c r="D17" s="7"/>
      <c r="E17" s="170"/>
      <c r="F17" s="171"/>
      <c r="G17" s="171"/>
      <c r="H17" s="171"/>
      <c r="I17" s="172"/>
      <c r="J17" s="7"/>
      <c r="K17" s="7"/>
      <c r="L17" s="7"/>
      <c r="M17" s="7"/>
      <c r="N17" s="7"/>
      <c r="O17" s="93"/>
      <c r="P17" s="92"/>
      <c r="Q17" s="92"/>
    </row>
    <row r="18" spans="1:17" ht="16.899999999999999" customHeight="1" x14ac:dyDescent="0.2">
      <c r="A18" s="7" t="str">
        <f>Languages!A132</f>
        <v>Franchise</v>
      </c>
      <c r="B18" s="7"/>
      <c r="C18" s="7"/>
      <c r="D18" s="7"/>
      <c r="E18" s="173"/>
      <c r="F18" s="174"/>
      <c r="G18" s="174"/>
      <c r="H18" s="174"/>
      <c r="I18" s="175"/>
      <c r="J18" s="7"/>
      <c r="K18" s="7"/>
      <c r="L18" s="7"/>
      <c r="M18" s="7"/>
      <c r="N18" s="7"/>
      <c r="O18" s="93"/>
      <c r="P18" s="92"/>
      <c r="Q18" s="92"/>
    </row>
    <row r="19" spans="1:17" ht="16.899999999999999" customHeight="1" x14ac:dyDescent="0.2">
      <c r="A19" s="7" t="str">
        <f>Languages!A133</f>
        <v>Maximum jaarbedrag</v>
      </c>
      <c r="B19" s="7"/>
      <c r="C19" s="7"/>
      <c r="D19" s="7"/>
      <c r="E19" s="173"/>
      <c r="F19" s="174"/>
      <c r="G19" s="174"/>
      <c r="H19" s="174"/>
      <c r="I19" s="175"/>
      <c r="J19" s="7"/>
      <c r="K19" s="7"/>
      <c r="L19" s="7"/>
      <c r="M19" s="7"/>
      <c r="N19" s="7"/>
      <c r="O19" s="93"/>
      <c r="P19" s="92"/>
      <c r="Q19" s="92"/>
    </row>
    <row r="20" spans="1:17" ht="16.899999999999999" customHeight="1" x14ac:dyDescent="0.2">
      <c r="B20" s="62"/>
      <c r="C20" s="62"/>
      <c r="D20" s="62"/>
      <c r="E20" s="62"/>
      <c r="F20" s="62"/>
      <c r="G20" s="62"/>
      <c r="H20" s="62"/>
      <c r="I20" s="62"/>
      <c r="J20" s="7"/>
      <c r="K20" s="7"/>
      <c r="L20" s="7"/>
      <c r="M20" s="7"/>
      <c r="N20" s="7"/>
      <c r="O20" s="93"/>
      <c r="P20" s="92"/>
      <c r="Q20" s="92"/>
    </row>
    <row r="21" spans="1:17" ht="16.899999999999999" customHeight="1" x14ac:dyDescent="0.2">
      <c r="A21" s="7" t="str">
        <f>Languages!A134</f>
        <v>Vermenigvuldigingsfactor</v>
      </c>
      <c r="B21" s="7"/>
      <c r="C21" s="7"/>
      <c r="D21" s="7"/>
      <c r="E21" s="167"/>
      <c r="F21" s="168"/>
      <c r="G21" s="168"/>
      <c r="H21" s="168"/>
      <c r="I21" s="169"/>
      <c r="J21" s="7"/>
      <c r="K21" s="7"/>
      <c r="L21" s="7"/>
      <c r="M21" s="7"/>
      <c r="N21" s="7"/>
      <c r="O21" s="93"/>
      <c r="P21" s="92"/>
      <c r="Q21" s="92"/>
    </row>
    <row r="22" spans="1:17" ht="16.899999999999999" customHeight="1" x14ac:dyDescent="0.2">
      <c r="A22" s="7" t="str">
        <f>Languages!A135</f>
        <v>Deelfactor</v>
      </c>
      <c r="B22" s="7"/>
      <c r="C22" s="7"/>
      <c r="D22" s="7"/>
      <c r="E22" s="167"/>
      <c r="F22" s="168"/>
      <c r="G22" s="168"/>
      <c r="H22" s="168"/>
      <c r="I22" s="169"/>
      <c r="J22" s="7"/>
      <c r="K22" s="7"/>
      <c r="L22" s="7"/>
      <c r="M22" s="7"/>
      <c r="N22" s="7"/>
      <c r="O22" s="93"/>
      <c r="P22" s="92"/>
      <c r="Q22" s="92"/>
    </row>
    <row r="23" spans="1:17" ht="16.899999999999999" customHeight="1" x14ac:dyDescent="0.2">
      <c r="J23" s="7"/>
      <c r="K23" s="7"/>
      <c r="L23" s="7"/>
      <c r="M23" s="7"/>
      <c r="N23" s="7"/>
      <c r="O23" s="93"/>
      <c r="P23" s="92"/>
      <c r="Q23" s="92"/>
    </row>
    <row r="24" spans="1:17" ht="16.899999999999999" customHeight="1" x14ac:dyDescent="0.2">
      <c r="A24" s="7"/>
      <c r="B24" s="7"/>
      <c r="C24" s="7"/>
      <c r="D24" s="8"/>
      <c r="E24" s="8"/>
      <c r="F24" s="7"/>
      <c r="G24" s="7"/>
      <c r="H24" s="7"/>
      <c r="I24" s="7"/>
      <c r="J24" s="7"/>
    </row>
    <row r="25" spans="1:17" ht="16.899999999999999" customHeight="1" x14ac:dyDescent="0.2">
      <c r="A25" s="9" t="str">
        <f>Languages!A42</f>
        <v>Opmerkingen:</v>
      </c>
      <c r="B25" s="7"/>
      <c r="C25" s="7"/>
      <c r="D25" s="8"/>
      <c r="E25" s="8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</row>
    <row r="26" spans="1:17" ht="16.899999999999999" customHeight="1" x14ac:dyDescent="0.2">
      <c r="A26" s="17" t="str">
        <f>Languages!A137</f>
        <v>Als UPA aangifte van toepassing is, geef hier dan de account informatie op. Zoals gebruikersinfo, wachtwoord en productcodes.</v>
      </c>
      <c r="B26" s="10"/>
      <c r="C26" s="10"/>
      <c r="D26" s="11"/>
      <c r="E26" s="11"/>
      <c r="F26" s="12"/>
      <c r="G26" s="12"/>
      <c r="H26" s="12"/>
      <c r="I26" s="12"/>
      <c r="J26" s="12"/>
      <c r="K26" s="12"/>
      <c r="L26" s="12"/>
      <c r="M26" s="12"/>
      <c r="N26" s="12"/>
      <c r="O26" s="13"/>
      <c r="P26" s="7"/>
      <c r="Q26" s="7"/>
    </row>
    <row r="27" spans="1:17" ht="16.899999999999999" customHeight="1" x14ac:dyDescent="0.2">
      <c r="A27" s="18" t="s">
        <v>20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14"/>
      <c r="P27" s="6"/>
      <c r="Q27" s="6"/>
    </row>
    <row r="28" spans="1:17" ht="16.7" customHeight="1" x14ac:dyDescent="0.2">
      <c r="A28" s="18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14"/>
      <c r="P28" s="6"/>
      <c r="Q28" s="6"/>
    </row>
    <row r="29" spans="1:17" ht="16.899999999999999" customHeight="1" x14ac:dyDescent="0.2">
      <c r="A29" s="19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6"/>
      <c r="P29" s="6"/>
      <c r="Q29" s="6"/>
    </row>
  </sheetData>
  <sheetProtection algorithmName="SHA-512" hashValue="Bjhk2JuZOPckBRekyXOAmHmjgALh6qPTXON6Fw4sxcIY3PsOWULPouTnFujsCqmyHDsBE4rnHgMCxZa64fmYOA==" saltValue="x0ZX+yunCXyypVZBmfbmyQ==" spinCount="100000" sheet="1" objects="1" scenarios="1"/>
  <protectedRanges>
    <protectedRange sqref="E4:I6 E8 F9 H9 E10 E12 F13 H13 E14 E16:I19 E21:I22 O4 O6:Q10 O12 O14:Q23 A26:O29" name="Bereik1"/>
  </protectedRanges>
  <mergeCells count="22">
    <mergeCell ref="E12:I12"/>
    <mergeCell ref="O12:Q12"/>
    <mergeCell ref="E4:I4"/>
    <mergeCell ref="O4:Q4"/>
    <mergeCell ref="E5:I5"/>
    <mergeCell ref="E6:I6"/>
    <mergeCell ref="O6:Q6"/>
    <mergeCell ref="O7:Q7"/>
    <mergeCell ref="E8:I8"/>
    <mergeCell ref="O8:Q8"/>
    <mergeCell ref="O9:Q9"/>
    <mergeCell ref="E10:I10"/>
    <mergeCell ref="O10:Q10"/>
    <mergeCell ref="H9:I9"/>
    <mergeCell ref="H13:I13"/>
    <mergeCell ref="E22:I22"/>
    <mergeCell ref="E14:I14"/>
    <mergeCell ref="E16:I16"/>
    <mergeCell ref="E17:I17"/>
    <mergeCell ref="E18:I18"/>
    <mergeCell ref="E19:I19"/>
    <mergeCell ref="E21:I21"/>
  </mergeCells>
  <conditionalFormatting sqref="E8:I8">
    <cfRule type="colorScale" priority="2">
      <colorScale>
        <cfvo type="min"/>
        <cfvo type="max"/>
        <color rgb="FFFF7128"/>
        <color rgb="FFFFEF9C"/>
      </colorScale>
    </cfRule>
  </conditionalFormatting>
  <conditionalFormatting sqref="E12:I12">
    <cfRule type="colorScale" priority="1">
      <colorScale>
        <cfvo type="min"/>
        <cfvo type="max"/>
        <color rgb="FFFF7128"/>
        <color rgb="FFFFEF9C"/>
      </colorScale>
    </cfRule>
  </conditionalFormatting>
  <pageMargins left="0.39370078740157483" right="0.39370078740157483" top="0.39370078740157483" bottom="0.98425196850393704" header="0" footer="0.39370078740157483"/>
  <pageSetup paperSize="9" orientation="landscape" horizontalDpi="2400" verticalDpi="2400" r:id="rId1"/>
  <headerFooter>
    <oddFooter>&amp;L&amp;"Calibri,Standaard"&amp;K000000&amp;G</oddFooter>
  </headerFooter>
  <legacyDrawingHF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764B00-A811-42CC-B772-4328C9D86FCA}">
          <x14:formula1>
            <xm:f>'Validation values'!$A$6:$A$7</xm:f>
          </x14:formula1>
          <xm:sqref>E6 E4 O12</xm:sqref>
        </x14:dataValidation>
        <x14:dataValidation type="list" allowBlank="1" showInputMessage="1" showErrorMessage="1" xr:uid="{C8BF464F-A95B-4459-BFEE-CDFA061E6A50}">
          <x14:formula1>
            <xm:f>'Validation values'!$A$45:$A$69</xm:f>
          </x14:formula1>
          <xm:sqref>O4:Q4</xm:sqref>
        </x14:dataValidation>
        <x14:dataValidation type="list" allowBlank="1" showInputMessage="1" showErrorMessage="1" xr:uid="{7E2D00B4-B479-4E73-A591-D13403053C64}">
          <x14:formula1>
            <xm:f>'Validation values'!$A$87:$A$95</xm:f>
          </x14:formula1>
          <xm:sqref>E12:I12 E8:I8</xm:sqref>
        </x14:dataValidation>
        <x14:dataValidation type="list" allowBlank="1" showInputMessage="1" showErrorMessage="1" xr:uid="{6206F30E-51D3-4DAD-9CA5-768D677CBAD7}">
          <x14:formula1>
            <xm:f>'Validation values'!$A$72:$A$73</xm:f>
          </x14:formula1>
          <xm:sqref>E10:I10 E14:I14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61F02-4438-4C7B-9D06-B7665B793133}">
  <sheetPr>
    <tabColor rgb="FF92D050"/>
  </sheetPr>
  <dimension ref="A1:Q29"/>
  <sheetViews>
    <sheetView showGridLines="0" showRuler="0" zoomScaleNormal="100" zoomScalePageLayoutView="90" workbookViewId="0">
      <selection activeCell="E4" sqref="E4:I4"/>
    </sheetView>
  </sheetViews>
  <sheetFormatPr defaultColWidth="11.625" defaultRowHeight="16.899999999999999" customHeight="1" x14ac:dyDescent="0.2"/>
  <cols>
    <col min="1" max="3" width="7.375" style="3" customWidth="1"/>
    <col min="4" max="4" width="8.375" style="3" customWidth="1"/>
    <col min="5" max="5" width="6.875" style="3" customWidth="1"/>
    <col min="6" max="6" width="8.875" style="3" customWidth="1"/>
    <col min="7" max="7" width="6.875" style="3" customWidth="1"/>
    <col min="8" max="8" width="3.75" style="3" customWidth="1"/>
    <col min="9" max="9" width="4.75" style="3" customWidth="1"/>
    <col min="10" max="10" width="4" style="3" customWidth="1"/>
    <col min="11" max="14" width="7.375" style="3" customWidth="1"/>
    <col min="15" max="17" width="10.625" style="3" customWidth="1"/>
    <col min="18" max="16384" width="11.625" style="3"/>
  </cols>
  <sheetData>
    <row r="1" spans="1:17" ht="16.899999999999999" customHeight="1" x14ac:dyDescent="0.25">
      <c r="A1" s="1" t="str">
        <f>Languages!A120</f>
        <v>Regelingen</v>
      </c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16.899999999999999" customHeight="1" x14ac:dyDescent="0.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4"/>
      <c r="O2" s="4"/>
      <c r="P2" s="4"/>
      <c r="Q2" s="4"/>
    </row>
    <row r="3" spans="1:17" ht="16.899999999999999" customHeight="1" x14ac:dyDescent="0.2">
      <c r="A3" s="5" t="str">
        <f>Languages!A148</f>
        <v>Overige regelingen</v>
      </c>
      <c r="B3" s="5"/>
      <c r="C3" s="5"/>
      <c r="D3" s="7"/>
      <c r="E3" s="7"/>
      <c r="F3" s="7"/>
      <c r="G3" s="7"/>
      <c r="H3" s="7"/>
      <c r="I3" s="7"/>
      <c r="J3" s="7"/>
      <c r="K3" s="8"/>
      <c r="L3" s="8"/>
      <c r="M3" s="8"/>
      <c r="N3" s="8"/>
      <c r="O3" s="8"/>
      <c r="P3" s="8"/>
      <c r="Q3" s="6"/>
    </row>
    <row r="4" spans="1:17" ht="16.899999999999999" customHeight="1" x14ac:dyDescent="0.2">
      <c r="A4" s="7" t="str">
        <f>Languages!A122</f>
        <v>Aangesloten bij bedrijfspensioenfonds</v>
      </c>
      <c r="B4" s="7"/>
      <c r="C4" s="7"/>
      <c r="D4" s="7"/>
      <c r="E4" s="157" t="s">
        <v>2</v>
      </c>
      <c r="F4" s="158"/>
      <c r="G4" s="158"/>
      <c r="H4" s="158"/>
      <c r="I4" s="159"/>
      <c r="J4" s="7"/>
      <c r="K4" s="7" t="str">
        <f>Languages!A138</f>
        <v>Basis periode</v>
      </c>
      <c r="L4" s="7"/>
      <c r="M4" s="7"/>
      <c r="N4" s="7"/>
      <c r="O4" s="157"/>
      <c r="P4" s="158"/>
      <c r="Q4" s="159"/>
    </row>
    <row r="5" spans="1:17" ht="16.899999999999999" customHeight="1" x14ac:dyDescent="0.2">
      <c r="A5" s="7" t="str">
        <f>Languages!A123</f>
        <v>zo ja, welke?</v>
      </c>
      <c r="B5" s="7"/>
      <c r="C5" s="7"/>
      <c r="D5" s="7"/>
      <c r="E5" s="157"/>
      <c r="F5" s="158"/>
      <c r="G5" s="158"/>
      <c r="H5" s="158"/>
      <c r="I5" s="159"/>
      <c r="J5" s="7"/>
      <c r="L5" s="62"/>
      <c r="M5" s="62"/>
      <c r="N5" s="62"/>
      <c r="O5" s="62"/>
      <c r="P5" s="62"/>
      <c r="Q5" s="62"/>
    </row>
    <row r="6" spans="1:17" ht="16.899999999999999" customHeight="1" x14ac:dyDescent="0.2">
      <c r="A6" s="7" t="str">
        <f>Languages!A124</f>
        <v>Berekeningsmethode conform BPF?</v>
      </c>
      <c r="B6" s="7"/>
      <c r="C6" s="7"/>
      <c r="D6" s="7"/>
      <c r="E6" s="157"/>
      <c r="F6" s="158"/>
      <c r="G6" s="158"/>
      <c r="H6" s="158"/>
      <c r="I6" s="159"/>
      <c r="J6" s="7"/>
      <c r="K6" s="7" t="str">
        <f>Languages!A111</f>
        <v>Welke looncodes tellen in de</v>
      </c>
      <c r="L6" s="7"/>
      <c r="M6" s="7"/>
      <c r="N6" s="7"/>
      <c r="O6" s="157"/>
      <c r="P6" s="158"/>
      <c r="Q6" s="159"/>
    </row>
    <row r="7" spans="1:17" ht="16.899999999999999" customHeight="1" x14ac:dyDescent="0.2">
      <c r="A7" s="7"/>
      <c r="B7" s="7"/>
      <c r="C7" s="7"/>
      <c r="D7" s="7"/>
      <c r="E7" s="7"/>
      <c r="F7" s="7"/>
      <c r="G7" s="7"/>
      <c r="H7" s="7"/>
      <c r="I7" s="7"/>
      <c r="J7" s="7"/>
      <c r="K7" s="7" t="str">
        <f>Languages!A139</f>
        <v>(pensioen)grondslag</v>
      </c>
      <c r="L7" s="7"/>
      <c r="M7" s="7"/>
      <c r="N7" s="7"/>
      <c r="O7" s="157"/>
      <c r="P7" s="158"/>
      <c r="Q7" s="159"/>
    </row>
    <row r="8" spans="1:17" ht="16.899999999999999" customHeight="1" x14ac:dyDescent="0.2">
      <c r="A8" s="7" t="str">
        <f>Languages!A125</f>
        <v>Start leeftijdsbepaling</v>
      </c>
      <c r="B8" s="7"/>
      <c r="C8" s="7"/>
      <c r="D8" s="7"/>
      <c r="E8" s="157"/>
      <c r="F8" s="158"/>
      <c r="G8" s="158"/>
      <c r="H8" s="158"/>
      <c r="I8" s="159"/>
      <c r="J8" s="7"/>
      <c r="K8" s="7"/>
      <c r="L8" s="7"/>
      <c r="M8" s="7"/>
      <c r="N8" s="7"/>
      <c r="O8" s="157"/>
      <c r="P8" s="158"/>
      <c r="Q8" s="159"/>
    </row>
    <row r="9" spans="1:17" ht="16.899999999999999" customHeight="1" x14ac:dyDescent="0.2">
      <c r="A9" s="7" t="str">
        <f>Languages!A126</f>
        <v>Minimum leeftijd</v>
      </c>
      <c r="B9" s="7"/>
      <c r="C9" s="7"/>
      <c r="D9" s="7"/>
      <c r="E9" s="86" t="str">
        <f>Languages!A63</f>
        <v>Jaren:</v>
      </c>
      <c r="F9" s="79"/>
      <c r="G9" s="87" t="str">
        <f>Languages!A64</f>
        <v>Maanden:</v>
      </c>
      <c r="H9" s="176"/>
      <c r="I9" s="177"/>
      <c r="J9" s="7"/>
      <c r="K9" s="7"/>
      <c r="L9" s="7"/>
      <c r="M9" s="7"/>
      <c r="N9" s="7"/>
      <c r="O9" s="157"/>
      <c r="P9" s="158"/>
      <c r="Q9" s="159"/>
    </row>
    <row r="10" spans="1:17" ht="16.899999999999999" customHeight="1" x14ac:dyDescent="0.2">
      <c r="A10" s="7" t="str">
        <f>Languages!A127</f>
        <v>Begin of eind periode</v>
      </c>
      <c r="B10" s="7"/>
      <c r="C10" s="7"/>
      <c r="D10" s="7"/>
      <c r="E10" s="157"/>
      <c r="F10" s="158"/>
      <c r="G10" s="158"/>
      <c r="H10" s="158"/>
      <c r="I10" s="159"/>
      <c r="J10" s="7"/>
      <c r="K10" s="7"/>
      <c r="L10" s="7"/>
      <c r="M10" s="7"/>
      <c r="N10" s="7"/>
      <c r="O10" s="157"/>
      <c r="P10" s="158"/>
      <c r="Q10" s="159"/>
    </row>
    <row r="11" spans="1:17" ht="16.899999999999999" customHeight="1" x14ac:dyDescent="0.2">
      <c r="A11" s="7"/>
      <c r="B11" s="7"/>
      <c r="C11" s="96"/>
      <c r="D11" s="7"/>
      <c r="E11" s="7"/>
      <c r="F11" s="7"/>
      <c r="G11" s="7"/>
      <c r="H11" s="7"/>
      <c r="I11" s="7"/>
      <c r="J11" s="7"/>
      <c r="L11" s="62"/>
      <c r="M11" s="62"/>
      <c r="N11" s="62"/>
      <c r="O11" s="62"/>
      <c r="P11" s="62"/>
      <c r="Q11" s="62"/>
    </row>
    <row r="12" spans="1:17" ht="16.899999999999999" customHeight="1" x14ac:dyDescent="0.2">
      <c r="A12" s="7" t="str">
        <f>Languages!A128</f>
        <v>Einde leeftijdsbepaling</v>
      </c>
      <c r="B12" s="7"/>
      <c r="C12" s="7"/>
      <c r="D12" s="7"/>
      <c r="E12" s="157"/>
      <c r="F12" s="158"/>
      <c r="G12" s="158"/>
      <c r="H12" s="158"/>
      <c r="I12" s="159"/>
      <c r="J12" s="7"/>
      <c r="K12" s="7" t="str">
        <f>Languages!A140</f>
        <v>Is er een leeftijdsstaffel van toepassing?</v>
      </c>
      <c r="L12" s="7"/>
      <c r="M12" s="7"/>
      <c r="N12" s="7"/>
      <c r="O12" s="157"/>
      <c r="P12" s="158"/>
      <c r="Q12" s="159"/>
    </row>
    <row r="13" spans="1:17" ht="16.899999999999999" customHeight="1" x14ac:dyDescent="0.2">
      <c r="A13" s="7" t="str">
        <f>Languages!A129</f>
        <v>Maximum leeftijd</v>
      </c>
      <c r="B13" s="7"/>
      <c r="C13" s="7"/>
      <c r="D13" s="7"/>
      <c r="E13" s="86" t="str">
        <f>Languages!A63</f>
        <v>Jaren:</v>
      </c>
      <c r="F13" s="79"/>
      <c r="G13" s="87" t="str">
        <f>Languages!A64</f>
        <v>Maanden:</v>
      </c>
      <c r="H13" s="176"/>
      <c r="I13" s="177"/>
      <c r="J13" s="7"/>
      <c r="K13" s="7" t="str">
        <f>Languages!A141</f>
        <v>zo ja, graag specificeren</v>
      </c>
      <c r="L13" s="7"/>
      <c r="M13" s="96"/>
      <c r="N13" s="7"/>
      <c r="O13" s="97" t="str">
        <f>Languages!A143</f>
        <v>Leeftijd</v>
      </c>
      <c r="P13" s="91" t="str">
        <f>Languages!A144</f>
        <v>% Wkn</v>
      </c>
      <c r="Q13" s="91" t="str">
        <f>Languages!A145</f>
        <v>% Wkg</v>
      </c>
    </row>
    <row r="14" spans="1:17" ht="16.899999999999999" customHeight="1" x14ac:dyDescent="0.2">
      <c r="A14" s="7" t="str">
        <f>Languages!A127</f>
        <v>Begin of eind periode</v>
      </c>
      <c r="B14" s="7"/>
      <c r="C14" s="7"/>
      <c r="D14" s="7"/>
      <c r="E14" s="157"/>
      <c r="F14" s="158"/>
      <c r="G14" s="158"/>
      <c r="H14" s="158"/>
      <c r="I14" s="159"/>
      <c r="J14" s="7"/>
      <c r="K14" s="7"/>
      <c r="L14" s="7"/>
      <c r="M14" s="7"/>
      <c r="N14" s="7"/>
      <c r="O14" s="93"/>
      <c r="P14" s="92"/>
      <c r="Q14" s="92"/>
    </row>
    <row r="15" spans="1:17" ht="16.899999999999999" customHeight="1" x14ac:dyDescent="0.2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93"/>
      <c r="P15" s="92"/>
      <c r="Q15" s="92"/>
    </row>
    <row r="16" spans="1:17" ht="16.899999999999999" customHeight="1" x14ac:dyDescent="0.2">
      <c r="A16" s="7" t="str">
        <f>Languages!A131</f>
        <v>Werknemers %</v>
      </c>
      <c r="B16" s="7"/>
      <c r="C16" s="7"/>
      <c r="D16" s="7"/>
      <c r="E16" s="170"/>
      <c r="F16" s="171"/>
      <c r="G16" s="171"/>
      <c r="H16" s="171"/>
      <c r="I16" s="172"/>
      <c r="J16" s="7"/>
      <c r="K16" s="7"/>
      <c r="L16" s="7"/>
      <c r="M16" s="7"/>
      <c r="N16" s="7"/>
      <c r="O16" s="93"/>
      <c r="P16" s="92"/>
      <c r="Q16" s="92"/>
    </row>
    <row r="17" spans="1:17" ht="16.899999999999999" customHeight="1" x14ac:dyDescent="0.2">
      <c r="A17" s="7" t="str">
        <f>Languages!A130</f>
        <v>Werkgevers %</v>
      </c>
      <c r="B17" s="7"/>
      <c r="C17" s="7"/>
      <c r="D17" s="7"/>
      <c r="E17" s="170"/>
      <c r="F17" s="171"/>
      <c r="G17" s="171"/>
      <c r="H17" s="171"/>
      <c r="I17" s="172"/>
      <c r="J17" s="7"/>
      <c r="K17" s="7"/>
      <c r="L17" s="7"/>
      <c r="M17" s="7"/>
      <c r="N17" s="7"/>
      <c r="O17" s="93"/>
      <c r="P17" s="92"/>
      <c r="Q17" s="92"/>
    </row>
    <row r="18" spans="1:17" ht="16.899999999999999" customHeight="1" x14ac:dyDescent="0.2">
      <c r="A18" s="7" t="str">
        <f>Languages!A132</f>
        <v>Franchise</v>
      </c>
      <c r="B18" s="7"/>
      <c r="C18" s="7"/>
      <c r="D18" s="7"/>
      <c r="E18" s="173"/>
      <c r="F18" s="174"/>
      <c r="G18" s="174"/>
      <c r="H18" s="174"/>
      <c r="I18" s="175"/>
      <c r="J18" s="7"/>
      <c r="K18" s="7"/>
      <c r="L18" s="7"/>
      <c r="M18" s="7"/>
      <c r="N18" s="7"/>
      <c r="O18" s="93"/>
      <c r="P18" s="92"/>
      <c r="Q18" s="92"/>
    </row>
    <row r="19" spans="1:17" ht="16.899999999999999" customHeight="1" x14ac:dyDescent="0.2">
      <c r="A19" s="7" t="str">
        <f>Languages!A133</f>
        <v>Maximum jaarbedrag</v>
      </c>
      <c r="B19" s="7"/>
      <c r="C19" s="7"/>
      <c r="D19" s="7"/>
      <c r="E19" s="173"/>
      <c r="F19" s="174"/>
      <c r="G19" s="174"/>
      <c r="H19" s="174"/>
      <c r="I19" s="175"/>
      <c r="J19" s="7"/>
      <c r="K19" s="7"/>
      <c r="L19" s="7"/>
      <c r="M19" s="7"/>
      <c r="N19" s="7"/>
      <c r="O19" s="93"/>
      <c r="P19" s="92"/>
      <c r="Q19" s="92"/>
    </row>
    <row r="20" spans="1:17" ht="16.899999999999999" customHeight="1" x14ac:dyDescent="0.2">
      <c r="B20" s="62"/>
      <c r="C20" s="62"/>
      <c r="D20" s="62"/>
      <c r="E20" s="62"/>
      <c r="F20" s="62"/>
      <c r="G20" s="62"/>
      <c r="H20" s="62"/>
      <c r="I20" s="62"/>
      <c r="J20" s="7"/>
      <c r="K20" s="7"/>
      <c r="L20" s="7"/>
      <c r="M20" s="7"/>
      <c r="N20" s="7"/>
      <c r="O20" s="93"/>
      <c r="P20" s="92"/>
      <c r="Q20" s="92"/>
    </row>
    <row r="21" spans="1:17" ht="16.899999999999999" customHeight="1" x14ac:dyDescent="0.2">
      <c r="A21" s="7" t="str">
        <f>Languages!A134</f>
        <v>Vermenigvuldigingsfactor</v>
      </c>
      <c r="B21" s="7"/>
      <c r="C21" s="7"/>
      <c r="D21" s="7"/>
      <c r="E21" s="167"/>
      <c r="F21" s="168"/>
      <c r="G21" s="168"/>
      <c r="H21" s="168"/>
      <c r="I21" s="169"/>
      <c r="J21" s="7"/>
      <c r="K21" s="7"/>
      <c r="L21" s="7"/>
      <c r="M21" s="7"/>
      <c r="N21" s="7"/>
      <c r="O21" s="93"/>
      <c r="P21" s="92"/>
      <c r="Q21" s="92"/>
    </row>
    <row r="22" spans="1:17" ht="16.899999999999999" customHeight="1" x14ac:dyDescent="0.2">
      <c r="A22" s="7" t="str">
        <f>Languages!A135</f>
        <v>Deelfactor</v>
      </c>
      <c r="B22" s="7"/>
      <c r="C22" s="7"/>
      <c r="D22" s="7"/>
      <c r="E22" s="167"/>
      <c r="F22" s="168"/>
      <c r="G22" s="168"/>
      <c r="H22" s="168"/>
      <c r="I22" s="169"/>
      <c r="J22" s="7"/>
      <c r="K22" s="7"/>
      <c r="L22" s="7"/>
      <c r="M22" s="7"/>
      <c r="N22" s="7"/>
      <c r="O22" s="93"/>
      <c r="P22" s="92"/>
      <c r="Q22" s="92"/>
    </row>
    <row r="23" spans="1:17" ht="16.899999999999999" customHeight="1" x14ac:dyDescent="0.2">
      <c r="J23" s="7"/>
      <c r="K23" s="7"/>
      <c r="L23" s="7"/>
      <c r="M23" s="7"/>
      <c r="N23" s="7"/>
      <c r="O23" s="93"/>
      <c r="P23" s="92"/>
      <c r="Q23" s="92"/>
    </row>
    <row r="24" spans="1:17" ht="16.899999999999999" customHeight="1" x14ac:dyDescent="0.2">
      <c r="A24" s="7"/>
      <c r="B24" s="7"/>
      <c r="C24" s="7"/>
      <c r="D24" s="7"/>
      <c r="E24" s="7"/>
      <c r="F24" s="7"/>
      <c r="G24" s="7"/>
      <c r="H24" s="7"/>
      <c r="I24" s="7"/>
      <c r="J24" s="7"/>
      <c r="K24" s="62"/>
      <c r="L24" s="62"/>
      <c r="M24" s="62"/>
      <c r="N24" s="62"/>
      <c r="O24" s="62"/>
      <c r="P24" s="62"/>
      <c r="Q24" s="62"/>
    </row>
    <row r="25" spans="1:17" ht="16.899999999999999" customHeight="1" x14ac:dyDescent="0.2">
      <c r="A25" s="9" t="str">
        <f>Languages!A42</f>
        <v>Opmerkingen: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</row>
    <row r="26" spans="1:17" ht="16.899999999999999" customHeight="1" x14ac:dyDescent="0.2">
      <c r="A26" s="17" t="str">
        <f>Languages!A137</f>
        <v>Als UPA aangifte van toepassing is, geef hier dan de account informatie op. Zoals gebruikersinfo, wachtwoord en productcodes.</v>
      </c>
      <c r="B26" s="10"/>
      <c r="C26" s="10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3"/>
      <c r="P26" s="7"/>
      <c r="Q26" s="7"/>
    </row>
    <row r="27" spans="1:17" ht="16.899999999999999" customHeight="1" x14ac:dyDescent="0.2">
      <c r="A27" s="98" t="s">
        <v>19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99"/>
      <c r="P27" s="7"/>
      <c r="Q27" s="7"/>
    </row>
    <row r="28" spans="1:17" ht="16.7" customHeight="1" x14ac:dyDescent="0.2">
      <c r="A28" s="98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99"/>
      <c r="P28" s="7"/>
      <c r="Q28" s="7"/>
    </row>
    <row r="29" spans="1:17" ht="16.899999999999999" customHeight="1" x14ac:dyDescent="0.2">
      <c r="A29" s="100"/>
      <c r="B29" s="101"/>
      <c r="C29" s="101"/>
      <c r="D29" s="101"/>
      <c r="E29" s="101"/>
      <c r="F29" s="101"/>
      <c r="G29" s="101"/>
      <c r="H29" s="101"/>
      <c r="I29" s="101"/>
      <c r="J29" s="101"/>
      <c r="K29" s="101"/>
      <c r="L29" s="101"/>
      <c r="M29" s="101"/>
      <c r="N29" s="101"/>
      <c r="O29" s="102"/>
      <c r="P29" s="7"/>
      <c r="Q29" s="7"/>
    </row>
  </sheetData>
  <sheetProtection algorithmName="SHA-512" hashValue="y3LFpYJ4gVxPtgaQOVjP3v66e9hSiR4qqyp3tu/FxnsQyBzum81Y4Gzb3ph7Oi5pQKl1zQ2fC2kmNqH+jqXudg==" saltValue="yl0rmQRkPqbFyvt9/os0pA==" spinCount="100000" sheet="1" objects="1" scenarios="1"/>
  <protectedRanges>
    <protectedRange sqref="E4 E4:I6 E8 F9 H9 E10 E12 F13 H13 E14 E16:I19 E21:I22 O4 O6:Q10 O12 O14:Q23 A26:O29" name="Bereik1"/>
  </protectedRanges>
  <mergeCells count="22">
    <mergeCell ref="E12:I12"/>
    <mergeCell ref="O12:Q12"/>
    <mergeCell ref="E4:I4"/>
    <mergeCell ref="O4:Q4"/>
    <mergeCell ref="E5:I5"/>
    <mergeCell ref="E6:I6"/>
    <mergeCell ref="O6:Q6"/>
    <mergeCell ref="O7:Q7"/>
    <mergeCell ref="E8:I8"/>
    <mergeCell ref="O8:Q8"/>
    <mergeCell ref="O9:Q9"/>
    <mergeCell ref="E10:I10"/>
    <mergeCell ref="O10:Q10"/>
    <mergeCell ref="H9:I9"/>
    <mergeCell ref="H13:I13"/>
    <mergeCell ref="E22:I22"/>
    <mergeCell ref="E14:I14"/>
    <mergeCell ref="E16:I16"/>
    <mergeCell ref="E17:I17"/>
    <mergeCell ref="E18:I18"/>
    <mergeCell ref="E19:I19"/>
    <mergeCell ref="E21:I21"/>
  </mergeCells>
  <conditionalFormatting sqref="E8:I8">
    <cfRule type="colorScale" priority="2">
      <colorScale>
        <cfvo type="min"/>
        <cfvo type="max"/>
        <color rgb="FFFF7128"/>
        <color rgb="FFFFEF9C"/>
      </colorScale>
    </cfRule>
  </conditionalFormatting>
  <conditionalFormatting sqref="E12:I12">
    <cfRule type="colorScale" priority="1">
      <colorScale>
        <cfvo type="min"/>
        <cfvo type="max"/>
        <color rgb="FFFF7128"/>
        <color rgb="FFFFEF9C"/>
      </colorScale>
    </cfRule>
  </conditionalFormatting>
  <pageMargins left="0.39370078740157483" right="0.39370078740157483" top="0.39370078740157483" bottom="0.98425196850393704" header="0" footer="0.39370078740157483"/>
  <pageSetup paperSize="9" orientation="landscape" horizontalDpi="2400" verticalDpi="2400" r:id="rId1"/>
  <headerFooter>
    <oddFooter>&amp;L&amp;"Calibri,Standaard"&amp;K000000&amp;G</oddFooter>
  </headerFooter>
  <legacyDrawingHF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6EF2DF4-0CC6-46AF-9B7C-F886911965EF}">
          <x14:formula1>
            <xm:f>'Validation values'!$A$45:$A$69</xm:f>
          </x14:formula1>
          <xm:sqref>O4:Q4</xm:sqref>
        </x14:dataValidation>
        <x14:dataValidation type="list" allowBlank="1" showInputMessage="1" showErrorMessage="1" xr:uid="{6F94349B-9F22-4A8B-9499-96496A61EE21}">
          <x14:formula1>
            <xm:f>'Validation values'!$A$87:$A$95</xm:f>
          </x14:formula1>
          <xm:sqref>E8:I8 E12:I12</xm:sqref>
        </x14:dataValidation>
        <x14:dataValidation type="list" allowBlank="1" showInputMessage="1" showErrorMessage="1" xr:uid="{37537B4F-BD2C-4531-9169-59CE8791B094}">
          <x14:formula1>
            <xm:f>'Validation values'!$A$6:$A$7</xm:f>
          </x14:formula1>
          <xm:sqref>E4:I4 E6:I6 O12:Q12</xm:sqref>
        </x14:dataValidation>
        <x14:dataValidation type="list" allowBlank="1" showInputMessage="1" showErrorMessage="1" xr:uid="{8E6371B4-44C8-4627-A0F1-42F0B9A0E5C6}">
          <x14:formula1>
            <xm:f>'Validation values'!$A$72:$A$73</xm:f>
          </x14:formula1>
          <xm:sqref>E10:I10 E14:I14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F5EC1-8423-429E-B89B-56DC53D90563}">
  <sheetPr>
    <tabColor rgb="FF00B050"/>
  </sheetPr>
  <dimension ref="A1:K112"/>
  <sheetViews>
    <sheetView showGridLines="0" showRuler="0" zoomScaleNormal="100" zoomScalePageLayoutView="90" workbookViewId="0">
      <selection activeCell="H11" sqref="H11"/>
    </sheetView>
  </sheetViews>
  <sheetFormatPr defaultColWidth="11.625" defaultRowHeight="16.899999999999999" customHeight="1" x14ac:dyDescent="0.2"/>
  <cols>
    <col min="1" max="1" width="7.75" style="128" customWidth="1"/>
    <col min="2" max="2" width="20.75" style="21" customWidth="1"/>
    <col min="3" max="3" width="2.75" style="21" customWidth="1"/>
    <col min="4" max="4" width="7.75" style="128" customWidth="1"/>
    <col min="5" max="5" width="20.75" style="21" customWidth="1"/>
    <col min="6" max="6" width="2.75" style="21" customWidth="1"/>
    <col min="7" max="7" width="7.75" style="128" customWidth="1"/>
    <col min="8" max="8" width="20.75" style="21" customWidth="1"/>
    <col min="9" max="9" width="2.75" style="21" customWidth="1"/>
    <col min="10" max="10" width="7.75" style="128" customWidth="1"/>
    <col min="11" max="11" width="20.75" style="21" customWidth="1"/>
    <col min="12" max="16384" width="11.625" style="21"/>
  </cols>
  <sheetData>
    <row r="1" spans="1:11" ht="16.899999999999999" customHeight="1" x14ac:dyDescent="0.25">
      <c r="A1" s="112" t="str">
        <f>Languages!A149</f>
        <v>Grootboekrekeningen en kostenplaatsen</v>
      </c>
      <c r="B1" s="30"/>
      <c r="C1" s="30"/>
      <c r="D1" s="129"/>
      <c r="E1" s="30"/>
      <c r="F1" s="30"/>
      <c r="G1" s="129"/>
      <c r="H1" s="30"/>
      <c r="I1" s="30"/>
      <c r="J1" s="129"/>
      <c r="K1" s="30"/>
    </row>
    <row r="2" spans="1:11" ht="16.899999999999999" customHeight="1" x14ac:dyDescent="0.2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</row>
    <row r="3" spans="1:11" ht="16.899999999999999" customHeight="1" x14ac:dyDescent="0.2">
      <c r="A3" s="32" t="str">
        <f>Languages!A150</f>
        <v>Grootboekrekening</v>
      </c>
      <c r="B3" s="36"/>
      <c r="C3" s="36"/>
      <c r="D3" s="32" t="str">
        <f>Languages!A153</f>
        <v>Kostenplaats</v>
      </c>
      <c r="E3" s="36"/>
      <c r="F3" s="36"/>
      <c r="G3" s="32" t="str">
        <f>Languages!A154</f>
        <v>Kostendrager</v>
      </c>
      <c r="H3" s="36"/>
      <c r="I3" s="36"/>
      <c r="J3" s="32" t="str">
        <f>Languages!A155</f>
        <v>Kostensoort</v>
      </c>
      <c r="K3" s="36"/>
    </row>
    <row r="4" spans="1:11" ht="16.899999999999999" customHeight="1" x14ac:dyDescent="0.2">
      <c r="A4" s="127" t="str">
        <f>Languages!A151</f>
        <v>Nummer</v>
      </c>
      <c r="B4" s="111" t="str">
        <f>Languages!A152</f>
        <v>Omschrijving</v>
      </c>
      <c r="C4" s="25"/>
      <c r="D4" s="127" t="str">
        <f>Languages!A151</f>
        <v>Nummer</v>
      </c>
      <c r="E4" s="111" t="str">
        <f>Languages!A152</f>
        <v>Omschrijving</v>
      </c>
      <c r="F4" s="25"/>
      <c r="G4" s="127" t="str">
        <f>Languages!A151</f>
        <v>Nummer</v>
      </c>
      <c r="H4" s="111" t="str">
        <f>Languages!A152</f>
        <v>Omschrijving</v>
      </c>
      <c r="I4" s="126"/>
      <c r="J4" s="127" t="str">
        <f>Languages!A151</f>
        <v>Nummer</v>
      </c>
      <c r="K4" s="111" t="str">
        <f>Languages!A152</f>
        <v>Omschrijving</v>
      </c>
    </row>
    <row r="5" spans="1:11" ht="16.899999999999999" customHeight="1" x14ac:dyDescent="0.2">
      <c r="A5" s="36" t="s">
        <v>19</v>
      </c>
      <c r="B5" s="105"/>
      <c r="C5" s="25"/>
      <c r="D5" s="36"/>
      <c r="E5" s="105"/>
      <c r="F5" s="25"/>
      <c r="G5" s="36"/>
      <c r="H5" s="105"/>
      <c r="I5" s="25"/>
      <c r="J5" s="36"/>
      <c r="K5" s="105"/>
    </row>
    <row r="6" spans="1:11" ht="16.899999999999999" customHeight="1" x14ac:dyDescent="0.2">
      <c r="A6" s="36"/>
      <c r="B6" s="106"/>
      <c r="C6" s="25"/>
      <c r="D6" s="36"/>
      <c r="E6" s="106"/>
      <c r="F6" s="25"/>
      <c r="G6" s="36"/>
      <c r="H6" s="106"/>
      <c r="I6" s="25"/>
      <c r="J6" s="36"/>
      <c r="K6" s="106"/>
    </row>
    <row r="7" spans="1:11" ht="16.899999999999999" customHeight="1" x14ac:dyDescent="0.2">
      <c r="A7" s="36"/>
      <c r="B7" s="106"/>
      <c r="C7" s="25"/>
      <c r="D7" s="36"/>
      <c r="E7" s="106"/>
      <c r="F7" s="25"/>
      <c r="G7" s="36"/>
      <c r="H7" s="106"/>
      <c r="I7" s="25"/>
      <c r="J7" s="36"/>
      <c r="K7" s="106"/>
    </row>
    <row r="8" spans="1:11" ht="16.899999999999999" customHeight="1" x14ac:dyDescent="0.2">
      <c r="A8" s="36"/>
      <c r="B8" s="106"/>
      <c r="C8" s="25"/>
      <c r="D8" s="36"/>
      <c r="E8" s="106"/>
      <c r="F8" s="25"/>
      <c r="G8" s="36"/>
      <c r="H8" s="106"/>
      <c r="I8" s="25"/>
      <c r="J8" s="36"/>
      <c r="K8" s="106"/>
    </row>
    <row r="9" spans="1:11" ht="16.899999999999999" customHeight="1" x14ac:dyDescent="0.2">
      <c r="A9" s="36"/>
      <c r="B9" s="106"/>
      <c r="C9" s="25"/>
      <c r="D9" s="36"/>
      <c r="E9" s="106"/>
      <c r="F9" s="25"/>
      <c r="G9" s="36"/>
      <c r="H9" s="106"/>
      <c r="I9" s="25"/>
      <c r="J9" s="36"/>
      <c r="K9" s="106"/>
    </row>
    <row r="10" spans="1:11" ht="16.899999999999999" customHeight="1" x14ac:dyDescent="0.2">
      <c r="A10" s="36"/>
      <c r="B10" s="106"/>
      <c r="C10" s="25"/>
      <c r="D10" s="36"/>
      <c r="E10" s="106"/>
      <c r="F10" s="25"/>
      <c r="G10" s="36"/>
      <c r="H10" s="106"/>
      <c r="I10" s="25"/>
      <c r="J10" s="36"/>
      <c r="K10" s="106"/>
    </row>
    <row r="11" spans="1:11" ht="16.899999999999999" customHeight="1" x14ac:dyDescent="0.2">
      <c r="A11" s="36"/>
      <c r="B11" s="106"/>
      <c r="C11" s="25"/>
      <c r="D11" s="36"/>
      <c r="E11" s="106"/>
      <c r="F11" s="25"/>
      <c r="G11" s="36"/>
      <c r="H11" s="106"/>
      <c r="I11" s="25"/>
      <c r="J11" s="36"/>
      <c r="K11" s="106"/>
    </row>
    <row r="12" spans="1:11" ht="16.899999999999999" customHeight="1" x14ac:dyDescent="0.2">
      <c r="A12" s="36"/>
      <c r="B12" s="106"/>
      <c r="C12" s="25"/>
      <c r="D12" s="36"/>
      <c r="E12" s="106"/>
      <c r="F12" s="25"/>
      <c r="G12" s="36"/>
      <c r="H12" s="106"/>
      <c r="I12" s="25"/>
      <c r="J12" s="36"/>
      <c r="K12" s="106"/>
    </row>
    <row r="13" spans="1:11" ht="16.899999999999999" customHeight="1" x14ac:dyDescent="0.2">
      <c r="A13" s="36"/>
      <c r="B13" s="106"/>
      <c r="C13" s="25"/>
      <c r="D13" s="36"/>
      <c r="E13" s="106"/>
      <c r="F13" s="25"/>
      <c r="G13" s="36"/>
      <c r="H13" s="106"/>
      <c r="I13" s="25"/>
      <c r="J13" s="36"/>
      <c r="K13" s="106"/>
    </row>
    <row r="14" spans="1:11" ht="16.899999999999999" customHeight="1" x14ac:dyDescent="0.2">
      <c r="A14" s="36"/>
      <c r="B14" s="106"/>
      <c r="C14" s="25"/>
      <c r="D14" s="36"/>
      <c r="E14" s="106"/>
      <c r="F14" s="25"/>
      <c r="G14" s="36"/>
      <c r="H14" s="106"/>
      <c r="I14" s="25"/>
      <c r="J14" s="36"/>
      <c r="K14" s="106"/>
    </row>
    <row r="15" spans="1:11" ht="16.899999999999999" customHeight="1" x14ac:dyDescent="0.2">
      <c r="A15" s="36"/>
      <c r="B15" s="107"/>
      <c r="C15" s="104"/>
      <c r="D15" s="95"/>
      <c r="E15" s="108"/>
      <c r="F15" s="104"/>
      <c r="G15" s="95"/>
      <c r="H15" s="108"/>
      <c r="I15" s="104"/>
      <c r="J15" s="95"/>
      <c r="K15" s="108"/>
    </row>
    <row r="16" spans="1:11" ht="16.899999999999999" customHeight="1" x14ac:dyDescent="0.2">
      <c r="A16" s="36"/>
      <c r="B16" s="107"/>
      <c r="C16" s="104"/>
      <c r="D16" s="95"/>
      <c r="E16" s="108"/>
      <c r="F16" s="104"/>
      <c r="G16" s="95"/>
      <c r="H16" s="108"/>
      <c r="I16" s="104"/>
      <c r="J16" s="95"/>
      <c r="K16" s="108"/>
    </row>
    <row r="17" spans="1:11" ht="16.899999999999999" customHeight="1" x14ac:dyDescent="0.2">
      <c r="A17" s="36"/>
      <c r="B17" s="107"/>
      <c r="C17" s="104"/>
      <c r="D17" s="95"/>
      <c r="E17" s="108"/>
      <c r="F17" s="104"/>
      <c r="G17" s="95"/>
      <c r="H17" s="108"/>
      <c r="I17" s="104"/>
      <c r="J17" s="95"/>
      <c r="K17" s="108"/>
    </row>
    <row r="18" spans="1:11" ht="16.899999999999999" customHeight="1" x14ac:dyDescent="0.2">
      <c r="A18" s="36"/>
      <c r="B18" s="107"/>
      <c r="C18" s="35"/>
      <c r="D18" s="36"/>
      <c r="E18" s="107"/>
      <c r="F18" s="35"/>
      <c r="G18" s="36"/>
      <c r="H18" s="107"/>
      <c r="I18" s="36"/>
      <c r="J18" s="36"/>
      <c r="K18" s="107"/>
    </row>
    <row r="19" spans="1:11" ht="16.899999999999999" customHeight="1" x14ac:dyDescent="0.2">
      <c r="A19" s="36"/>
      <c r="B19" s="107"/>
      <c r="C19" s="104"/>
      <c r="D19" s="95"/>
      <c r="E19" s="108"/>
      <c r="F19" s="104"/>
      <c r="G19" s="95"/>
      <c r="H19" s="108"/>
      <c r="I19" s="104"/>
      <c r="J19" s="95"/>
      <c r="K19" s="108"/>
    </row>
    <row r="20" spans="1:11" ht="16.899999999999999" customHeight="1" x14ac:dyDescent="0.2">
      <c r="A20" s="36"/>
      <c r="B20" s="107"/>
      <c r="C20" s="104"/>
      <c r="D20" s="95"/>
      <c r="E20" s="108"/>
      <c r="F20" s="104"/>
      <c r="G20" s="95"/>
      <c r="H20" s="108"/>
      <c r="I20" s="104"/>
      <c r="J20" s="95"/>
      <c r="K20" s="108"/>
    </row>
    <row r="21" spans="1:11" ht="16.899999999999999" customHeight="1" x14ac:dyDescent="0.2">
      <c r="A21" s="36"/>
      <c r="B21" s="107"/>
      <c r="C21" s="35"/>
      <c r="D21" s="36"/>
      <c r="E21" s="107"/>
      <c r="F21" s="35"/>
      <c r="G21" s="36"/>
      <c r="H21" s="107"/>
      <c r="I21" s="36"/>
      <c r="J21" s="36"/>
      <c r="K21" s="107"/>
    </row>
    <row r="22" spans="1:11" ht="16.899999999999999" customHeight="1" x14ac:dyDescent="0.2">
      <c r="A22" s="36"/>
      <c r="B22" s="107"/>
      <c r="C22" s="95"/>
      <c r="D22" s="95"/>
      <c r="E22" s="109"/>
      <c r="F22" s="95"/>
      <c r="G22" s="95"/>
      <c r="H22" s="109"/>
      <c r="I22" s="95"/>
      <c r="J22" s="95"/>
      <c r="K22" s="109"/>
    </row>
    <row r="23" spans="1:11" ht="16.899999999999999" customHeight="1" x14ac:dyDescent="0.2">
      <c r="A23" s="36"/>
      <c r="B23" s="107"/>
      <c r="C23" s="104"/>
      <c r="D23" s="95"/>
      <c r="E23" s="108"/>
      <c r="F23" s="104"/>
      <c r="G23" s="95"/>
      <c r="H23" s="108"/>
      <c r="I23" s="104"/>
      <c r="J23" s="95"/>
      <c r="K23" s="108"/>
    </row>
    <row r="24" spans="1:11" ht="16.899999999999999" customHeight="1" x14ac:dyDescent="0.2">
      <c r="A24" s="36"/>
      <c r="B24" s="107"/>
      <c r="C24" s="35"/>
      <c r="D24" s="36"/>
      <c r="E24" s="107"/>
      <c r="F24" s="35"/>
      <c r="G24" s="36"/>
      <c r="H24" s="107"/>
      <c r="I24" s="36"/>
      <c r="J24" s="36"/>
      <c r="K24" s="107"/>
    </row>
    <row r="25" spans="1:11" ht="16.899999999999999" customHeight="1" x14ac:dyDescent="0.2">
      <c r="A25" s="37"/>
      <c r="B25" s="107"/>
      <c r="C25" s="35"/>
      <c r="D25" s="36"/>
      <c r="E25" s="107"/>
      <c r="F25" s="35"/>
      <c r="G25" s="36"/>
      <c r="H25" s="107"/>
      <c r="I25" s="36"/>
      <c r="J25" s="36"/>
      <c r="K25" s="107"/>
    </row>
    <row r="26" spans="1:11" ht="16.899999999999999" customHeight="1" x14ac:dyDescent="0.2">
      <c r="A26" s="52"/>
      <c r="B26" s="107"/>
      <c r="C26" s="35"/>
      <c r="D26" s="36"/>
      <c r="E26" s="107"/>
      <c r="F26" s="35"/>
      <c r="G26" s="36"/>
      <c r="H26" s="107"/>
      <c r="I26" s="36"/>
      <c r="J26" s="36"/>
      <c r="K26" s="107"/>
    </row>
    <row r="27" spans="1:11" ht="16.899999999999999" customHeight="1" x14ac:dyDescent="0.2">
      <c r="A27" s="119"/>
      <c r="B27" s="107"/>
      <c r="C27" s="33"/>
      <c r="D27" s="33"/>
      <c r="E27" s="110"/>
      <c r="F27" s="33"/>
      <c r="G27" s="33"/>
      <c r="H27" s="110"/>
      <c r="I27" s="33"/>
      <c r="J27" s="33"/>
      <c r="K27" s="110"/>
    </row>
    <row r="28" spans="1:11" ht="16.7" customHeight="1" x14ac:dyDescent="0.2">
      <c r="A28" s="119"/>
      <c r="B28" s="107"/>
      <c r="C28" s="33"/>
      <c r="D28" s="33"/>
      <c r="E28" s="110"/>
      <c r="F28" s="33"/>
      <c r="G28" s="33"/>
      <c r="H28" s="110"/>
      <c r="I28" s="33"/>
      <c r="J28" s="33"/>
      <c r="K28" s="110"/>
    </row>
    <row r="29" spans="1:11" ht="16.899999999999999" customHeight="1" x14ac:dyDescent="0.2">
      <c r="B29" s="36"/>
    </row>
    <row r="30" spans="1:11" ht="16.899999999999999" customHeight="1" x14ac:dyDescent="0.2">
      <c r="B30" s="36"/>
    </row>
    <row r="31" spans="1:11" ht="16.899999999999999" customHeight="1" x14ac:dyDescent="0.2">
      <c r="B31" s="36"/>
    </row>
    <row r="32" spans="1:11" ht="16.899999999999999" customHeight="1" x14ac:dyDescent="0.2">
      <c r="B32" s="36"/>
    </row>
    <row r="33" spans="2:2" ht="16.899999999999999" customHeight="1" x14ac:dyDescent="0.2">
      <c r="B33" s="36"/>
    </row>
    <row r="34" spans="2:2" ht="16.899999999999999" customHeight="1" x14ac:dyDescent="0.2">
      <c r="B34" s="36"/>
    </row>
    <row r="35" spans="2:2" ht="16.899999999999999" customHeight="1" x14ac:dyDescent="0.2">
      <c r="B35" s="36"/>
    </row>
    <row r="36" spans="2:2" ht="16.899999999999999" customHeight="1" x14ac:dyDescent="0.2">
      <c r="B36" s="36"/>
    </row>
    <row r="37" spans="2:2" ht="16.899999999999999" customHeight="1" x14ac:dyDescent="0.2">
      <c r="B37" s="36"/>
    </row>
    <row r="38" spans="2:2" ht="16.899999999999999" customHeight="1" x14ac:dyDescent="0.2">
      <c r="B38" s="36"/>
    </row>
    <row r="39" spans="2:2" ht="16.899999999999999" customHeight="1" x14ac:dyDescent="0.2">
      <c r="B39" s="36"/>
    </row>
    <row r="40" spans="2:2" ht="16.899999999999999" customHeight="1" x14ac:dyDescent="0.2">
      <c r="B40" s="36"/>
    </row>
    <row r="41" spans="2:2" ht="16.899999999999999" customHeight="1" x14ac:dyDescent="0.2">
      <c r="B41" s="36"/>
    </row>
    <row r="42" spans="2:2" ht="16.899999999999999" customHeight="1" x14ac:dyDescent="0.2">
      <c r="B42" s="36"/>
    </row>
    <row r="43" spans="2:2" ht="16.899999999999999" customHeight="1" x14ac:dyDescent="0.2">
      <c r="B43" s="36"/>
    </row>
    <row r="44" spans="2:2" ht="16.899999999999999" customHeight="1" x14ac:dyDescent="0.2">
      <c r="B44" s="36"/>
    </row>
    <row r="45" spans="2:2" ht="16.899999999999999" customHeight="1" x14ac:dyDescent="0.2">
      <c r="B45" s="36"/>
    </row>
    <row r="46" spans="2:2" ht="16.899999999999999" customHeight="1" x14ac:dyDescent="0.2">
      <c r="B46" s="36"/>
    </row>
    <row r="47" spans="2:2" ht="16.899999999999999" customHeight="1" x14ac:dyDescent="0.2">
      <c r="B47" s="36"/>
    </row>
    <row r="48" spans="2:2" ht="16.899999999999999" customHeight="1" x14ac:dyDescent="0.2">
      <c r="B48" s="36"/>
    </row>
    <row r="49" spans="2:2" ht="16.899999999999999" customHeight="1" x14ac:dyDescent="0.2">
      <c r="B49" s="36"/>
    </row>
    <row r="50" spans="2:2" ht="16.899999999999999" customHeight="1" x14ac:dyDescent="0.2">
      <c r="B50" s="36"/>
    </row>
    <row r="51" spans="2:2" ht="16.899999999999999" customHeight="1" x14ac:dyDescent="0.2">
      <c r="B51" s="36"/>
    </row>
    <row r="52" spans="2:2" ht="16.899999999999999" customHeight="1" x14ac:dyDescent="0.2">
      <c r="B52" s="36"/>
    </row>
    <row r="53" spans="2:2" ht="16.899999999999999" customHeight="1" x14ac:dyDescent="0.2">
      <c r="B53" s="36"/>
    </row>
    <row r="54" spans="2:2" ht="16.899999999999999" customHeight="1" x14ac:dyDescent="0.2">
      <c r="B54" s="36"/>
    </row>
    <row r="55" spans="2:2" ht="16.899999999999999" customHeight="1" x14ac:dyDescent="0.2">
      <c r="B55" s="36"/>
    </row>
    <row r="56" spans="2:2" ht="16.899999999999999" customHeight="1" x14ac:dyDescent="0.2">
      <c r="B56" s="36"/>
    </row>
    <row r="57" spans="2:2" ht="16.899999999999999" customHeight="1" x14ac:dyDescent="0.2">
      <c r="B57" s="36"/>
    </row>
    <row r="58" spans="2:2" ht="16.899999999999999" customHeight="1" x14ac:dyDescent="0.2">
      <c r="B58" s="36"/>
    </row>
    <row r="59" spans="2:2" ht="16.899999999999999" customHeight="1" x14ac:dyDescent="0.2">
      <c r="B59" s="36"/>
    </row>
    <row r="60" spans="2:2" ht="16.899999999999999" customHeight="1" x14ac:dyDescent="0.2">
      <c r="B60" s="36"/>
    </row>
    <row r="61" spans="2:2" ht="16.899999999999999" customHeight="1" x14ac:dyDescent="0.2">
      <c r="B61" s="36"/>
    </row>
    <row r="62" spans="2:2" ht="16.899999999999999" customHeight="1" x14ac:dyDescent="0.2">
      <c r="B62" s="36"/>
    </row>
    <row r="63" spans="2:2" ht="16.899999999999999" customHeight="1" x14ac:dyDescent="0.2">
      <c r="B63" s="36"/>
    </row>
    <row r="64" spans="2:2" ht="16.899999999999999" customHeight="1" x14ac:dyDescent="0.2">
      <c r="B64" s="36"/>
    </row>
    <row r="65" spans="2:2" ht="16.899999999999999" customHeight="1" x14ac:dyDescent="0.2">
      <c r="B65" s="36"/>
    </row>
    <row r="66" spans="2:2" ht="16.899999999999999" customHeight="1" x14ac:dyDescent="0.2">
      <c r="B66" s="36"/>
    </row>
    <row r="67" spans="2:2" ht="16.899999999999999" customHeight="1" x14ac:dyDescent="0.2">
      <c r="B67" s="36"/>
    </row>
    <row r="68" spans="2:2" ht="16.899999999999999" customHeight="1" x14ac:dyDescent="0.2">
      <c r="B68" s="36"/>
    </row>
    <row r="69" spans="2:2" ht="16.899999999999999" customHeight="1" x14ac:dyDescent="0.2">
      <c r="B69" s="36"/>
    </row>
    <row r="70" spans="2:2" ht="16.899999999999999" customHeight="1" x14ac:dyDescent="0.2">
      <c r="B70" s="36"/>
    </row>
    <row r="71" spans="2:2" ht="16.899999999999999" customHeight="1" x14ac:dyDescent="0.2">
      <c r="B71" s="36"/>
    </row>
    <row r="72" spans="2:2" ht="16.899999999999999" customHeight="1" x14ac:dyDescent="0.2">
      <c r="B72" s="36"/>
    </row>
    <row r="73" spans="2:2" ht="16.899999999999999" customHeight="1" x14ac:dyDescent="0.2">
      <c r="B73" s="36"/>
    </row>
    <row r="74" spans="2:2" ht="16.899999999999999" customHeight="1" x14ac:dyDescent="0.2">
      <c r="B74" s="36"/>
    </row>
    <row r="75" spans="2:2" ht="16.899999999999999" customHeight="1" x14ac:dyDescent="0.2">
      <c r="B75" s="36"/>
    </row>
    <row r="76" spans="2:2" ht="16.899999999999999" customHeight="1" x14ac:dyDescent="0.2">
      <c r="B76" s="36"/>
    </row>
    <row r="77" spans="2:2" ht="16.899999999999999" customHeight="1" x14ac:dyDescent="0.2">
      <c r="B77" s="36"/>
    </row>
    <row r="78" spans="2:2" ht="16.899999999999999" customHeight="1" x14ac:dyDescent="0.2">
      <c r="B78" s="36"/>
    </row>
    <row r="79" spans="2:2" ht="16.899999999999999" customHeight="1" x14ac:dyDescent="0.2">
      <c r="B79" s="36"/>
    </row>
    <row r="80" spans="2:2" ht="16.899999999999999" customHeight="1" x14ac:dyDescent="0.2">
      <c r="B80" s="36"/>
    </row>
    <row r="81" spans="2:2" ht="16.899999999999999" customHeight="1" x14ac:dyDescent="0.2">
      <c r="B81" s="36"/>
    </row>
    <row r="82" spans="2:2" ht="16.899999999999999" customHeight="1" x14ac:dyDescent="0.2">
      <c r="B82" s="36"/>
    </row>
    <row r="83" spans="2:2" ht="16.899999999999999" customHeight="1" x14ac:dyDescent="0.2">
      <c r="B83" s="36"/>
    </row>
    <row r="84" spans="2:2" ht="16.899999999999999" customHeight="1" x14ac:dyDescent="0.2">
      <c r="B84" s="36"/>
    </row>
    <row r="85" spans="2:2" ht="16.899999999999999" customHeight="1" x14ac:dyDescent="0.2">
      <c r="B85" s="36"/>
    </row>
    <row r="86" spans="2:2" ht="16.899999999999999" customHeight="1" x14ac:dyDescent="0.2">
      <c r="B86" s="36"/>
    </row>
    <row r="87" spans="2:2" ht="16.899999999999999" customHeight="1" x14ac:dyDescent="0.2">
      <c r="B87" s="36"/>
    </row>
    <row r="88" spans="2:2" ht="16.899999999999999" customHeight="1" x14ac:dyDescent="0.2">
      <c r="B88" s="36"/>
    </row>
    <row r="89" spans="2:2" ht="16.899999999999999" customHeight="1" x14ac:dyDescent="0.2">
      <c r="B89" s="36"/>
    </row>
    <row r="90" spans="2:2" ht="16.899999999999999" customHeight="1" x14ac:dyDescent="0.2">
      <c r="B90" s="36"/>
    </row>
    <row r="91" spans="2:2" ht="16.899999999999999" customHeight="1" x14ac:dyDescent="0.2">
      <c r="B91" s="36"/>
    </row>
    <row r="92" spans="2:2" ht="16.899999999999999" customHeight="1" x14ac:dyDescent="0.2">
      <c r="B92" s="36"/>
    </row>
    <row r="93" spans="2:2" ht="16.899999999999999" customHeight="1" x14ac:dyDescent="0.2">
      <c r="B93" s="36"/>
    </row>
    <row r="94" spans="2:2" ht="16.899999999999999" customHeight="1" x14ac:dyDescent="0.2">
      <c r="B94" s="36"/>
    </row>
    <row r="95" spans="2:2" ht="16.899999999999999" customHeight="1" x14ac:dyDescent="0.2">
      <c r="B95" s="36"/>
    </row>
    <row r="96" spans="2:2" ht="16.899999999999999" customHeight="1" x14ac:dyDescent="0.2">
      <c r="B96" s="36"/>
    </row>
    <row r="97" spans="2:2" ht="16.899999999999999" customHeight="1" x14ac:dyDescent="0.2">
      <c r="B97" s="36"/>
    </row>
    <row r="98" spans="2:2" ht="16.899999999999999" customHeight="1" x14ac:dyDescent="0.2">
      <c r="B98" s="36"/>
    </row>
    <row r="99" spans="2:2" ht="16.899999999999999" customHeight="1" x14ac:dyDescent="0.2">
      <c r="B99" s="36"/>
    </row>
    <row r="100" spans="2:2" ht="16.899999999999999" customHeight="1" x14ac:dyDescent="0.2">
      <c r="B100" s="36"/>
    </row>
    <row r="101" spans="2:2" ht="16.899999999999999" customHeight="1" x14ac:dyDescent="0.2">
      <c r="B101" s="36"/>
    </row>
    <row r="102" spans="2:2" ht="16.899999999999999" customHeight="1" x14ac:dyDescent="0.2">
      <c r="B102" s="36"/>
    </row>
    <row r="103" spans="2:2" ht="16.899999999999999" customHeight="1" x14ac:dyDescent="0.2">
      <c r="B103" s="36"/>
    </row>
    <row r="104" spans="2:2" ht="16.899999999999999" customHeight="1" x14ac:dyDescent="0.2">
      <c r="B104" s="36"/>
    </row>
    <row r="105" spans="2:2" ht="16.899999999999999" customHeight="1" x14ac:dyDescent="0.2">
      <c r="B105" s="36"/>
    </row>
    <row r="106" spans="2:2" ht="16.899999999999999" customHeight="1" x14ac:dyDescent="0.2">
      <c r="B106" s="36"/>
    </row>
    <row r="107" spans="2:2" ht="16.899999999999999" customHeight="1" x14ac:dyDescent="0.2">
      <c r="B107" s="36"/>
    </row>
    <row r="108" spans="2:2" ht="16.899999999999999" customHeight="1" x14ac:dyDescent="0.2">
      <c r="B108" s="36"/>
    </row>
    <row r="109" spans="2:2" ht="16.899999999999999" customHeight="1" x14ac:dyDescent="0.2">
      <c r="B109" s="36"/>
    </row>
    <row r="110" spans="2:2" ht="16.899999999999999" customHeight="1" x14ac:dyDescent="0.2">
      <c r="B110" s="36"/>
    </row>
    <row r="111" spans="2:2" ht="16.899999999999999" customHeight="1" x14ac:dyDescent="0.2">
      <c r="B111" s="36"/>
    </row>
    <row r="112" spans="2:2" ht="16.899999999999999" customHeight="1" x14ac:dyDescent="0.2">
      <c r="B112" s="36"/>
    </row>
  </sheetData>
  <sheetProtection algorithmName="SHA-512" hashValue="wTNOrMVpqemimzAoMYW35/WKvld8wPu9DmVSDqnPLFPExcdiTyBd2aFW+oCcJkh6oCMN9WCV8SU0A23xy95GNA==" saltValue="wmwSoqkb24xOPnQYi6nJgw==" spinCount="100000" sheet="1" objects="1" scenarios="1"/>
  <protectedRanges>
    <protectedRange sqref="A5:A100 B5:B100 D5:D100 E5:E100 G5:G100 H5:H100 J5:J100 K5:K100" name="Bereik1"/>
  </protectedRanges>
  <pageMargins left="0.39370078740157483" right="0.39370078740157483" top="0.39370078740157483" bottom="0.98425196850393704" header="0" footer="0.39370078740157483"/>
  <pageSetup paperSize="9" orientation="landscape" horizontalDpi="2400" verticalDpi="2400" r:id="rId1"/>
  <headerFooter>
    <oddFooter>&amp;L&amp;"Calibri,Standaard"&amp;K000000&amp;G</oddFooter>
  </headerFooter>
  <ignoredErrors>
    <ignoredError sqref="J4 E4 G4:H4" formula="1"/>
  </ignoredErrors>
  <legacyDrawingHF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992C9-6A1C-43AB-A4B9-5CA0FE7CAFAD}">
  <sheetPr>
    <tabColor rgb="FF00B050"/>
  </sheetPr>
  <dimension ref="A1:W29"/>
  <sheetViews>
    <sheetView showGridLines="0" showRuler="0" zoomScaleNormal="100" zoomScalePageLayoutView="90" workbookViewId="0">
      <selection activeCell="A26" sqref="A26"/>
    </sheetView>
  </sheetViews>
  <sheetFormatPr defaultColWidth="11.625" defaultRowHeight="16.899999999999999" customHeight="1" x14ac:dyDescent="0.2"/>
  <cols>
    <col min="1" max="4" width="7.375" style="21" customWidth="1"/>
    <col min="5" max="7" width="10.625" style="21" customWidth="1"/>
    <col min="8" max="8" width="5" style="21" customWidth="1"/>
    <col min="9" max="11" width="7.375" style="21" customWidth="1"/>
    <col min="12" max="12" width="1.75" style="21" customWidth="1"/>
    <col min="13" max="22" width="3" style="21" customWidth="1"/>
    <col min="23" max="23" width="2.875" style="21" customWidth="1"/>
    <col min="24" max="16384" width="11.625" style="21"/>
  </cols>
  <sheetData>
    <row r="1" spans="1:23" ht="16.899999999999999" customHeight="1" x14ac:dyDescent="0.25">
      <c r="A1" s="28" t="str">
        <f>Languages!A156</f>
        <v>Journaalpost export</v>
      </c>
      <c r="B1" s="28"/>
      <c r="C1" s="28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</row>
    <row r="2" spans="1:23" ht="16.899999999999999" customHeight="1" x14ac:dyDescent="0.2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1"/>
      <c r="M2" s="31"/>
      <c r="N2" s="31"/>
      <c r="O2" s="31"/>
    </row>
    <row r="3" spans="1:23" ht="16.899999999999999" customHeight="1" x14ac:dyDescent="0.2">
      <c r="A3" s="32" t="str">
        <f>Languages!A157</f>
        <v>Journaalpost</v>
      </c>
      <c r="B3" s="32"/>
      <c r="C3" s="32"/>
      <c r="D3" s="36"/>
      <c r="E3" s="36"/>
      <c r="F3" s="36"/>
      <c r="G3" s="36"/>
      <c r="H3" s="36"/>
      <c r="I3" s="32" t="str">
        <f>Languages!A174</f>
        <v>Overige instellingen</v>
      </c>
      <c r="J3" s="32"/>
      <c r="K3" s="32"/>
      <c r="L3" s="33"/>
      <c r="M3" s="33"/>
      <c r="N3" s="33"/>
      <c r="O3" s="33"/>
    </row>
    <row r="4" spans="1:23" ht="16.899999999999999" customHeight="1" x14ac:dyDescent="0.2">
      <c r="A4" s="36" t="str">
        <f>Languages!A156</f>
        <v>Journaalpost export</v>
      </c>
      <c r="B4" s="36"/>
      <c r="C4" s="36"/>
      <c r="D4" s="36"/>
      <c r="E4" s="140"/>
      <c r="F4" s="140"/>
      <c r="G4" s="140"/>
      <c r="H4" s="36"/>
      <c r="I4" s="36" t="str">
        <f>Languages!A175</f>
        <v>Afwijkende rekeningschema per kpl</v>
      </c>
      <c r="J4" s="36"/>
      <c r="K4" s="36"/>
      <c r="L4" s="36"/>
      <c r="M4" s="25"/>
      <c r="N4" s="25"/>
      <c r="O4" s="25"/>
      <c r="P4" s="141"/>
      <c r="Q4" s="142"/>
      <c r="R4" s="142"/>
      <c r="S4" s="142"/>
      <c r="T4" s="142"/>
      <c r="U4" s="142"/>
      <c r="V4" s="143"/>
    </row>
    <row r="5" spans="1:23" ht="16.899999999999999" customHeight="1" x14ac:dyDescent="0.2">
      <c r="A5" s="36" t="str">
        <f>Languages!A158</f>
        <v>Voor welk financieel systeem</v>
      </c>
      <c r="B5" s="36"/>
      <c r="C5" s="36"/>
      <c r="D5" s="36"/>
      <c r="E5" s="140"/>
      <c r="F5" s="140"/>
      <c r="G5" s="140"/>
      <c r="H5" s="36"/>
      <c r="I5" s="36" t="str">
        <f>Languages!A176</f>
        <v>Consolideren op kostenplaats</v>
      </c>
      <c r="J5" s="36"/>
      <c r="K5" s="36"/>
      <c r="L5" s="36"/>
      <c r="M5" s="25"/>
      <c r="N5" s="25"/>
      <c r="O5" s="25"/>
      <c r="P5" s="141"/>
      <c r="Q5" s="142"/>
      <c r="R5" s="142"/>
      <c r="S5" s="142"/>
      <c r="T5" s="142"/>
      <c r="U5" s="142"/>
      <c r="V5" s="143"/>
    </row>
    <row r="6" spans="1:23" ht="16.899999999999999" customHeight="1" x14ac:dyDescent="0.2">
      <c r="A6" s="36"/>
      <c r="B6" s="36"/>
      <c r="C6" s="36"/>
      <c r="D6" s="36"/>
      <c r="E6" s="36"/>
      <c r="F6" s="36"/>
      <c r="G6" s="36"/>
      <c r="H6" s="36"/>
      <c r="I6" s="36" t="str">
        <f>Languages!A177</f>
        <v>Consolideren op GB-rekening</v>
      </c>
      <c r="P6" s="141"/>
      <c r="Q6" s="142"/>
      <c r="R6" s="142"/>
      <c r="S6" s="142"/>
      <c r="T6" s="142"/>
      <c r="U6" s="142"/>
      <c r="V6" s="143"/>
    </row>
    <row r="7" spans="1:23" ht="16.899999999999999" customHeight="1" x14ac:dyDescent="0.2">
      <c r="A7" s="32" t="str">
        <f>Languages!A159</f>
        <v>Formaat</v>
      </c>
      <c r="B7" s="32"/>
      <c r="C7" s="32"/>
      <c r="D7" s="33"/>
      <c r="E7" s="33"/>
      <c r="F7" s="33"/>
      <c r="G7" s="33"/>
      <c r="H7" s="36"/>
      <c r="I7" s="36" t="str">
        <f>Languages!A178</f>
        <v>zo ja, specificeer</v>
      </c>
      <c r="P7" s="141"/>
      <c r="Q7" s="142"/>
      <c r="R7" s="142"/>
      <c r="S7" s="142"/>
      <c r="T7" s="142"/>
      <c r="U7" s="142"/>
      <c r="V7" s="143"/>
    </row>
    <row r="8" spans="1:23" ht="16.899999999999999" customHeight="1" x14ac:dyDescent="0.2">
      <c r="A8" s="36" t="str">
        <f>Languages!A160</f>
        <v>Bestandstype</v>
      </c>
      <c r="B8" s="33"/>
      <c r="C8" s="33"/>
      <c r="D8" s="33"/>
      <c r="E8" s="140"/>
      <c r="F8" s="140"/>
      <c r="G8" s="140"/>
      <c r="H8" s="36"/>
      <c r="P8" s="141"/>
      <c r="Q8" s="142"/>
      <c r="R8" s="142"/>
      <c r="S8" s="142"/>
      <c r="T8" s="142"/>
      <c r="U8" s="142"/>
      <c r="V8" s="143"/>
    </row>
    <row r="9" spans="1:23" ht="16.899999999999999" customHeight="1" x14ac:dyDescent="0.2">
      <c r="A9" s="36" t="str">
        <f>Languages!A161</f>
        <v>Als anders, welk type?</v>
      </c>
      <c r="B9" s="33"/>
      <c r="C9" s="33"/>
      <c r="D9" s="33"/>
      <c r="E9" s="140"/>
      <c r="F9" s="140"/>
      <c r="G9" s="140"/>
      <c r="H9" s="36"/>
      <c r="P9" s="141"/>
      <c r="Q9" s="142"/>
      <c r="R9" s="142"/>
      <c r="S9" s="142"/>
      <c r="T9" s="142"/>
      <c r="U9" s="142"/>
      <c r="V9" s="143"/>
    </row>
    <row r="10" spans="1:23" ht="16.899999999999999" customHeight="1" x14ac:dyDescent="0.2">
      <c r="A10" s="36" t="str">
        <f>Languages!A162</f>
        <v>Kopregel</v>
      </c>
      <c r="B10" s="33"/>
      <c r="C10" s="33"/>
      <c r="D10" s="35"/>
      <c r="E10" s="140"/>
      <c r="F10" s="140"/>
      <c r="G10" s="140"/>
      <c r="H10" s="36"/>
      <c r="P10" s="141"/>
      <c r="Q10" s="142"/>
      <c r="R10" s="142"/>
      <c r="S10" s="142"/>
      <c r="T10" s="142"/>
      <c r="U10" s="142"/>
      <c r="V10" s="143"/>
    </row>
    <row r="11" spans="1:23" ht="16.899999999999999" customHeight="1" x14ac:dyDescent="0.2">
      <c r="A11" s="36" t="s">
        <v>21</v>
      </c>
      <c r="B11" s="33"/>
      <c r="C11" s="33"/>
      <c r="D11" s="35"/>
      <c r="E11" s="140"/>
      <c r="F11" s="140"/>
      <c r="G11" s="140"/>
      <c r="H11" s="33"/>
      <c r="P11" s="141"/>
      <c r="Q11" s="142"/>
      <c r="R11" s="142"/>
      <c r="S11" s="142"/>
      <c r="T11" s="142"/>
      <c r="U11" s="142"/>
      <c r="V11" s="143"/>
    </row>
    <row r="12" spans="1:23" ht="16.899999999999999" customHeight="1" x14ac:dyDescent="0.2">
      <c r="A12" s="36"/>
      <c r="B12" s="33"/>
      <c r="C12" s="33"/>
      <c r="D12" s="35"/>
      <c r="E12" s="140"/>
      <c r="F12" s="140"/>
      <c r="G12" s="140"/>
      <c r="H12" s="33"/>
      <c r="P12" s="141"/>
      <c r="Q12" s="142"/>
      <c r="R12" s="142"/>
      <c r="S12" s="142"/>
      <c r="T12" s="142"/>
      <c r="U12" s="142"/>
      <c r="V12" s="143"/>
    </row>
    <row r="13" spans="1:23" ht="16.899999999999999" customHeight="1" x14ac:dyDescent="0.2">
      <c r="A13" s="37" t="str">
        <f>Languages!A163</f>
        <v>Detail regels</v>
      </c>
      <c r="B13" s="33"/>
      <c r="C13" s="33"/>
      <c r="D13" s="35"/>
      <c r="E13" s="33"/>
      <c r="F13" s="33"/>
      <c r="G13" s="33"/>
      <c r="H13" s="33"/>
      <c r="P13" s="141"/>
      <c r="Q13" s="142"/>
      <c r="R13" s="142"/>
      <c r="S13" s="142"/>
      <c r="T13" s="142"/>
      <c r="U13" s="142"/>
      <c r="V13" s="143"/>
    </row>
    <row r="14" spans="1:23" ht="16.899999999999999" customHeight="1" x14ac:dyDescent="0.2">
      <c r="A14" s="56" t="str">
        <f>Languages!A164</f>
        <v>Kolom 01</v>
      </c>
      <c r="B14" s="33"/>
      <c r="C14" s="33"/>
      <c r="D14" s="35"/>
      <c r="E14" s="140"/>
      <c r="F14" s="140"/>
      <c r="G14" s="140"/>
      <c r="H14" s="33"/>
      <c r="P14" s="141"/>
      <c r="Q14" s="142"/>
      <c r="R14" s="142"/>
      <c r="S14" s="142"/>
      <c r="T14" s="142"/>
      <c r="U14" s="142"/>
      <c r="V14" s="143"/>
    </row>
    <row r="15" spans="1:23" ht="16.899999999999999" customHeight="1" x14ac:dyDescent="0.2">
      <c r="A15" s="56" t="str">
        <f>Languages!A165</f>
        <v>Kolom 02</v>
      </c>
      <c r="B15" s="33"/>
      <c r="C15" s="33"/>
      <c r="D15" s="35"/>
      <c r="E15" s="140"/>
      <c r="F15" s="140"/>
      <c r="G15" s="140"/>
      <c r="H15" s="33"/>
      <c r="P15" s="141"/>
      <c r="Q15" s="142"/>
      <c r="R15" s="142"/>
      <c r="S15" s="142"/>
      <c r="T15" s="142"/>
      <c r="U15" s="142"/>
      <c r="V15" s="143"/>
    </row>
    <row r="16" spans="1:23" ht="16.899999999999999" customHeight="1" x14ac:dyDescent="0.2">
      <c r="A16" s="56" t="str">
        <f>Languages!A166</f>
        <v>Kolom 03</v>
      </c>
      <c r="B16" s="33"/>
      <c r="C16" s="33"/>
      <c r="D16" s="35"/>
      <c r="E16" s="140"/>
      <c r="F16" s="140"/>
      <c r="G16" s="140"/>
      <c r="H16" s="33"/>
      <c r="I16" s="33"/>
      <c r="J16" s="33"/>
      <c r="K16" s="33"/>
      <c r="L16" s="33"/>
      <c r="M16" s="33"/>
      <c r="N16" s="33"/>
      <c r="O16" s="33"/>
    </row>
    <row r="17" spans="1:15" ht="16.899999999999999" customHeight="1" x14ac:dyDescent="0.2">
      <c r="A17" s="56" t="str">
        <f>Languages!A167</f>
        <v>Kolom 04</v>
      </c>
      <c r="B17" s="33"/>
      <c r="C17" s="33"/>
      <c r="D17" s="35"/>
      <c r="E17" s="140"/>
      <c r="F17" s="140"/>
      <c r="G17" s="140"/>
      <c r="H17" s="33"/>
      <c r="I17" s="33"/>
      <c r="J17" s="33"/>
      <c r="K17" s="33"/>
      <c r="L17" s="33"/>
      <c r="M17" s="33"/>
      <c r="N17" s="33"/>
      <c r="O17" s="33"/>
    </row>
    <row r="18" spans="1:15" ht="16.899999999999999" customHeight="1" x14ac:dyDescent="0.2">
      <c r="A18" s="56" t="str">
        <f>Languages!A168</f>
        <v>Kolom 05</v>
      </c>
      <c r="B18" s="33"/>
      <c r="C18" s="33"/>
      <c r="D18" s="35"/>
      <c r="E18" s="140"/>
      <c r="F18" s="140"/>
      <c r="G18" s="140"/>
      <c r="H18" s="33"/>
      <c r="I18" s="33"/>
      <c r="J18" s="33"/>
      <c r="K18" s="33"/>
      <c r="L18" s="33"/>
      <c r="M18" s="33"/>
      <c r="N18" s="33"/>
      <c r="O18" s="33"/>
    </row>
    <row r="19" spans="1:15" ht="16.899999999999999" customHeight="1" x14ac:dyDescent="0.2">
      <c r="A19" s="56" t="str">
        <f>Languages!A169</f>
        <v>Kolom 06</v>
      </c>
      <c r="B19" s="33"/>
      <c r="C19" s="33"/>
      <c r="D19" s="35"/>
      <c r="E19" s="140"/>
      <c r="F19" s="140"/>
      <c r="G19" s="140"/>
      <c r="H19" s="33"/>
      <c r="I19" s="36"/>
      <c r="J19" s="32"/>
      <c r="K19" s="32"/>
      <c r="L19" s="36"/>
      <c r="M19" s="36"/>
      <c r="N19" s="36"/>
      <c r="O19" s="36"/>
    </row>
    <row r="20" spans="1:15" ht="16.899999999999999" customHeight="1" x14ac:dyDescent="0.2">
      <c r="A20" s="56" t="str">
        <f>Languages!A170</f>
        <v>Kolom 07</v>
      </c>
      <c r="B20" s="33"/>
      <c r="C20" s="33"/>
      <c r="D20" s="35"/>
      <c r="E20" s="140"/>
      <c r="F20" s="140"/>
      <c r="G20" s="140"/>
      <c r="H20" s="33"/>
      <c r="I20" s="36"/>
      <c r="J20" s="32"/>
      <c r="K20" s="32"/>
      <c r="L20" s="36"/>
      <c r="M20" s="36"/>
      <c r="N20" s="36"/>
      <c r="O20" s="36"/>
    </row>
    <row r="21" spans="1:15" ht="16.899999999999999" customHeight="1" x14ac:dyDescent="0.2">
      <c r="A21" s="56" t="str">
        <f>Languages!A171</f>
        <v>Kolom 08</v>
      </c>
      <c r="B21" s="33"/>
      <c r="C21" s="33"/>
      <c r="D21" s="35"/>
      <c r="E21" s="140"/>
      <c r="F21" s="140"/>
      <c r="G21" s="140"/>
      <c r="H21" s="33"/>
      <c r="I21" s="33"/>
      <c r="J21" s="33"/>
      <c r="K21" s="33"/>
      <c r="L21" s="33"/>
      <c r="M21" s="33"/>
      <c r="N21" s="33"/>
      <c r="O21" s="33"/>
    </row>
    <row r="22" spans="1:15" ht="16.899999999999999" customHeight="1" x14ac:dyDescent="0.2">
      <c r="A22" s="56" t="str">
        <f>Languages!A172</f>
        <v>Kolom 09</v>
      </c>
      <c r="B22" s="33"/>
      <c r="C22" s="33"/>
      <c r="D22" s="35"/>
      <c r="E22" s="140"/>
      <c r="F22" s="140"/>
      <c r="G22" s="140"/>
      <c r="H22" s="33"/>
      <c r="I22" s="33"/>
      <c r="J22" s="33"/>
      <c r="K22" s="33"/>
      <c r="L22" s="33"/>
      <c r="M22" s="33"/>
      <c r="N22" s="33"/>
      <c r="O22" s="33"/>
    </row>
    <row r="23" spans="1:15" ht="16.899999999999999" customHeight="1" x14ac:dyDescent="0.2">
      <c r="A23" s="56" t="str">
        <f>Languages!A173</f>
        <v>Kolom 10</v>
      </c>
      <c r="B23" s="33"/>
      <c r="C23" s="33"/>
      <c r="D23" s="35"/>
      <c r="E23" s="140"/>
      <c r="F23" s="140"/>
      <c r="G23" s="140"/>
      <c r="H23" s="33"/>
      <c r="I23" s="33"/>
      <c r="J23" s="33"/>
      <c r="K23" s="33"/>
      <c r="L23" s="33"/>
      <c r="M23" s="33"/>
      <c r="N23" s="33"/>
      <c r="O23" s="33"/>
    </row>
    <row r="24" spans="1:15" ht="16.899999999999999" customHeight="1" x14ac:dyDescent="0.2">
      <c r="A24" s="36"/>
      <c r="B24" s="36"/>
      <c r="C24" s="36"/>
      <c r="D24" s="35"/>
      <c r="E24" s="35"/>
      <c r="F24" s="35"/>
      <c r="G24" s="35"/>
      <c r="H24" s="35"/>
      <c r="I24" s="36"/>
      <c r="J24" s="36"/>
      <c r="K24" s="36"/>
      <c r="L24" s="36"/>
      <c r="M24" s="36"/>
      <c r="N24" s="36"/>
      <c r="O24" s="36"/>
    </row>
    <row r="25" spans="1:15" ht="16.899999999999999" customHeight="1" x14ac:dyDescent="0.2">
      <c r="A25" s="9" t="str">
        <f>Languages!A42</f>
        <v>Opmerkingen:</v>
      </c>
      <c r="B25" s="36"/>
      <c r="C25" s="36"/>
      <c r="D25" s="35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</row>
    <row r="26" spans="1:15" ht="16.899999999999999" customHeight="1" x14ac:dyDescent="0.2">
      <c r="A26" s="38" t="s">
        <v>19</v>
      </c>
      <c r="B26" s="39"/>
      <c r="C26" s="39"/>
      <c r="D26" s="40"/>
      <c r="E26" s="41"/>
      <c r="F26" s="41"/>
      <c r="G26" s="41"/>
      <c r="H26" s="41"/>
      <c r="I26" s="41"/>
      <c r="J26" s="41"/>
      <c r="K26" s="41"/>
      <c r="L26" s="41"/>
      <c r="M26" s="42"/>
      <c r="N26" s="36"/>
      <c r="O26" s="36"/>
    </row>
    <row r="27" spans="1:15" ht="16.899999999999999" customHeight="1" x14ac:dyDescent="0.2">
      <c r="A27" s="43"/>
      <c r="B27" s="44"/>
      <c r="C27" s="44"/>
      <c r="D27" s="35"/>
      <c r="E27" s="36"/>
      <c r="F27" s="36"/>
      <c r="G27" s="36"/>
      <c r="H27" s="36"/>
      <c r="I27" s="36"/>
      <c r="J27" s="36"/>
      <c r="K27" s="36"/>
      <c r="L27" s="36"/>
      <c r="M27" s="45"/>
      <c r="N27" s="36"/>
      <c r="O27" s="36"/>
    </row>
    <row r="28" spans="1:15" ht="16.7" customHeight="1" x14ac:dyDescent="0.2">
      <c r="A28" s="46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47"/>
      <c r="N28" s="33"/>
      <c r="O28" s="33"/>
    </row>
    <row r="29" spans="1:15" ht="16.899999999999999" customHeight="1" x14ac:dyDescent="0.2">
      <c r="A29" s="48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50"/>
      <c r="N29" s="33"/>
      <c r="O29" s="33"/>
    </row>
  </sheetData>
  <sheetProtection algorithmName="SHA-512" hashValue="cx3oh/FYSL9Y4hmdNTQcCaErse2ROGm5n5/1tTgyzWlJFWOwMYP5PhTB9XROjyQnRChDfiQsvZpBPrFmQKJDjg==" saltValue="yhwelHT/PPk2Phn+DfaxtQ==" spinCount="100000" sheet="1" objects="1" scenarios="1"/>
  <protectedRanges>
    <protectedRange sqref="E4:G5 E8:G12 E14:G23 P4:V15 A26:M29" name="Bereik1"/>
  </protectedRanges>
  <mergeCells count="29">
    <mergeCell ref="E23:G23"/>
    <mergeCell ref="P4:V4"/>
    <mergeCell ref="P5:V5"/>
    <mergeCell ref="P6:V6"/>
    <mergeCell ref="P7:V7"/>
    <mergeCell ref="P8:V8"/>
    <mergeCell ref="E14:G14"/>
    <mergeCell ref="E17:G17"/>
    <mergeCell ref="E18:G18"/>
    <mergeCell ref="E19:G19"/>
    <mergeCell ref="E20:G20"/>
    <mergeCell ref="E15:G15"/>
    <mergeCell ref="E16:G16"/>
    <mergeCell ref="P11:V11"/>
    <mergeCell ref="P12:V12"/>
    <mergeCell ref="E11:G11"/>
    <mergeCell ref="P9:V9"/>
    <mergeCell ref="P10:V10"/>
    <mergeCell ref="E21:G21"/>
    <mergeCell ref="E22:G22"/>
    <mergeCell ref="P13:V13"/>
    <mergeCell ref="P14:V14"/>
    <mergeCell ref="P15:V15"/>
    <mergeCell ref="E12:G12"/>
    <mergeCell ref="E4:G4"/>
    <mergeCell ref="E5:G5"/>
    <mergeCell ref="E8:G8"/>
    <mergeCell ref="E9:G9"/>
    <mergeCell ref="E10:G10"/>
  </mergeCells>
  <pageMargins left="0.39370078740157483" right="0.39370078740157483" top="0.39370078740157483" bottom="0.98425196850393704" header="0" footer="0.39370078740157483"/>
  <pageSetup paperSize="9" orientation="landscape" horizontalDpi="4294967292" verticalDpi="4294967292" r:id="rId1"/>
  <headerFooter>
    <oddFooter>&amp;L&amp;"Calibri,Standaard"&amp;K000000&amp;G</oddFooter>
  </headerFooter>
  <legacyDrawingHF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4B40976-4FD4-48C1-8532-7875FE238432}">
          <x14:formula1>
            <xm:f>'Validation values'!$A$76:$A$80</xm:f>
          </x14:formula1>
          <xm:sqref>E8:G8</xm:sqref>
        </x14:dataValidation>
        <x14:dataValidation type="list" allowBlank="1" showInputMessage="1" showErrorMessage="1" xr:uid="{A136FAED-5300-4635-9C60-81DBC65C71BB}">
          <x14:formula1>
            <xm:f>'Validation values'!$A$6:$A$7</xm:f>
          </x14:formula1>
          <xm:sqref>E4:G4 P4:V6 E10:G10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2D471-B968-43A8-B284-EF4D2BE57F44}">
  <sheetPr>
    <tabColor rgb="FF00B0F0"/>
  </sheetPr>
  <dimension ref="A1:J29"/>
  <sheetViews>
    <sheetView showGridLines="0" showRuler="0" zoomScaleNormal="100" zoomScalePageLayoutView="90" workbookViewId="0">
      <selection activeCell="G18" sqref="G18"/>
    </sheetView>
  </sheetViews>
  <sheetFormatPr defaultColWidth="11.625" defaultRowHeight="16.899999999999999" customHeight="1" x14ac:dyDescent="0.2"/>
  <cols>
    <col min="1" max="1" width="36.25" style="3" customWidth="1"/>
    <col min="2" max="2" width="25.75" style="3" customWidth="1"/>
    <col min="3" max="3" width="5.75" style="21" customWidth="1"/>
    <col min="4" max="4" width="25.75" style="3" customWidth="1"/>
    <col min="5" max="5" width="5" style="3" customWidth="1"/>
    <col min="6" max="6" width="7.875" style="3" customWidth="1"/>
    <col min="7" max="8" width="7.375" style="3" customWidth="1"/>
    <col min="9" max="16384" width="11.625" style="3"/>
  </cols>
  <sheetData>
    <row r="1" spans="1:8" ht="16.899999999999999" customHeight="1" x14ac:dyDescent="0.25">
      <c r="A1" s="1" t="str">
        <f>Languages!A179</f>
        <v>Wettelijke verlofregelingen</v>
      </c>
      <c r="B1" s="2"/>
      <c r="C1" s="2"/>
      <c r="D1" s="2"/>
      <c r="E1" s="2"/>
      <c r="F1" s="2"/>
      <c r="G1" s="2"/>
      <c r="H1" s="2"/>
    </row>
    <row r="2" spans="1:8" ht="16.899999999999999" customHeight="1" x14ac:dyDescent="0.2">
      <c r="A2" s="36"/>
      <c r="B2" s="36"/>
      <c r="C2" s="36"/>
      <c r="D2" s="36"/>
      <c r="E2" s="36"/>
      <c r="F2" s="36"/>
      <c r="G2" s="36"/>
      <c r="H2" s="36"/>
    </row>
    <row r="3" spans="1:8" ht="16.899999999999999" customHeight="1" x14ac:dyDescent="0.2">
      <c r="A3" s="32" t="str">
        <f>Languages!A180</f>
        <v>Soort verlof</v>
      </c>
      <c r="B3" s="31" t="str">
        <f>Languages!A191</f>
        <v>Pensioen naar rato</v>
      </c>
      <c r="C3" s="31"/>
      <c r="D3" s="31" t="str">
        <f>Languages!A192</f>
        <v>Vakakantiegeld naar rato</v>
      </c>
      <c r="E3" s="36"/>
      <c r="F3" s="31"/>
      <c r="G3" s="31"/>
      <c r="H3" s="31"/>
    </row>
    <row r="4" spans="1:8" ht="16.899999999999999" customHeight="1" x14ac:dyDescent="0.2">
      <c r="A4" s="36" t="str">
        <f>Languages!A181</f>
        <v>Onbetaald verlof</v>
      </c>
      <c r="B4" s="93"/>
      <c r="C4" s="36"/>
      <c r="D4" s="93"/>
      <c r="E4" s="36"/>
      <c r="F4" s="51"/>
      <c r="G4" s="51"/>
      <c r="H4" s="51"/>
    </row>
    <row r="5" spans="1:8" ht="16.899999999999999" customHeight="1" x14ac:dyDescent="0.2">
      <c r="A5" s="36" t="str">
        <f>Languages!A182</f>
        <v>Kortdurend zorgverlof</v>
      </c>
      <c r="B5" s="93"/>
      <c r="C5" s="36"/>
      <c r="D5" s="93"/>
      <c r="E5" s="36"/>
      <c r="F5" s="51"/>
      <c r="G5" s="51"/>
      <c r="H5" s="51"/>
    </row>
    <row r="6" spans="1:8" ht="16.899999999999999" customHeight="1" x14ac:dyDescent="0.2">
      <c r="A6" s="36" t="str">
        <f>Languages!A183</f>
        <v>Langdurig zorgverlof</v>
      </c>
      <c r="B6" s="93"/>
      <c r="C6" s="36"/>
      <c r="D6" s="93"/>
      <c r="E6" s="36"/>
      <c r="F6" s="51"/>
      <c r="G6" s="51"/>
      <c r="H6" s="51"/>
    </row>
    <row r="7" spans="1:8" ht="16.899999999999999" customHeight="1" x14ac:dyDescent="0.2">
      <c r="A7" s="36" t="str">
        <f>Languages!A184</f>
        <v>Geboorteverlof (1 week)</v>
      </c>
      <c r="B7" s="93"/>
      <c r="C7" s="36"/>
      <c r="D7" s="93"/>
      <c r="E7" s="36"/>
      <c r="F7" s="51"/>
      <c r="G7" s="51"/>
      <c r="H7" s="51"/>
    </row>
    <row r="8" spans="1:8" ht="16.899999999999999" customHeight="1" x14ac:dyDescent="0.2">
      <c r="A8" s="36" t="str">
        <f>Languages!A185</f>
        <v>Aanvullende geboorteverlof (5 weken)</v>
      </c>
      <c r="B8" s="93"/>
      <c r="C8" s="36"/>
      <c r="D8" s="93"/>
      <c r="E8" s="115" t="str">
        <f>Languages!A193</f>
        <v>aanvullen tot</v>
      </c>
      <c r="F8" s="51"/>
      <c r="G8" s="157"/>
      <c r="H8" s="159"/>
    </row>
    <row r="9" spans="1:8" ht="16.899999999999999" customHeight="1" x14ac:dyDescent="0.2">
      <c r="A9" s="36" t="str">
        <f>Languages!A186</f>
        <v>Betaald ouderschapsverlof</v>
      </c>
      <c r="B9" s="93"/>
      <c r="C9" s="36"/>
      <c r="D9" s="93"/>
      <c r="E9" s="115" t="str">
        <f>Languages!A193</f>
        <v>aanvullen tot</v>
      </c>
      <c r="F9" s="51"/>
      <c r="G9" s="157"/>
      <c r="H9" s="159"/>
    </row>
    <row r="10" spans="1:8" ht="16.899999999999999" customHeight="1" x14ac:dyDescent="0.2">
      <c r="A10" s="36" t="str">
        <f>Languages!A187</f>
        <v>Onbetaald ouderschapsverlof</v>
      </c>
      <c r="B10" s="93"/>
      <c r="C10" s="36"/>
      <c r="D10" s="93"/>
      <c r="E10" s="36"/>
      <c r="F10" s="51"/>
      <c r="G10" s="51"/>
      <c r="H10" s="51"/>
    </row>
    <row r="11" spans="1:8" ht="16.899999999999999" customHeight="1" x14ac:dyDescent="0.2">
      <c r="A11" s="31"/>
      <c r="B11" s="33"/>
      <c r="C11" s="33"/>
      <c r="D11" s="33"/>
      <c r="E11" s="33"/>
      <c r="F11" s="51"/>
      <c r="G11" s="51"/>
      <c r="H11" s="51"/>
    </row>
    <row r="12" spans="1:8" ht="16.899999999999999" customHeight="1" x14ac:dyDescent="0.2">
      <c r="A12" s="32" t="str">
        <f>Languages!A188</f>
        <v>Generatiepact</v>
      </c>
      <c r="B12" s="33"/>
      <c r="C12" s="33"/>
      <c r="D12" s="33"/>
      <c r="E12" s="33"/>
      <c r="F12" s="51"/>
      <c r="G12" s="51"/>
      <c r="H12" s="51"/>
    </row>
    <row r="13" spans="1:8" ht="16.899999999999999" customHeight="1" x14ac:dyDescent="0.2">
      <c r="A13" s="33" t="str">
        <f>Languages!A189</f>
        <v>Is er een generatiepact regeling?</v>
      </c>
      <c r="B13" s="93"/>
      <c r="C13" s="33"/>
      <c r="D13" s="36"/>
      <c r="E13" s="33"/>
      <c r="F13" s="51"/>
      <c r="G13" s="51"/>
      <c r="H13" s="51"/>
    </row>
    <row r="14" spans="1:8" ht="16.899999999999999" customHeight="1" x14ac:dyDescent="0.2">
      <c r="A14" s="33" t="str">
        <f>Languages!A190</f>
        <v>zo ja, wat zijn de percenages?</v>
      </c>
      <c r="B14" s="116"/>
      <c r="C14" s="33"/>
      <c r="D14" s="36"/>
      <c r="E14" s="33"/>
      <c r="F14" s="51"/>
      <c r="G14" s="51"/>
      <c r="H14" s="51"/>
    </row>
    <row r="15" spans="1:8" ht="16.899999999999999" customHeight="1" x14ac:dyDescent="0.2">
      <c r="A15" s="33"/>
      <c r="B15" s="35"/>
      <c r="C15" s="35"/>
      <c r="D15" s="36"/>
      <c r="E15" s="33"/>
      <c r="F15" s="51"/>
      <c r="G15" s="51"/>
      <c r="H15" s="51"/>
    </row>
    <row r="16" spans="1:8" ht="16.899999999999999" customHeight="1" x14ac:dyDescent="0.2">
      <c r="A16" s="33"/>
      <c r="B16" s="33"/>
      <c r="C16" s="35"/>
      <c r="D16" s="36"/>
      <c r="E16" s="33"/>
      <c r="F16" s="51"/>
      <c r="G16" s="51"/>
      <c r="H16" s="51"/>
    </row>
    <row r="17" spans="1:10" ht="16.899999999999999" customHeight="1" x14ac:dyDescent="0.2">
      <c r="A17" s="33"/>
      <c r="B17" s="35"/>
      <c r="C17" s="35"/>
      <c r="D17" s="33"/>
      <c r="E17" s="33"/>
      <c r="F17" s="51"/>
      <c r="G17" s="51"/>
      <c r="H17" s="51"/>
    </row>
    <row r="18" spans="1:10" ht="16.899999999999999" customHeight="1" x14ac:dyDescent="0.2">
      <c r="A18" s="31"/>
      <c r="B18" s="35"/>
      <c r="C18" s="35"/>
      <c r="D18" s="33"/>
      <c r="E18" s="33"/>
      <c r="F18" s="51"/>
      <c r="G18" s="51"/>
      <c r="H18" s="51"/>
    </row>
    <row r="19" spans="1:10" ht="16.899999999999999" customHeight="1" x14ac:dyDescent="0.2">
      <c r="A19" s="33"/>
      <c r="B19" s="35"/>
      <c r="C19" s="35"/>
      <c r="D19" s="36"/>
      <c r="E19" s="33"/>
      <c r="F19" s="51"/>
      <c r="G19" s="51"/>
      <c r="H19" s="51"/>
    </row>
    <row r="20" spans="1:10" ht="16.899999999999999" customHeight="1" x14ac:dyDescent="0.2">
      <c r="A20" s="33"/>
      <c r="B20" s="35"/>
      <c r="C20" s="35"/>
      <c r="D20" s="36"/>
      <c r="E20" s="33"/>
      <c r="F20" s="51"/>
      <c r="G20" s="51"/>
      <c r="H20" s="51"/>
    </row>
    <row r="21" spans="1:10" ht="16.899999999999999" customHeight="1" x14ac:dyDescent="0.2">
      <c r="A21" s="35"/>
      <c r="B21" s="33"/>
      <c r="C21" s="33"/>
      <c r="D21" s="36"/>
      <c r="E21" s="33"/>
      <c r="F21" s="51"/>
      <c r="G21" s="51"/>
      <c r="H21" s="51"/>
    </row>
    <row r="22" spans="1:10" ht="16.899999999999999" customHeight="1" x14ac:dyDescent="0.2">
      <c r="A22" s="36"/>
      <c r="B22" s="35"/>
      <c r="C22" s="35"/>
      <c r="D22" s="36"/>
      <c r="E22" s="36"/>
      <c r="F22" s="51"/>
      <c r="G22" s="51"/>
      <c r="H22" s="51"/>
    </row>
    <row r="23" spans="1:10" ht="16.899999999999999" customHeight="1" x14ac:dyDescent="0.2">
      <c r="A23" s="36"/>
      <c r="B23" s="35"/>
      <c r="C23" s="35"/>
      <c r="D23" s="36"/>
      <c r="E23" s="36"/>
      <c r="F23" s="36"/>
      <c r="G23" s="36"/>
      <c r="H23" s="36"/>
    </row>
    <row r="24" spans="1:10" ht="16.899999999999999" customHeight="1" x14ac:dyDescent="0.2">
      <c r="A24" s="52"/>
      <c r="B24" s="35"/>
      <c r="C24" s="35"/>
      <c r="D24" s="36"/>
      <c r="E24" s="36"/>
      <c r="F24" s="36"/>
      <c r="G24" s="36"/>
      <c r="H24" s="36"/>
    </row>
    <row r="25" spans="1:10" ht="16.899999999999999" customHeight="1" x14ac:dyDescent="0.2">
      <c r="A25" s="9" t="str">
        <f>Languages!A42</f>
        <v>Opmerkingen:</v>
      </c>
      <c r="B25" s="7"/>
      <c r="C25" s="7"/>
      <c r="D25" s="8"/>
      <c r="E25" s="8"/>
      <c r="F25" s="7"/>
      <c r="G25" s="7"/>
      <c r="H25" s="7"/>
      <c r="I25" s="7"/>
      <c r="J25" s="7"/>
    </row>
    <row r="26" spans="1:10" ht="16.899999999999999" customHeight="1" x14ac:dyDescent="0.2">
      <c r="A26" s="17" t="s">
        <v>22</v>
      </c>
      <c r="B26" s="10"/>
      <c r="C26" s="10"/>
      <c r="D26" s="11"/>
      <c r="E26" s="11"/>
      <c r="F26" s="12"/>
      <c r="G26" s="113"/>
      <c r="H26" s="7"/>
      <c r="I26" s="7"/>
      <c r="J26" s="7"/>
    </row>
    <row r="27" spans="1:10" ht="16.899999999999999" customHeight="1" x14ac:dyDescent="0.2">
      <c r="A27" s="18"/>
      <c r="B27" s="6"/>
      <c r="C27" s="6"/>
      <c r="D27" s="6"/>
      <c r="E27" s="6"/>
      <c r="F27" s="6"/>
      <c r="G27" s="114"/>
      <c r="H27" s="6"/>
      <c r="I27" s="6"/>
      <c r="J27" s="6"/>
    </row>
    <row r="28" spans="1:10" ht="16.7" customHeight="1" x14ac:dyDescent="0.2">
      <c r="A28" s="18"/>
      <c r="B28" s="6"/>
      <c r="C28" s="6"/>
      <c r="D28" s="6"/>
      <c r="E28" s="6"/>
      <c r="F28" s="6"/>
      <c r="G28" s="114"/>
      <c r="H28" s="6"/>
      <c r="I28" s="6"/>
      <c r="J28" s="6"/>
    </row>
    <row r="29" spans="1:10" ht="16.899999999999999" customHeight="1" x14ac:dyDescent="0.2">
      <c r="A29" s="19"/>
      <c r="B29" s="15"/>
      <c r="C29" s="15"/>
      <c r="D29" s="15"/>
      <c r="E29" s="15"/>
      <c r="F29" s="15"/>
      <c r="G29" s="114"/>
      <c r="H29" s="6"/>
      <c r="I29" s="6"/>
      <c r="J29" s="6"/>
    </row>
  </sheetData>
  <sheetProtection algorithmName="SHA-512" hashValue="tyRxgdpENcZIPRN+48csNqZwNaIDr1HKzNELroOM1/Lg1hUtpKyEJkfGzL4VZ2RNrXRMR7VymKjMCC5qSZ65wA==" saltValue="7LgLg0/TH57l4SEfAeZC8Q==" spinCount="100000" sheet="1" objects="1" scenarios="1"/>
  <protectedRanges>
    <protectedRange sqref="A1 B4:B10 D4:D10 B13:B14 G8:H9 A26:F29" name="Bereik1"/>
  </protectedRanges>
  <mergeCells count="2">
    <mergeCell ref="G8:H8"/>
    <mergeCell ref="G9:H9"/>
  </mergeCells>
  <pageMargins left="0.39370078740157483" right="0.39370078740157483" top="0.39370078740157483" bottom="0.98425196850393704" header="0" footer="0.39370078740157483"/>
  <pageSetup paperSize="9" orientation="landscape" horizontalDpi="4294967292" verticalDpi="4294967292" r:id="rId1"/>
  <headerFooter>
    <oddFooter>&amp;L&amp;"Calibri,Standaard"&amp;K000000&amp;G</oddFooter>
  </headerFooter>
  <legacyDrawingHF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538B64F-43FB-474F-969E-B2EE7989422C}">
          <x14:formula1>
            <xm:f>'Validation values'!$A$6:$A$7</xm:f>
          </x14:formula1>
          <xm:sqref>D4:D10 B13 B4:B10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B1BF9-071B-4A15-A930-116937E7BAE0}">
  <sheetPr>
    <tabColor rgb="FF0070C0"/>
  </sheetPr>
  <dimension ref="A1:AE286"/>
  <sheetViews>
    <sheetView showGridLines="0" showRuler="0" zoomScaleNormal="100" zoomScalePageLayoutView="9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H14" sqref="H14"/>
    </sheetView>
  </sheetViews>
  <sheetFormatPr defaultColWidth="5.75" defaultRowHeight="16.899999999999999" customHeight="1" x14ac:dyDescent="0.25"/>
  <cols>
    <col min="1" max="2" width="12.75" style="63" customWidth="1"/>
    <col min="3" max="3" width="30.75" style="63" customWidth="1"/>
    <col min="4" max="11" width="10.75" style="63" customWidth="1"/>
    <col min="12" max="12" width="15.25" style="81" bestFit="1" customWidth="1"/>
    <col min="13" max="13" width="10.75" style="81" customWidth="1"/>
    <col min="14" max="14" width="59.75" customWidth="1"/>
    <col min="15" max="16" width="15.75" style="63" customWidth="1"/>
    <col min="17" max="19" width="15.75" style="103" customWidth="1"/>
    <col min="20" max="20" width="15.75" customWidth="1"/>
    <col min="21" max="21" width="18.75" style="63" customWidth="1"/>
    <col min="22" max="22" width="80.75" customWidth="1"/>
    <col min="23" max="23" width="43.875" style="63" customWidth="1"/>
    <col min="24" max="25" width="18" style="63" bestFit="1" customWidth="1"/>
    <col min="26" max="26" width="71.75" style="63" customWidth="1"/>
    <col min="27" max="16384" width="5.75" style="63"/>
  </cols>
  <sheetData>
    <row r="1" spans="1:31" s="66" customFormat="1" ht="30" customHeight="1" x14ac:dyDescent="0.2">
      <c r="A1" s="64" t="s">
        <v>23</v>
      </c>
      <c r="B1" s="69" t="s">
        <v>24</v>
      </c>
      <c r="C1" s="69" t="s">
        <v>25</v>
      </c>
      <c r="D1" s="82" t="s">
        <v>26</v>
      </c>
      <c r="E1" s="82" t="s">
        <v>27</v>
      </c>
      <c r="F1" s="82" t="s">
        <v>28</v>
      </c>
      <c r="G1" s="83" t="s">
        <v>29</v>
      </c>
      <c r="H1" s="84" t="s">
        <v>30</v>
      </c>
      <c r="I1" s="84" t="s">
        <v>31</v>
      </c>
      <c r="J1" s="82" t="s">
        <v>32</v>
      </c>
      <c r="K1" s="82" t="s">
        <v>33</v>
      </c>
      <c r="L1" s="69" t="s">
        <v>34</v>
      </c>
      <c r="M1" s="69" t="s">
        <v>35</v>
      </c>
      <c r="N1" s="69" t="s">
        <v>36</v>
      </c>
      <c r="O1" s="69" t="s">
        <v>37</v>
      </c>
      <c r="P1" s="69" t="s">
        <v>38</v>
      </c>
      <c r="Q1" s="69" t="s">
        <v>39</v>
      </c>
      <c r="R1" s="69" t="s">
        <v>40</v>
      </c>
      <c r="S1" s="69" t="s">
        <v>41</v>
      </c>
      <c r="T1" s="70" t="s">
        <v>42</v>
      </c>
      <c r="U1" s="70" t="s">
        <v>43</v>
      </c>
      <c r="V1" s="70" t="s">
        <v>44</v>
      </c>
      <c r="W1" s="65"/>
      <c r="X1" s="65"/>
      <c r="Y1" s="65"/>
      <c r="Z1" s="65"/>
      <c r="AA1" s="65"/>
      <c r="AB1" s="65"/>
      <c r="AC1" s="65"/>
      <c r="AD1" s="65"/>
      <c r="AE1" s="65"/>
    </row>
    <row r="2" spans="1:31" s="62" customFormat="1" ht="16.899999999999999" customHeight="1" x14ac:dyDescent="0.2">
      <c r="A2" s="67"/>
      <c r="B2" s="67"/>
      <c r="C2" s="67"/>
      <c r="D2" s="68"/>
      <c r="E2" s="68"/>
      <c r="F2" s="68"/>
      <c r="G2" s="68"/>
      <c r="H2" s="68"/>
      <c r="I2" s="68"/>
      <c r="J2" s="68"/>
      <c r="K2" s="68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36"/>
      <c r="X2" s="36"/>
      <c r="Y2" s="36"/>
      <c r="Z2" s="36"/>
      <c r="AA2" s="36"/>
      <c r="AB2" s="36"/>
      <c r="AC2" s="36"/>
      <c r="AD2" s="36"/>
      <c r="AE2" s="36"/>
    </row>
    <row r="3" spans="1:31" s="62" customFormat="1" ht="16.899999999999999" customHeight="1" x14ac:dyDescent="0.2">
      <c r="A3" s="67"/>
      <c r="B3" s="67"/>
      <c r="C3" s="67"/>
      <c r="D3" s="68"/>
      <c r="E3" s="68"/>
      <c r="F3" s="68"/>
      <c r="G3" s="68"/>
      <c r="H3" s="68"/>
      <c r="I3" s="68"/>
      <c r="J3" s="68"/>
      <c r="K3" s="68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</row>
    <row r="4" spans="1:31" s="62" customFormat="1" ht="16.899999999999999" customHeight="1" x14ac:dyDescent="0.2">
      <c r="A4" s="67"/>
      <c r="B4" s="67"/>
      <c r="C4" s="67"/>
      <c r="D4" s="68"/>
      <c r="E4" s="68"/>
      <c r="F4" s="68"/>
      <c r="G4" s="68"/>
      <c r="H4" s="68"/>
      <c r="I4" s="68"/>
      <c r="J4" s="68"/>
      <c r="K4" s="68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</row>
    <row r="5" spans="1:31" s="62" customFormat="1" ht="16.899999999999999" customHeight="1" x14ac:dyDescent="0.2">
      <c r="A5" s="67"/>
      <c r="B5" s="67"/>
      <c r="C5" s="67"/>
      <c r="D5" s="68"/>
      <c r="E5" s="68"/>
      <c r="F5" s="68"/>
      <c r="G5" s="68"/>
      <c r="H5" s="68"/>
      <c r="I5" s="68"/>
      <c r="J5" s="68"/>
      <c r="K5" s="68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</row>
    <row r="6" spans="1:31" s="62" customFormat="1" ht="16.899999999999999" customHeight="1" x14ac:dyDescent="0.2">
      <c r="A6" s="67"/>
      <c r="B6" s="67"/>
      <c r="C6" s="67"/>
      <c r="D6" s="68"/>
      <c r="E6" s="68"/>
      <c r="F6" s="68"/>
      <c r="G6" s="68"/>
      <c r="H6" s="68"/>
      <c r="I6" s="68"/>
      <c r="J6" s="68"/>
      <c r="K6" s="68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</row>
    <row r="7" spans="1:31" s="62" customFormat="1" ht="16.899999999999999" customHeight="1" x14ac:dyDescent="0.2">
      <c r="A7" s="67"/>
      <c r="B7" s="67"/>
      <c r="C7" s="67"/>
      <c r="D7" s="68"/>
      <c r="E7" s="68"/>
      <c r="F7" s="68"/>
      <c r="G7" s="68"/>
      <c r="H7" s="68"/>
      <c r="I7" s="68"/>
      <c r="J7" s="68"/>
      <c r="K7" s="68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</row>
    <row r="8" spans="1:31" s="62" customFormat="1" ht="16.899999999999999" customHeight="1" x14ac:dyDescent="0.2">
      <c r="A8" s="67"/>
      <c r="B8" s="67"/>
      <c r="C8" s="67"/>
      <c r="D8" s="68"/>
      <c r="E8" s="68"/>
      <c r="F8" s="68"/>
      <c r="G8" s="68"/>
      <c r="H8" s="68"/>
      <c r="I8" s="68"/>
      <c r="J8" s="68"/>
      <c r="K8" s="68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</row>
    <row r="9" spans="1:31" s="62" customFormat="1" ht="16.899999999999999" customHeight="1" x14ac:dyDescent="0.2">
      <c r="A9" s="67"/>
      <c r="B9" s="67"/>
      <c r="C9" s="67"/>
      <c r="D9" s="68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</row>
    <row r="10" spans="1:31" s="62" customFormat="1" ht="16.899999999999999" customHeight="1" x14ac:dyDescent="0.2">
      <c r="A10" s="67"/>
      <c r="B10" s="67"/>
      <c r="C10" s="67"/>
      <c r="D10" s="68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</row>
    <row r="11" spans="1:31" s="62" customFormat="1" ht="16.899999999999999" customHeight="1" x14ac:dyDescent="0.2">
      <c r="A11" s="67"/>
      <c r="B11" s="67"/>
      <c r="C11" s="67"/>
      <c r="D11" s="68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</row>
    <row r="12" spans="1:31" s="62" customFormat="1" ht="16.899999999999999" customHeight="1" x14ac:dyDescent="0.2">
      <c r="A12" s="67"/>
      <c r="B12" s="67"/>
      <c r="C12" s="67"/>
      <c r="D12" s="68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</row>
    <row r="13" spans="1:31" s="62" customFormat="1" ht="16.899999999999999" customHeight="1" x14ac:dyDescent="0.2">
      <c r="A13" s="67"/>
      <c r="B13" s="67"/>
      <c r="C13" s="67"/>
      <c r="D13" s="68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</row>
    <row r="14" spans="1:31" s="62" customFormat="1" ht="16.899999999999999" customHeight="1" x14ac:dyDescent="0.2">
      <c r="A14" s="67"/>
      <c r="B14" s="67"/>
      <c r="C14" s="67"/>
      <c r="D14" s="68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</row>
    <row r="15" spans="1:31" s="62" customFormat="1" ht="16.899999999999999" customHeight="1" x14ac:dyDescent="0.2">
      <c r="A15" s="67"/>
      <c r="B15" s="67"/>
      <c r="C15" s="67"/>
      <c r="D15" s="68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</row>
    <row r="16" spans="1:31" s="62" customFormat="1" ht="16.899999999999999" customHeight="1" x14ac:dyDescent="0.2">
      <c r="A16" s="67"/>
      <c r="B16" s="67"/>
      <c r="C16" s="67"/>
      <c r="D16" s="68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</row>
    <row r="17" spans="1:26" s="62" customFormat="1" ht="16.899999999999999" customHeight="1" x14ac:dyDescent="0.2">
      <c r="A17" s="67"/>
      <c r="B17" s="67"/>
      <c r="C17" s="67"/>
      <c r="D17" s="68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</row>
    <row r="18" spans="1:26" s="62" customFormat="1" ht="16.899999999999999" customHeight="1" x14ac:dyDescent="0.2">
      <c r="A18" s="67"/>
      <c r="B18" s="67"/>
      <c r="C18" s="67"/>
      <c r="D18" s="68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</row>
    <row r="19" spans="1:26" s="62" customFormat="1" ht="16.899999999999999" customHeight="1" x14ac:dyDescent="0.2">
      <c r="A19" s="67"/>
      <c r="B19" s="67"/>
      <c r="C19" s="67"/>
      <c r="D19" s="68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</row>
    <row r="20" spans="1:26" s="62" customFormat="1" ht="16.899999999999999" customHeight="1" x14ac:dyDescent="0.2">
      <c r="A20" s="67"/>
      <c r="B20" s="67"/>
      <c r="C20" s="67"/>
      <c r="D20" s="68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</row>
    <row r="21" spans="1:26" s="62" customFormat="1" ht="16.899999999999999" customHeight="1" x14ac:dyDescent="0.2">
      <c r="A21" s="67"/>
      <c r="B21" s="67"/>
      <c r="C21" s="67"/>
      <c r="D21" s="68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</row>
    <row r="22" spans="1:26" s="62" customFormat="1" ht="16.899999999999999" customHeight="1" x14ac:dyDescent="0.2">
      <c r="A22" s="67"/>
      <c r="B22" s="67"/>
      <c r="C22" s="67"/>
      <c r="D22" s="68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</row>
    <row r="23" spans="1:26" s="62" customFormat="1" ht="16.899999999999999" customHeight="1" x14ac:dyDescent="0.2">
      <c r="A23" s="67"/>
      <c r="B23" s="67"/>
      <c r="C23" s="67"/>
      <c r="D23" s="68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</row>
    <row r="24" spans="1:26" s="62" customFormat="1" ht="16.899999999999999" customHeight="1" x14ac:dyDescent="0.2">
      <c r="A24" s="67"/>
      <c r="B24" s="67"/>
      <c r="C24" s="67"/>
      <c r="D24" s="68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</row>
    <row r="25" spans="1:26" s="62" customFormat="1" ht="16.899999999999999" customHeight="1" x14ac:dyDescent="0.2">
      <c r="A25" s="67"/>
      <c r="B25" s="67"/>
      <c r="C25" s="67"/>
      <c r="D25" s="68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</row>
    <row r="26" spans="1:26" s="62" customFormat="1" ht="16.899999999999999" customHeight="1" x14ac:dyDescent="0.2">
      <c r="A26" s="67"/>
      <c r="B26" s="67"/>
      <c r="C26" s="67"/>
      <c r="D26" s="68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</row>
    <row r="27" spans="1:26" s="62" customFormat="1" ht="16.7" customHeight="1" x14ac:dyDescent="0.2">
      <c r="A27" s="67"/>
      <c r="B27" s="67"/>
      <c r="C27" s="67"/>
      <c r="D27" s="68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</row>
    <row r="28" spans="1:26" s="62" customFormat="1" ht="16.899999999999999" customHeight="1" x14ac:dyDescent="0.2">
      <c r="A28" s="67"/>
      <c r="B28" s="67"/>
      <c r="C28" s="67"/>
      <c r="D28" s="68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</row>
    <row r="29" spans="1:26" ht="16.899999999999999" customHeight="1" x14ac:dyDescent="0.2">
      <c r="A29" s="67"/>
      <c r="B29" s="67"/>
      <c r="C29" s="67"/>
      <c r="D29" s="68"/>
      <c r="E29" s="68"/>
      <c r="F29" s="68"/>
      <c r="G29" s="68"/>
      <c r="H29" s="67"/>
      <c r="I29" s="68"/>
      <c r="J29" s="68"/>
      <c r="K29" s="68"/>
      <c r="L29" s="67"/>
      <c r="M29" s="67"/>
      <c r="N29" s="67"/>
      <c r="O29" s="67"/>
      <c r="P29" s="67"/>
      <c r="Q29" s="134"/>
      <c r="R29" s="134"/>
      <c r="S29" s="67"/>
      <c r="T29" s="67"/>
      <c r="U29" s="67"/>
      <c r="V29" s="67"/>
      <c r="W29" s="71"/>
      <c r="X29" s="73"/>
      <c r="Y29" s="73"/>
      <c r="Z29" s="73"/>
    </row>
    <row r="30" spans="1:26" ht="16.899999999999999" customHeight="1" x14ac:dyDescent="0.2">
      <c r="A30" s="67"/>
      <c r="B30" s="67"/>
      <c r="C30" s="67"/>
      <c r="D30" s="68"/>
      <c r="E30" s="68"/>
      <c r="F30" s="68"/>
      <c r="G30" s="68"/>
      <c r="H30" s="67"/>
      <c r="I30" s="68"/>
      <c r="J30" s="68"/>
      <c r="K30" s="68"/>
      <c r="L30" s="67"/>
      <c r="M30" s="67"/>
      <c r="N30" s="67"/>
      <c r="O30" s="67"/>
      <c r="P30" s="67"/>
      <c r="Q30" s="134"/>
      <c r="R30" s="134"/>
      <c r="S30" s="67"/>
      <c r="T30" s="67"/>
      <c r="U30" s="67"/>
      <c r="V30" s="67"/>
      <c r="W30" s="71"/>
      <c r="X30" s="73"/>
      <c r="Y30" s="73"/>
      <c r="Z30" s="73"/>
    </row>
    <row r="31" spans="1:26" ht="16.899999999999999" customHeight="1" x14ac:dyDescent="0.2">
      <c r="A31" s="67"/>
      <c r="B31" s="67"/>
      <c r="C31" s="67"/>
      <c r="D31" s="68"/>
      <c r="E31" s="68"/>
      <c r="F31" s="68"/>
      <c r="G31" s="68"/>
      <c r="H31" s="67"/>
      <c r="I31" s="68"/>
      <c r="J31" s="68"/>
      <c r="K31" s="68"/>
      <c r="L31" s="67"/>
      <c r="M31" s="67"/>
      <c r="N31" s="67"/>
      <c r="O31" s="67"/>
      <c r="P31" s="67"/>
      <c r="Q31" s="134"/>
      <c r="R31" s="134"/>
      <c r="S31" s="67"/>
      <c r="T31" s="67"/>
      <c r="U31" s="67"/>
      <c r="V31" s="67"/>
      <c r="W31" s="71"/>
      <c r="X31" s="73"/>
      <c r="Y31" s="73"/>
      <c r="Z31" s="73"/>
    </row>
    <row r="32" spans="1:26" ht="16.899999999999999" customHeight="1" x14ac:dyDescent="0.2">
      <c r="A32" s="67"/>
      <c r="B32" s="67"/>
      <c r="C32" s="67"/>
      <c r="D32" s="68"/>
      <c r="E32" s="68"/>
      <c r="F32" s="68"/>
      <c r="G32" s="68"/>
      <c r="H32" s="67"/>
      <c r="I32" s="68"/>
      <c r="J32" s="68"/>
      <c r="K32" s="68"/>
      <c r="L32" s="67"/>
      <c r="M32" s="67"/>
      <c r="N32" s="67"/>
      <c r="O32" s="67"/>
      <c r="P32" s="67"/>
      <c r="Q32" s="134"/>
      <c r="R32" s="134"/>
      <c r="S32" s="67"/>
      <c r="T32" s="67"/>
      <c r="U32" s="67"/>
      <c r="V32" s="67"/>
      <c r="W32" s="71"/>
      <c r="X32" s="73"/>
      <c r="Y32" s="73"/>
      <c r="Z32" s="73"/>
    </row>
    <row r="33" spans="1:26" ht="16.899999999999999" customHeight="1" x14ac:dyDescent="0.2">
      <c r="A33" s="67"/>
      <c r="B33" s="67"/>
      <c r="C33" s="67"/>
      <c r="D33" s="68"/>
      <c r="E33" s="68"/>
      <c r="F33" s="68"/>
      <c r="G33" s="68"/>
      <c r="H33" s="67"/>
      <c r="I33" s="68"/>
      <c r="J33" s="68"/>
      <c r="K33" s="68"/>
      <c r="L33" s="67"/>
      <c r="M33" s="67"/>
      <c r="N33" s="67"/>
      <c r="O33" s="67"/>
      <c r="P33" s="67"/>
      <c r="Q33" s="134"/>
      <c r="R33" s="134"/>
      <c r="S33" s="67"/>
      <c r="T33" s="67"/>
      <c r="U33" s="67"/>
      <c r="V33" s="67"/>
      <c r="W33" s="71"/>
      <c r="X33" s="73"/>
      <c r="Y33" s="73"/>
      <c r="Z33" s="73"/>
    </row>
    <row r="34" spans="1:26" ht="16.899999999999999" customHeight="1" x14ac:dyDescent="0.2">
      <c r="A34" s="67"/>
      <c r="B34" s="67"/>
      <c r="C34" s="67"/>
      <c r="D34" s="68"/>
      <c r="E34" s="68"/>
      <c r="F34" s="68"/>
      <c r="G34" s="68"/>
      <c r="H34" s="67"/>
      <c r="I34" s="68"/>
      <c r="J34" s="68"/>
      <c r="K34" s="68"/>
      <c r="L34" s="67"/>
      <c r="M34" s="67"/>
      <c r="N34" s="67"/>
      <c r="O34" s="67"/>
      <c r="P34" s="67"/>
      <c r="Q34" s="134"/>
      <c r="R34" s="134"/>
      <c r="S34" s="67"/>
      <c r="T34" s="67"/>
      <c r="U34" s="67"/>
      <c r="V34" s="67"/>
      <c r="W34" s="71"/>
      <c r="X34" s="73"/>
      <c r="Y34" s="73"/>
      <c r="Z34" s="73"/>
    </row>
    <row r="35" spans="1:26" ht="16.899999999999999" customHeight="1" x14ac:dyDescent="0.2">
      <c r="A35" s="67"/>
      <c r="B35" s="67"/>
      <c r="C35" s="67"/>
      <c r="D35" s="68"/>
      <c r="E35" s="68"/>
      <c r="F35" s="68"/>
      <c r="G35" s="68"/>
      <c r="H35" s="67"/>
      <c r="I35" s="68"/>
      <c r="J35" s="68"/>
      <c r="K35" s="68"/>
      <c r="L35" s="67"/>
      <c r="M35" s="67"/>
      <c r="N35" s="67"/>
      <c r="O35" s="67"/>
      <c r="P35" s="67"/>
      <c r="Q35" s="134"/>
      <c r="R35" s="134"/>
      <c r="S35" s="67"/>
      <c r="T35" s="67"/>
      <c r="U35" s="67"/>
      <c r="V35" s="67"/>
      <c r="W35" s="71"/>
      <c r="X35" s="73"/>
      <c r="Y35" s="73"/>
      <c r="Z35" s="73"/>
    </row>
    <row r="36" spans="1:26" ht="16.899999999999999" customHeight="1" x14ac:dyDescent="0.2">
      <c r="A36" s="67"/>
      <c r="B36" s="67"/>
      <c r="C36" s="67"/>
      <c r="D36" s="68"/>
      <c r="E36" s="68"/>
      <c r="F36" s="68"/>
      <c r="G36" s="68"/>
      <c r="H36" s="67"/>
      <c r="I36" s="68"/>
      <c r="J36" s="68"/>
      <c r="K36" s="68"/>
      <c r="L36" s="67"/>
      <c r="M36" s="67"/>
      <c r="N36" s="67"/>
      <c r="O36" s="67"/>
      <c r="P36" s="67"/>
      <c r="Q36" s="134"/>
      <c r="R36" s="134"/>
      <c r="S36" s="67"/>
      <c r="T36" s="67"/>
      <c r="U36" s="67"/>
      <c r="V36" s="67"/>
      <c r="W36" s="71"/>
      <c r="X36" s="73"/>
      <c r="Y36" s="73"/>
      <c r="Z36" s="73"/>
    </row>
    <row r="37" spans="1:26" ht="16.899999999999999" customHeight="1" x14ac:dyDescent="0.2">
      <c r="A37" s="67"/>
      <c r="B37" s="67"/>
      <c r="C37" s="67"/>
      <c r="D37" s="68"/>
      <c r="E37" s="68"/>
      <c r="F37" s="68"/>
      <c r="G37" s="68"/>
      <c r="H37" s="67"/>
      <c r="I37" s="68"/>
      <c r="J37" s="68"/>
      <c r="K37" s="68"/>
      <c r="L37" s="67"/>
      <c r="M37" s="67"/>
      <c r="N37" s="67"/>
      <c r="O37" s="67"/>
      <c r="P37" s="67"/>
      <c r="Q37" s="134"/>
      <c r="R37" s="134"/>
      <c r="S37" s="67"/>
      <c r="T37" s="67"/>
      <c r="U37" s="67"/>
      <c r="V37" s="67"/>
      <c r="W37" s="71"/>
      <c r="X37" s="73"/>
      <c r="Y37" s="73"/>
      <c r="Z37" s="73"/>
    </row>
    <row r="38" spans="1:26" ht="16.899999999999999" customHeight="1" x14ac:dyDescent="0.2">
      <c r="A38" s="67"/>
      <c r="B38" s="67"/>
      <c r="C38" s="67"/>
      <c r="D38" s="68"/>
      <c r="E38" s="68"/>
      <c r="F38" s="68"/>
      <c r="G38" s="68"/>
      <c r="H38" s="67"/>
      <c r="I38" s="68"/>
      <c r="J38" s="68"/>
      <c r="K38" s="68"/>
      <c r="L38" s="67"/>
      <c r="M38" s="67"/>
      <c r="N38" s="67"/>
      <c r="O38" s="67"/>
      <c r="P38" s="67"/>
      <c r="Q38" s="134"/>
      <c r="R38" s="134"/>
      <c r="S38" s="67"/>
      <c r="T38" s="67"/>
      <c r="U38" s="67"/>
      <c r="V38" s="67"/>
      <c r="W38" s="71"/>
      <c r="X38" s="73"/>
      <c r="Y38" s="73"/>
      <c r="Z38" s="73"/>
    </row>
    <row r="39" spans="1:26" ht="16.899999999999999" customHeight="1" x14ac:dyDescent="0.2">
      <c r="A39" s="67"/>
      <c r="B39" s="67"/>
      <c r="C39" s="67"/>
      <c r="D39" s="68"/>
      <c r="E39" s="68"/>
      <c r="F39" s="68"/>
      <c r="G39" s="68"/>
      <c r="H39" s="67"/>
      <c r="I39" s="68"/>
      <c r="J39" s="68"/>
      <c r="K39" s="68"/>
      <c r="L39" s="67"/>
      <c r="M39" s="67"/>
      <c r="N39" s="67"/>
      <c r="O39" s="67"/>
      <c r="P39" s="67"/>
      <c r="Q39" s="134"/>
      <c r="R39" s="134"/>
      <c r="S39" s="67"/>
      <c r="T39" s="67"/>
      <c r="U39" s="67"/>
      <c r="V39" s="67"/>
      <c r="W39" s="71"/>
      <c r="X39" s="73"/>
      <c r="Y39" s="73"/>
      <c r="Z39" s="73"/>
    </row>
    <row r="40" spans="1:26" ht="16.899999999999999" customHeight="1" x14ac:dyDescent="0.2">
      <c r="A40" s="67"/>
      <c r="B40" s="67"/>
      <c r="C40" s="67"/>
      <c r="D40" s="68"/>
      <c r="E40" s="68"/>
      <c r="F40" s="68"/>
      <c r="G40" s="68"/>
      <c r="H40" s="67"/>
      <c r="I40" s="68"/>
      <c r="J40" s="68"/>
      <c r="K40" s="68"/>
      <c r="L40" s="67"/>
      <c r="M40" s="67"/>
      <c r="N40" s="67"/>
      <c r="O40" s="67"/>
      <c r="P40" s="67"/>
      <c r="Q40" s="134"/>
      <c r="R40" s="134"/>
      <c r="S40" s="67"/>
      <c r="T40" s="67"/>
      <c r="U40" s="67"/>
      <c r="V40" s="67"/>
      <c r="W40" s="71"/>
      <c r="X40" s="73"/>
      <c r="Y40" s="73"/>
      <c r="Z40" s="73"/>
    </row>
    <row r="41" spans="1:26" ht="16.899999999999999" customHeight="1" x14ac:dyDescent="0.2">
      <c r="A41" s="67"/>
      <c r="B41" s="67"/>
      <c r="C41" s="67"/>
      <c r="D41" s="68"/>
      <c r="E41" s="68"/>
      <c r="F41" s="68"/>
      <c r="G41" s="68"/>
      <c r="H41" s="67"/>
      <c r="I41" s="68"/>
      <c r="J41" s="68"/>
      <c r="K41" s="68"/>
      <c r="L41" s="67"/>
      <c r="M41" s="67"/>
      <c r="N41" s="67"/>
      <c r="O41" s="67"/>
      <c r="P41" s="67"/>
      <c r="Q41" s="134"/>
      <c r="R41" s="134"/>
      <c r="S41" s="67"/>
      <c r="T41" s="67"/>
      <c r="U41" s="67"/>
      <c r="V41" s="67"/>
      <c r="W41" s="71"/>
      <c r="X41" s="73"/>
      <c r="Y41" s="73"/>
      <c r="Z41" s="73"/>
    </row>
    <row r="42" spans="1:26" ht="16.899999999999999" customHeight="1" x14ac:dyDescent="0.2">
      <c r="A42" s="67"/>
      <c r="B42" s="67"/>
      <c r="C42" s="67"/>
      <c r="D42" s="68"/>
      <c r="E42" s="68"/>
      <c r="F42" s="68"/>
      <c r="G42" s="68"/>
      <c r="H42" s="67"/>
      <c r="I42" s="68"/>
      <c r="J42" s="68"/>
      <c r="K42" s="68"/>
      <c r="L42" s="67"/>
      <c r="M42" s="67"/>
      <c r="N42" s="67"/>
      <c r="O42" s="67"/>
      <c r="P42" s="67"/>
      <c r="Q42" s="134"/>
      <c r="R42" s="134"/>
      <c r="S42" s="67"/>
      <c r="T42" s="67"/>
      <c r="U42" s="67"/>
      <c r="V42" s="67"/>
      <c r="W42" s="71"/>
      <c r="X42" s="73"/>
      <c r="Y42" s="73"/>
      <c r="Z42" s="73"/>
    </row>
    <row r="43" spans="1:26" ht="16.899999999999999" customHeight="1" x14ac:dyDescent="0.2">
      <c r="A43" s="67"/>
      <c r="B43" s="67"/>
      <c r="C43" s="67"/>
      <c r="D43" s="68"/>
      <c r="E43" s="68"/>
      <c r="F43" s="68"/>
      <c r="G43" s="68"/>
      <c r="H43" s="67"/>
      <c r="I43" s="68"/>
      <c r="J43" s="68"/>
      <c r="K43" s="68"/>
      <c r="L43" s="67"/>
      <c r="M43" s="67"/>
      <c r="N43" s="67"/>
      <c r="O43" s="67"/>
      <c r="P43" s="67"/>
      <c r="Q43" s="134"/>
      <c r="R43" s="134"/>
      <c r="S43" s="67"/>
      <c r="T43" s="67"/>
      <c r="U43" s="67"/>
      <c r="V43" s="67"/>
      <c r="W43" s="71"/>
      <c r="X43" s="73"/>
      <c r="Y43" s="73"/>
      <c r="Z43" s="73"/>
    </row>
    <row r="44" spans="1:26" ht="16.899999999999999" customHeight="1" x14ac:dyDescent="0.2">
      <c r="A44" s="67"/>
      <c r="B44" s="67"/>
      <c r="C44" s="67"/>
      <c r="D44" s="68"/>
      <c r="E44" s="68"/>
      <c r="F44" s="68"/>
      <c r="G44" s="68"/>
      <c r="H44" s="67"/>
      <c r="I44" s="68"/>
      <c r="J44" s="68"/>
      <c r="K44" s="68"/>
      <c r="L44" s="67"/>
      <c r="M44" s="67"/>
      <c r="N44" s="67"/>
      <c r="O44" s="67"/>
      <c r="P44" s="67"/>
      <c r="Q44" s="134"/>
      <c r="R44" s="134"/>
      <c r="S44" s="67"/>
      <c r="T44" s="67"/>
      <c r="U44" s="67"/>
      <c r="V44" s="67"/>
      <c r="W44" s="71"/>
      <c r="X44" s="73"/>
      <c r="Y44" s="73"/>
      <c r="Z44" s="73"/>
    </row>
    <row r="45" spans="1:26" ht="16.899999999999999" customHeight="1" x14ac:dyDescent="0.2">
      <c r="A45" s="67"/>
      <c r="B45" s="67"/>
      <c r="C45" s="67"/>
      <c r="D45" s="68"/>
      <c r="E45" s="68"/>
      <c r="F45" s="68"/>
      <c r="G45" s="68"/>
      <c r="H45" s="67"/>
      <c r="I45" s="68"/>
      <c r="J45" s="68"/>
      <c r="K45" s="68"/>
      <c r="L45" s="67"/>
      <c r="M45" s="67"/>
      <c r="N45" s="67"/>
      <c r="O45" s="67"/>
      <c r="P45" s="67"/>
      <c r="Q45" s="134"/>
      <c r="R45" s="134"/>
      <c r="S45" s="67"/>
      <c r="T45" s="67"/>
      <c r="U45" s="67"/>
      <c r="V45" s="67"/>
      <c r="W45" s="71"/>
      <c r="X45" s="73"/>
      <c r="Y45" s="73"/>
      <c r="Z45" s="73"/>
    </row>
    <row r="46" spans="1:26" ht="16.899999999999999" customHeight="1" x14ac:dyDescent="0.2">
      <c r="A46" s="67"/>
      <c r="B46" s="67"/>
      <c r="C46" s="67"/>
      <c r="D46" s="68"/>
      <c r="E46" s="68"/>
      <c r="F46" s="68"/>
      <c r="G46" s="68"/>
      <c r="H46" s="67"/>
      <c r="I46" s="68"/>
      <c r="J46" s="68"/>
      <c r="K46" s="68"/>
      <c r="L46" s="67"/>
      <c r="M46" s="67"/>
      <c r="N46" s="67"/>
      <c r="O46" s="67"/>
      <c r="P46" s="67"/>
      <c r="Q46" s="134"/>
      <c r="R46" s="134"/>
      <c r="S46" s="67"/>
      <c r="T46" s="67"/>
      <c r="U46" s="67"/>
      <c r="V46" s="67"/>
      <c r="W46" s="71"/>
      <c r="X46" s="73"/>
      <c r="Y46" s="73"/>
      <c r="Z46" s="73"/>
    </row>
    <row r="47" spans="1:26" ht="16.899999999999999" customHeight="1" x14ac:dyDescent="0.2">
      <c r="A47" s="67"/>
      <c r="B47" s="67"/>
      <c r="C47" s="67"/>
      <c r="D47" s="68"/>
      <c r="E47" s="68"/>
      <c r="F47" s="68"/>
      <c r="G47" s="68"/>
      <c r="H47" s="67"/>
      <c r="I47" s="68"/>
      <c r="J47" s="68"/>
      <c r="K47" s="68"/>
      <c r="L47" s="67"/>
      <c r="M47" s="67"/>
      <c r="N47" s="67"/>
      <c r="O47" s="67"/>
      <c r="P47" s="67"/>
      <c r="Q47" s="134"/>
      <c r="R47" s="134"/>
      <c r="S47" s="67"/>
      <c r="T47" s="67"/>
      <c r="U47" s="67"/>
      <c r="V47" s="67"/>
      <c r="W47" s="71"/>
      <c r="X47" s="73"/>
      <c r="Y47" s="73"/>
      <c r="Z47" s="73"/>
    </row>
    <row r="48" spans="1:26" ht="16.899999999999999" customHeight="1" x14ac:dyDescent="0.2">
      <c r="A48" s="67"/>
      <c r="B48" s="67"/>
      <c r="C48" s="67"/>
      <c r="D48" s="68"/>
      <c r="E48" s="68"/>
      <c r="F48" s="68"/>
      <c r="G48" s="68"/>
      <c r="H48" s="67"/>
      <c r="I48" s="68"/>
      <c r="J48" s="68"/>
      <c r="K48" s="68"/>
      <c r="L48" s="67"/>
      <c r="M48" s="67"/>
      <c r="N48" s="67"/>
      <c r="O48" s="67"/>
      <c r="P48" s="67"/>
      <c r="Q48" s="134"/>
      <c r="R48" s="134"/>
      <c r="S48" s="67"/>
      <c r="T48" s="67"/>
      <c r="U48" s="67"/>
      <c r="V48" s="67"/>
      <c r="W48" s="71"/>
      <c r="X48" s="73"/>
      <c r="Y48" s="73"/>
      <c r="Z48" s="73"/>
    </row>
    <row r="49" spans="1:26" ht="16.899999999999999" customHeight="1" x14ac:dyDescent="0.2">
      <c r="A49" s="67"/>
      <c r="B49" s="67"/>
      <c r="C49" s="67"/>
      <c r="D49" s="68"/>
      <c r="E49" s="68"/>
      <c r="F49" s="68"/>
      <c r="G49" s="68"/>
      <c r="H49" s="67"/>
      <c r="I49" s="68"/>
      <c r="J49" s="68"/>
      <c r="K49" s="68"/>
      <c r="L49" s="67"/>
      <c r="M49" s="67"/>
      <c r="N49" s="67"/>
      <c r="O49" s="67"/>
      <c r="P49" s="67"/>
      <c r="Q49" s="134"/>
      <c r="R49" s="134"/>
      <c r="S49" s="67"/>
      <c r="T49" s="67"/>
      <c r="U49" s="67"/>
      <c r="V49" s="67"/>
      <c r="W49" s="71"/>
      <c r="X49" s="73"/>
      <c r="Y49" s="73"/>
      <c r="Z49" s="73"/>
    </row>
    <row r="50" spans="1:26" ht="16.899999999999999" customHeight="1" x14ac:dyDescent="0.2">
      <c r="A50" s="67"/>
      <c r="B50" s="67"/>
      <c r="C50" s="67"/>
      <c r="D50" s="68"/>
      <c r="E50" s="68"/>
      <c r="F50" s="68"/>
      <c r="G50" s="68"/>
      <c r="H50" s="67"/>
      <c r="I50" s="68"/>
      <c r="J50" s="68"/>
      <c r="K50" s="68"/>
      <c r="L50" s="67"/>
      <c r="M50" s="67"/>
      <c r="N50" s="67"/>
      <c r="O50" s="67"/>
      <c r="P50" s="67"/>
      <c r="Q50" s="134"/>
      <c r="R50" s="134"/>
      <c r="S50" s="67"/>
      <c r="T50" s="67"/>
      <c r="U50" s="67"/>
      <c r="V50" s="67"/>
      <c r="W50" s="71"/>
      <c r="X50" s="73"/>
      <c r="Y50" s="73"/>
      <c r="Z50" s="73"/>
    </row>
    <row r="51" spans="1:26" ht="16.899999999999999" customHeight="1" x14ac:dyDescent="0.2">
      <c r="A51" s="67"/>
      <c r="B51" s="67"/>
      <c r="C51" s="67"/>
      <c r="D51" s="68"/>
      <c r="E51" s="68"/>
      <c r="F51" s="68"/>
      <c r="G51" s="68"/>
      <c r="H51" s="67"/>
      <c r="I51" s="68"/>
      <c r="J51" s="68"/>
      <c r="K51" s="68"/>
      <c r="L51" s="67"/>
      <c r="M51" s="67"/>
      <c r="N51" s="67"/>
      <c r="O51" s="67"/>
      <c r="P51" s="67"/>
      <c r="Q51" s="134"/>
      <c r="R51" s="134"/>
      <c r="S51" s="67"/>
      <c r="T51" s="67"/>
      <c r="U51" s="67"/>
      <c r="V51" s="67"/>
      <c r="W51" s="71"/>
      <c r="X51" s="73"/>
      <c r="Y51" s="73"/>
      <c r="Z51" s="73"/>
    </row>
    <row r="52" spans="1:26" ht="16.899999999999999" customHeight="1" x14ac:dyDescent="0.2">
      <c r="A52" s="67"/>
      <c r="B52" s="67"/>
      <c r="C52" s="67"/>
      <c r="D52" s="68"/>
      <c r="E52" s="68"/>
      <c r="F52" s="68"/>
      <c r="G52" s="68"/>
      <c r="H52" s="67"/>
      <c r="I52" s="68"/>
      <c r="J52" s="68"/>
      <c r="K52" s="68"/>
      <c r="L52" s="67"/>
      <c r="M52" s="67"/>
      <c r="N52" s="67"/>
      <c r="O52" s="67"/>
      <c r="P52" s="67"/>
      <c r="Q52" s="134"/>
      <c r="R52" s="134"/>
      <c r="S52" s="67"/>
      <c r="T52" s="67"/>
      <c r="U52" s="67"/>
      <c r="V52" s="67"/>
      <c r="W52" s="71"/>
      <c r="X52" s="73"/>
      <c r="Y52" s="73"/>
      <c r="Z52" s="73"/>
    </row>
    <row r="53" spans="1:26" ht="16.899999999999999" customHeight="1" x14ac:dyDescent="0.2">
      <c r="A53" s="67"/>
      <c r="B53" s="67"/>
      <c r="C53" s="67"/>
      <c r="D53" s="68"/>
      <c r="E53" s="68"/>
      <c r="F53" s="68"/>
      <c r="G53" s="68"/>
      <c r="H53" s="67"/>
      <c r="I53" s="68"/>
      <c r="J53" s="68"/>
      <c r="K53" s="68"/>
      <c r="L53" s="67"/>
      <c r="M53" s="67"/>
      <c r="N53" s="67"/>
      <c r="O53" s="67"/>
      <c r="P53" s="67"/>
      <c r="Q53" s="134"/>
      <c r="R53" s="134"/>
      <c r="S53" s="67"/>
      <c r="T53" s="67"/>
      <c r="U53" s="67"/>
      <c r="V53" s="67"/>
      <c r="W53" s="71"/>
      <c r="X53" s="73"/>
      <c r="Y53" s="73"/>
      <c r="Z53" s="73"/>
    </row>
    <row r="54" spans="1:26" ht="16.899999999999999" customHeight="1" x14ac:dyDescent="0.2">
      <c r="A54" s="67"/>
      <c r="B54" s="67"/>
      <c r="C54" s="67"/>
      <c r="D54" s="68"/>
      <c r="E54" s="68"/>
      <c r="F54" s="68"/>
      <c r="G54" s="68"/>
      <c r="H54" s="67"/>
      <c r="I54" s="68"/>
      <c r="J54" s="68"/>
      <c r="K54" s="68"/>
      <c r="L54" s="67"/>
      <c r="M54" s="67"/>
      <c r="N54" s="67"/>
      <c r="O54" s="67"/>
      <c r="P54" s="67"/>
      <c r="Q54" s="134"/>
      <c r="R54" s="134"/>
      <c r="S54" s="67"/>
      <c r="T54" s="67"/>
      <c r="U54" s="67"/>
      <c r="V54" s="67"/>
      <c r="W54" s="71"/>
      <c r="X54" s="73"/>
      <c r="Y54" s="73"/>
      <c r="Z54" s="73"/>
    </row>
    <row r="55" spans="1:26" ht="16.899999999999999" customHeight="1" x14ac:dyDescent="0.2">
      <c r="A55" s="67"/>
      <c r="B55" s="67"/>
      <c r="C55" s="67"/>
      <c r="D55" s="68"/>
      <c r="E55" s="68"/>
      <c r="F55" s="68"/>
      <c r="G55" s="68"/>
      <c r="H55" s="67"/>
      <c r="I55" s="68"/>
      <c r="J55" s="68"/>
      <c r="K55" s="68"/>
      <c r="L55" s="67"/>
      <c r="M55" s="67"/>
      <c r="N55" s="67"/>
      <c r="O55" s="67"/>
      <c r="P55" s="67"/>
      <c r="Q55" s="134"/>
      <c r="R55" s="134"/>
      <c r="S55" s="67"/>
      <c r="T55" s="67"/>
      <c r="U55" s="67"/>
      <c r="V55" s="67"/>
      <c r="W55" s="71"/>
      <c r="X55" s="73"/>
      <c r="Y55" s="73"/>
      <c r="Z55" s="73"/>
    </row>
    <row r="56" spans="1:26" ht="16.899999999999999" customHeight="1" x14ac:dyDescent="0.2">
      <c r="A56" s="67"/>
      <c r="B56" s="67"/>
      <c r="C56" s="67"/>
      <c r="D56" s="68"/>
      <c r="E56" s="68"/>
      <c r="F56" s="68"/>
      <c r="G56" s="68"/>
      <c r="H56" s="67"/>
      <c r="I56" s="68"/>
      <c r="J56" s="68"/>
      <c r="K56" s="68"/>
      <c r="L56" s="67"/>
      <c r="M56" s="67"/>
      <c r="N56" s="67"/>
      <c r="O56" s="67"/>
      <c r="P56" s="67"/>
      <c r="Q56" s="134"/>
      <c r="R56" s="134"/>
      <c r="S56" s="67"/>
      <c r="T56" s="67"/>
      <c r="U56" s="67"/>
      <c r="V56" s="67"/>
      <c r="W56" s="71"/>
      <c r="X56" s="73"/>
      <c r="Y56" s="73"/>
      <c r="Z56" s="73"/>
    </row>
    <row r="57" spans="1:26" ht="16.899999999999999" customHeight="1" x14ac:dyDescent="0.2">
      <c r="A57" s="67"/>
      <c r="B57" s="67"/>
      <c r="C57" s="67"/>
      <c r="D57" s="68"/>
      <c r="E57" s="68"/>
      <c r="F57" s="68"/>
      <c r="G57" s="68"/>
      <c r="H57" s="67"/>
      <c r="I57" s="68"/>
      <c r="J57" s="68"/>
      <c r="K57" s="68"/>
      <c r="L57" s="67"/>
      <c r="M57" s="67"/>
      <c r="N57" s="67"/>
      <c r="O57" s="67"/>
      <c r="P57" s="67"/>
      <c r="Q57" s="134"/>
      <c r="R57" s="134"/>
      <c r="S57" s="67"/>
      <c r="T57" s="67"/>
      <c r="U57" s="67"/>
      <c r="V57" s="67"/>
      <c r="W57" s="71"/>
      <c r="X57" s="73"/>
      <c r="Y57" s="73"/>
      <c r="Z57" s="73"/>
    </row>
    <row r="58" spans="1:26" ht="16.899999999999999" customHeight="1" x14ac:dyDescent="0.2">
      <c r="A58" s="67"/>
      <c r="B58" s="67"/>
      <c r="C58" s="67"/>
      <c r="D58" s="68"/>
      <c r="E58" s="68"/>
      <c r="F58" s="68"/>
      <c r="G58" s="68"/>
      <c r="H58" s="67"/>
      <c r="I58" s="68"/>
      <c r="J58" s="68"/>
      <c r="K58" s="68"/>
      <c r="L58" s="67"/>
      <c r="M58" s="67"/>
      <c r="N58" s="67"/>
      <c r="O58" s="67"/>
      <c r="P58" s="67"/>
      <c r="Q58" s="134"/>
      <c r="R58" s="134"/>
      <c r="S58" s="67"/>
      <c r="T58" s="67"/>
      <c r="U58" s="67"/>
      <c r="V58" s="67"/>
      <c r="W58" s="71"/>
      <c r="X58" s="73"/>
      <c r="Y58" s="73"/>
      <c r="Z58" s="73"/>
    </row>
    <row r="59" spans="1:26" ht="16.899999999999999" customHeight="1" x14ac:dyDescent="0.2">
      <c r="A59" s="67"/>
      <c r="B59" s="67"/>
      <c r="C59" s="67"/>
      <c r="D59" s="68"/>
      <c r="E59" s="68"/>
      <c r="F59" s="68"/>
      <c r="G59" s="68"/>
      <c r="H59" s="67"/>
      <c r="I59" s="68"/>
      <c r="J59" s="68"/>
      <c r="K59" s="68"/>
      <c r="L59" s="67"/>
      <c r="M59" s="67"/>
      <c r="N59" s="67"/>
      <c r="O59" s="67"/>
      <c r="P59" s="67"/>
      <c r="Q59" s="134"/>
      <c r="R59" s="134"/>
      <c r="S59" s="67"/>
      <c r="T59" s="67"/>
      <c r="U59" s="67"/>
      <c r="V59" s="67"/>
      <c r="W59" s="71"/>
      <c r="X59" s="73"/>
      <c r="Y59" s="73"/>
      <c r="Z59" s="73"/>
    </row>
    <row r="60" spans="1:26" ht="16.899999999999999" customHeight="1" x14ac:dyDescent="0.2">
      <c r="A60" s="67"/>
      <c r="B60" s="67"/>
      <c r="C60" s="67"/>
      <c r="D60" s="68"/>
      <c r="E60" s="68"/>
      <c r="F60" s="68"/>
      <c r="G60" s="68"/>
      <c r="H60" s="67"/>
      <c r="I60" s="68"/>
      <c r="J60" s="68"/>
      <c r="K60" s="68"/>
      <c r="L60" s="67"/>
      <c r="M60" s="67"/>
      <c r="N60" s="67"/>
      <c r="O60" s="67"/>
      <c r="P60" s="67"/>
      <c r="Q60" s="134"/>
      <c r="R60" s="134"/>
      <c r="S60" s="67"/>
      <c r="T60" s="67"/>
      <c r="U60" s="67"/>
      <c r="V60" s="67"/>
      <c r="W60" s="71"/>
      <c r="X60" s="73"/>
      <c r="Y60" s="73"/>
      <c r="Z60" s="73"/>
    </row>
    <row r="61" spans="1:26" ht="16.899999999999999" customHeight="1" x14ac:dyDescent="0.2">
      <c r="A61" s="67"/>
      <c r="B61" s="67"/>
      <c r="C61" s="67"/>
      <c r="D61" s="68"/>
      <c r="E61" s="68"/>
      <c r="F61" s="68"/>
      <c r="G61" s="68"/>
      <c r="H61" s="67"/>
      <c r="I61" s="68"/>
      <c r="J61" s="68"/>
      <c r="K61" s="68"/>
      <c r="L61" s="67"/>
      <c r="M61" s="67"/>
      <c r="N61" s="67"/>
      <c r="O61" s="67"/>
      <c r="P61" s="67"/>
      <c r="Q61" s="134"/>
      <c r="R61" s="134"/>
      <c r="S61" s="67"/>
      <c r="T61" s="67"/>
      <c r="U61" s="67"/>
      <c r="V61" s="67"/>
      <c r="W61" s="71"/>
      <c r="X61" s="73"/>
      <c r="Y61" s="73"/>
      <c r="Z61" s="73"/>
    </row>
    <row r="62" spans="1:26" ht="16.899999999999999" customHeight="1" x14ac:dyDescent="0.2">
      <c r="A62" s="67"/>
      <c r="B62" s="67"/>
      <c r="C62" s="67"/>
      <c r="D62" s="68"/>
      <c r="E62" s="68"/>
      <c r="F62" s="68"/>
      <c r="G62" s="68"/>
      <c r="H62" s="67"/>
      <c r="I62" s="68"/>
      <c r="J62" s="68"/>
      <c r="K62" s="68"/>
      <c r="L62" s="67"/>
      <c r="M62" s="67"/>
      <c r="N62" s="67"/>
      <c r="O62" s="67"/>
      <c r="P62" s="67"/>
      <c r="Q62" s="134"/>
      <c r="R62" s="134"/>
      <c r="S62" s="67"/>
      <c r="T62" s="67"/>
      <c r="U62" s="67"/>
      <c r="V62" s="67"/>
      <c r="W62" s="71"/>
      <c r="X62" s="73"/>
      <c r="Y62" s="73"/>
      <c r="Z62" s="73"/>
    </row>
    <row r="63" spans="1:26" ht="16.899999999999999" customHeight="1" x14ac:dyDescent="0.2">
      <c r="A63" s="67"/>
      <c r="B63" s="67"/>
      <c r="C63" s="67"/>
      <c r="D63" s="68"/>
      <c r="E63" s="68"/>
      <c r="F63" s="68"/>
      <c r="G63" s="68"/>
      <c r="H63" s="67"/>
      <c r="I63" s="68"/>
      <c r="J63" s="68"/>
      <c r="K63" s="68"/>
      <c r="L63" s="67"/>
      <c r="M63" s="67"/>
      <c r="N63" s="67"/>
      <c r="O63" s="67"/>
      <c r="P63" s="67"/>
      <c r="Q63" s="134"/>
      <c r="R63" s="134"/>
      <c r="S63" s="67"/>
      <c r="T63" s="67"/>
      <c r="U63" s="67"/>
      <c r="V63" s="67"/>
      <c r="W63" s="71"/>
      <c r="X63" s="73"/>
      <c r="Y63" s="73"/>
      <c r="Z63" s="73"/>
    </row>
    <row r="64" spans="1:26" ht="16.899999999999999" customHeight="1" x14ac:dyDescent="0.2">
      <c r="A64" s="67"/>
      <c r="B64" s="67"/>
      <c r="C64" s="67"/>
      <c r="D64" s="68"/>
      <c r="E64" s="68"/>
      <c r="F64" s="68"/>
      <c r="G64" s="68"/>
      <c r="H64" s="67"/>
      <c r="I64" s="68"/>
      <c r="J64" s="68"/>
      <c r="K64" s="68"/>
      <c r="L64" s="67"/>
      <c r="M64" s="67"/>
      <c r="N64" s="67"/>
      <c r="O64" s="67"/>
      <c r="P64" s="67"/>
      <c r="Q64" s="134"/>
      <c r="R64" s="134"/>
      <c r="S64" s="67"/>
      <c r="T64" s="67"/>
      <c r="U64" s="67"/>
      <c r="V64" s="67"/>
      <c r="W64" s="71"/>
      <c r="X64" s="73"/>
      <c r="Y64" s="73"/>
      <c r="Z64" s="73"/>
    </row>
    <row r="65" spans="1:26" ht="16.899999999999999" customHeight="1" x14ac:dyDescent="0.2">
      <c r="A65" s="67"/>
      <c r="B65" s="67"/>
      <c r="C65" s="67"/>
      <c r="D65" s="68"/>
      <c r="E65" s="68"/>
      <c r="F65" s="68"/>
      <c r="G65" s="68"/>
      <c r="H65" s="67"/>
      <c r="I65" s="68"/>
      <c r="J65" s="68"/>
      <c r="K65" s="68"/>
      <c r="L65" s="67"/>
      <c r="M65" s="67"/>
      <c r="N65" s="67"/>
      <c r="O65" s="67"/>
      <c r="P65" s="67"/>
      <c r="Q65" s="134"/>
      <c r="R65" s="134"/>
      <c r="S65" s="67"/>
      <c r="T65" s="67"/>
      <c r="U65" s="67"/>
      <c r="V65" s="67"/>
      <c r="W65" s="71"/>
      <c r="X65" s="73"/>
      <c r="Y65" s="73"/>
      <c r="Z65" s="73"/>
    </row>
    <row r="66" spans="1:26" ht="16.899999999999999" customHeight="1" x14ac:dyDescent="0.2">
      <c r="A66" s="67"/>
      <c r="B66" s="67"/>
      <c r="C66" s="67"/>
      <c r="D66" s="68"/>
      <c r="E66" s="68"/>
      <c r="F66" s="68"/>
      <c r="G66" s="68"/>
      <c r="H66" s="67"/>
      <c r="I66" s="68"/>
      <c r="J66" s="68"/>
      <c r="K66" s="68"/>
      <c r="L66" s="67"/>
      <c r="M66" s="67"/>
      <c r="N66" s="67"/>
      <c r="O66" s="67"/>
      <c r="P66" s="67"/>
      <c r="Q66" s="134"/>
      <c r="R66" s="134"/>
      <c r="S66" s="67"/>
      <c r="T66" s="67"/>
      <c r="U66" s="67"/>
      <c r="V66" s="67"/>
      <c r="W66" s="71"/>
      <c r="X66" s="73"/>
      <c r="Y66" s="73"/>
      <c r="Z66" s="73"/>
    </row>
    <row r="67" spans="1:26" ht="16.899999999999999" customHeight="1" x14ac:dyDescent="0.2">
      <c r="A67" s="67"/>
      <c r="B67" s="67"/>
      <c r="C67" s="67"/>
      <c r="D67" s="68"/>
      <c r="E67" s="68"/>
      <c r="F67" s="68"/>
      <c r="G67" s="68"/>
      <c r="H67" s="67"/>
      <c r="I67" s="68"/>
      <c r="J67" s="68"/>
      <c r="K67" s="68"/>
      <c r="L67" s="67"/>
      <c r="M67" s="67"/>
      <c r="N67" s="67"/>
      <c r="O67" s="67"/>
      <c r="P67" s="67"/>
      <c r="Q67" s="134"/>
      <c r="R67" s="134"/>
      <c r="S67" s="67"/>
      <c r="T67" s="67"/>
      <c r="U67" s="67"/>
      <c r="V67" s="67"/>
      <c r="W67" s="71"/>
      <c r="X67" s="73"/>
      <c r="Y67" s="73"/>
      <c r="Z67" s="73"/>
    </row>
    <row r="68" spans="1:26" ht="16.899999999999999" customHeight="1" x14ac:dyDescent="0.2">
      <c r="A68" s="67"/>
      <c r="B68" s="67"/>
      <c r="C68" s="67"/>
      <c r="D68" s="68"/>
      <c r="E68" s="68"/>
      <c r="F68" s="68"/>
      <c r="G68" s="68"/>
      <c r="H68" s="67"/>
      <c r="I68" s="68"/>
      <c r="J68" s="68"/>
      <c r="K68" s="68"/>
      <c r="L68" s="67"/>
      <c r="M68" s="67"/>
      <c r="N68" s="67"/>
      <c r="O68" s="67"/>
      <c r="P68" s="67"/>
      <c r="Q68" s="134"/>
      <c r="R68" s="134"/>
      <c r="S68" s="67"/>
      <c r="T68" s="67"/>
      <c r="U68" s="67"/>
      <c r="V68" s="67"/>
      <c r="W68" s="71"/>
      <c r="X68" s="73"/>
      <c r="Y68" s="73"/>
      <c r="Z68" s="73"/>
    </row>
    <row r="69" spans="1:26" ht="16.899999999999999" customHeight="1" x14ac:dyDescent="0.2">
      <c r="A69" s="67"/>
      <c r="B69" s="67"/>
      <c r="C69" s="67"/>
      <c r="D69" s="68"/>
      <c r="E69" s="68"/>
      <c r="F69" s="68"/>
      <c r="G69" s="68"/>
      <c r="H69" s="67"/>
      <c r="I69" s="68"/>
      <c r="J69" s="68"/>
      <c r="K69" s="68"/>
      <c r="L69" s="67"/>
      <c r="M69" s="67"/>
      <c r="N69" s="67"/>
      <c r="O69" s="67"/>
      <c r="P69" s="67"/>
      <c r="Q69" s="134"/>
      <c r="R69" s="134"/>
      <c r="S69" s="67"/>
      <c r="T69" s="67"/>
      <c r="U69" s="67"/>
      <c r="V69" s="67"/>
      <c r="W69" s="71"/>
      <c r="X69" s="73"/>
      <c r="Y69" s="73"/>
      <c r="Z69" s="73"/>
    </row>
    <row r="70" spans="1:26" ht="16.899999999999999" customHeight="1" x14ac:dyDescent="0.2">
      <c r="A70" s="67"/>
      <c r="B70" s="67"/>
      <c r="C70" s="67"/>
      <c r="D70" s="68"/>
      <c r="E70" s="68"/>
      <c r="F70" s="68"/>
      <c r="G70" s="68"/>
      <c r="H70" s="67"/>
      <c r="I70" s="68"/>
      <c r="J70" s="68"/>
      <c r="K70" s="68"/>
      <c r="L70" s="67"/>
      <c r="M70" s="67"/>
      <c r="N70" s="67"/>
      <c r="O70" s="67"/>
      <c r="P70" s="67"/>
      <c r="Q70" s="134"/>
      <c r="R70" s="134"/>
      <c r="S70" s="67"/>
      <c r="T70" s="67"/>
      <c r="U70" s="67"/>
      <c r="V70" s="67"/>
      <c r="W70" s="71"/>
      <c r="X70" s="73"/>
      <c r="Y70" s="73"/>
      <c r="Z70" s="73"/>
    </row>
    <row r="71" spans="1:26" ht="16.899999999999999" customHeight="1" x14ac:dyDescent="0.2">
      <c r="A71" s="67"/>
      <c r="B71" s="67"/>
      <c r="C71" s="67"/>
      <c r="D71" s="68"/>
      <c r="E71" s="68"/>
      <c r="F71" s="68"/>
      <c r="G71" s="68"/>
      <c r="H71" s="67"/>
      <c r="I71" s="68"/>
      <c r="J71" s="68"/>
      <c r="K71" s="68"/>
      <c r="L71" s="67"/>
      <c r="M71" s="67"/>
      <c r="N71" s="67"/>
      <c r="O71" s="67"/>
      <c r="P71" s="67"/>
      <c r="Q71" s="134"/>
      <c r="R71" s="134"/>
      <c r="S71" s="67"/>
      <c r="T71" s="67"/>
      <c r="U71" s="67"/>
      <c r="V71" s="67"/>
      <c r="W71" s="71"/>
      <c r="X71" s="73"/>
      <c r="Y71" s="73"/>
      <c r="Z71" s="73"/>
    </row>
    <row r="72" spans="1:26" ht="16.899999999999999" customHeight="1" x14ac:dyDescent="0.2">
      <c r="A72" s="67"/>
      <c r="B72" s="67"/>
      <c r="C72" s="67"/>
      <c r="D72" s="68"/>
      <c r="E72" s="68"/>
      <c r="F72" s="68"/>
      <c r="G72" s="68"/>
      <c r="H72" s="67"/>
      <c r="I72" s="68"/>
      <c r="J72" s="68"/>
      <c r="K72" s="68"/>
      <c r="L72" s="67"/>
      <c r="M72" s="67"/>
      <c r="N72" s="67"/>
      <c r="O72" s="67"/>
      <c r="P72" s="67"/>
      <c r="Q72" s="134"/>
      <c r="R72" s="134"/>
      <c r="S72" s="67"/>
      <c r="T72" s="67"/>
      <c r="U72" s="67"/>
      <c r="V72" s="67"/>
      <c r="W72" s="71"/>
      <c r="X72" s="73"/>
      <c r="Y72" s="73"/>
      <c r="Z72" s="73"/>
    </row>
    <row r="73" spans="1:26" ht="16.899999999999999" customHeight="1" x14ac:dyDescent="0.2">
      <c r="A73" s="67"/>
      <c r="B73" s="67"/>
      <c r="C73" s="67"/>
      <c r="D73" s="68"/>
      <c r="E73" s="68"/>
      <c r="F73" s="68"/>
      <c r="G73" s="68"/>
      <c r="H73" s="67"/>
      <c r="I73" s="68"/>
      <c r="J73" s="68"/>
      <c r="K73" s="68"/>
      <c r="L73" s="67"/>
      <c r="M73" s="67"/>
      <c r="N73" s="67"/>
      <c r="O73" s="67"/>
      <c r="P73" s="67"/>
      <c r="Q73" s="134"/>
      <c r="R73" s="134"/>
      <c r="S73" s="67"/>
      <c r="T73" s="67"/>
      <c r="U73" s="67"/>
      <c r="V73" s="67"/>
      <c r="W73" s="71"/>
      <c r="X73" s="73"/>
      <c r="Y73" s="73"/>
      <c r="Z73" s="73"/>
    </row>
    <row r="74" spans="1:26" ht="16.899999999999999" customHeight="1" x14ac:dyDescent="0.2">
      <c r="A74" s="67"/>
      <c r="B74" s="67"/>
      <c r="C74" s="67"/>
      <c r="D74" s="68"/>
      <c r="E74" s="68"/>
      <c r="F74" s="68"/>
      <c r="G74" s="68"/>
      <c r="H74" s="67"/>
      <c r="I74" s="68"/>
      <c r="J74" s="68"/>
      <c r="K74" s="68"/>
      <c r="L74" s="67"/>
      <c r="M74" s="67"/>
      <c r="N74" s="67"/>
      <c r="O74" s="67"/>
      <c r="P74" s="67"/>
      <c r="Q74" s="134"/>
      <c r="R74" s="134"/>
      <c r="S74" s="67"/>
      <c r="T74" s="67"/>
      <c r="U74" s="67"/>
      <c r="V74" s="67"/>
      <c r="W74" s="71"/>
      <c r="X74" s="73"/>
      <c r="Y74" s="73"/>
      <c r="Z74" s="73"/>
    </row>
    <row r="75" spans="1:26" ht="16.899999999999999" customHeight="1" x14ac:dyDescent="0.2">
      <c r="A75" s="67"/>
      <c r="B75" s="67"/>
      <c r="C75" s="67"/>
      <c r="D75" s="68"/>
      <c r="E75" s="68"/>
      <c r="F75" s="68"/>
      <c r="G75" s="68"/>
      <c r="H75" s="67"/>
      <c r="I75" s="68"/>
      <c r="J75" s="68"/>
      <c r="K75" s="68"/>
      <c r="L75" s="67"/>
      <c r="M75" s="67"/>
      <c r="N75" s="67"/>
      <c r="O75" s="67"/>
      <c r="P75" s="67"/>
      <c r="Q75" s="134"/>
      <c r="R75" s="134"/>
      <c r="S75" s="67"/>
      <c r="T75" s="67"/>
      <c r="U75" s="67"/>
      <c r="V75" s="67"/>
      <c r="W75" s="71"/>
      <c r="X75" s="73"/>
      <c r="Y75" s="73"/>
      <c r="Z75" s="73"/>
    </row>
    <row r="76" spans="1:26" ht="16.899999999999999" customHeight="1" x14ac:dyDescent="0.2">
      <c r="A76" s="67"/>
      <c r="B76" s="67"/>
      <c r="C76" s="67"/>
      <c r="D76" s="68"/>
      <c r="E76" s="68"/>
      <c r="F76" s="68"/>
      <c r="G76" s="68"/>
      <c r="H76" s="67"/>
      <c r="I76" s="68"/>
      <c r="J76" s="68"/>
      <c r="K76" s="68"/>
      <c r="L76" s="67"/>
      <c r="M76" s="67"/>
      <c r="N76" s="67"/>
      <c r="O76" s="67"/>
      <c r="P76" s="67"/>
      <c r="Q76" s="134"/>
      <c r="R76" s="134"/>
      <c r="S76" s="67"/>
      <c r="T76" s="67"/>
      <c r="U76" s="67"/>
      <c r="V76" s="67"/>
      <c r="W76" s="71"/>
      <c r="X76" s="73"/>
      <c r="Y76" s="73"/>
      <c r="Z76" s="73"/>
    </row>
    <row r="77" spans="1:26" ht="16.899999999999999" customHeight="1" x14ac:dyDescent="0.2">
      <c r="A77" s="67"/>
      <c r="B77" s="67"/>
      <c r="C77" s="67"/>
      <c r="D77" s="68"/>
      <c r="E77" s="68"/>
      <c r="F77" s="68"/>
      <c r="G77" s="68"/>
      <c r="H77" s="67"/>
      <c r="I77" s="68"/>
      <c r="J77" s="68"/>
      <c r="K77" s="68"/>
      <c r="L77" s="67"/>
      <c r="M77" s="67"/>
      <c r="N77" s="67"/>
      <c r="O77" s="67"/>
      <c r="P77" s="67"/>
      <c r="Q77" s="134"/>
      <c r="R77" s="134"/>
      <c r="S77" s="67"/>
      <c r="T77" s="67"/>
      <c r="U77" s="67"/>
      <c r="V77" s="67"/>
      <c r="W77" s="71"/>
      <c r="X77" s="73"/>
      <c r="Y77" s="73"/>
      <c r="Z77" s="73"/>
    </row>
    <row r="78" spans="1:26" ht="16.899999999999999" customHeight="1" x14ac:dyDescent="0.2">
      <c r="A78" s="67"/>
      <c r="B78" s="67"/>
      <c r="C78" s="67"/>
      <c r="D78" s="68"/>
      <c r="E78" s="68"/>
      <c r="F78" s="68"/>
      <c r="G78" s="68"/>
      <c r="H78" s="67"/>
      <c r="I78" s="68"/>
      <c r="J78" s="68"/>
      <c r="K78" s="68"/>
      <c r="L78" s="67"/>
      <c r="M78" s="67"/>
      <c r="N78" s="67"/>
      <c r="O78" s="67"/>
      <c r="P78" s="67"/>
      <c r="Q78" s="134"/>
      <c r="R78" s="134"/>
      <c r="S78" s="67"/>
      <c r="T78" s="67"/>
      <c r="U78" s="67"/>
      <c r="V78" s="67"/>
      <c r="W78" s="71"/>
      <c r="X78" s="73"/>
      <c r="Y78" s="73"/>
      <c r="Z78" s="73"/>
    </row>
    <row r="79" spans="1:26" ht="16.899999999999999" customHeight="1" x14ac:dyDescent="0.2">
      <c r="A79" s="67"/>
      <c r="B79" s="67"/>
      <c r="C79" s="67"/>
      <c r="D79" s="68"/>
      <c r="E79" s="68"/>
      <c r="F79" s="68"/>
      <c r="G79" s="68"/>
      <c r="H79" s="67"/>
      <c r="I79" s="68"/>
      <c r="J79" s="68"/>
      <c r="K79" s="68"/>
      <c r="L79" s="67"/>
      <c r="M79" s="67"/>
      <c r="N79" s="67"/>
      <c r="O79" s="67"/>
      <c r="P79" s="67"/>
      <c r="Q79" s="134"/>
      <c r="R79" s="134"/>
      <c r="S79" s="67"/>
      <c r="T79" s="67"/>
      <c r="U79" s="67"/>
      <c r="V79" s="67"/>
      <c r="W79" s="71"/>
      <c r="X79" s="73"/>
      <c r="Y79" s="73"/>
      <c r="Z79" s="73"/>
    </row>
    <row r="80" spans="1:26" ht="16.899999999999999" customHeight="1" x14ac:dyDescent="0.2">
      <c r="A80" s="67"/>
      <c r="B80" s="67"/>
      <c r="C80" s="67"/>
      <c r="D80" s="68"/>
      <c r="E80" s="68"/>
      <c r="F80" s="68"/>
      <c r="G80" s="68"/>
      <c r="H80" s="67"/>
      <c r="I80" s="68"/>
      <c r="J80" s="68"/>
      <c r="K80" s="68"/>
      <c r="L80" s="67"/>
      <c r="M80" s="67"/>
      <c r="N80" s="67"/>
      <c r="O80" s="67"/>
      <c r="P80" s="67"/>
      <c r="Q80" s="134"/>
      <c r="R80" s="134"/>
      <c r="S80" s="67"/>
      <c r="T80" s="67"/>
      <c r="U80" s="67"/>
      <c r="V80" s="67"/>
      <c r="W80" s="71"/>
      <c r="X80" s="73"/>
      <c r="Y80" s="73"/>
      <c r="Z80" s="73"/>
    </row>
    <row r="81" spans="1:26" ht="16.899999999999999" customHeight="1" x14ac:dyDescent="0.2">
      <c r="A81" s="67"/>
      <c r="B81" s="67"/>
      <c r="C81" s="67"/>
      <c r="D81" s="68"/>
      <c r="E81" s="68"/>
      <c r="F81" s="68"/>
      <c r="G81" s="68"/>
      <c r="H81" s="67"/>
      <c r="I81" s="68"/>
      <c r="J81" s="68"/>
      <c r="K81" s="68"/>
      <c r="L81" s="67"/>
      <c r="M81" s="67"/>
      <c r="N81" s="67"/>
      <c r="O81" s="67"/>
      <c r="P81" s="67"/>
      <c r="Q81" s="134"/>
      <c r="R81" s="134"/>
      <c r="S81" s="67"/>
      <c r="T81" s="67"/>
      <c r="U81" s="67"/>
      <c r="V81" s="67"/>
      <c r="W81" s="71"/>
      <c r="X81" s="73"/>
      <c r="Y81" s="73"/>
      <c r="Z81" s="73"/>
    </row>
    <row r="82" spans="1:26" ht="16.899999999999999" customHeight="1" x14ac:dyDescent="0.2">
      <c r="A82" s="67"/>
      <c r="B82" s="67"/>
      <c r="C82" s="67"/>
      <c r="D82" s="68"/>
      <c r="E82" s="68"/>
      <c r="F82" s="68"/>
      <c r="G82" s="68"/>
      <c r="H82" s="67"/>
      <c r="I82" s="68"/>
      <c r="J82" s="68"/>
      <c r="K82" s="68"/>
      <c r="L82" s="67"/>
      <c r="M82" s="67"/>
      <c r="N82" s="67"/>
      <c r="O82" s="67"/>
      <c r="P82" s="67"/>
      <c r="Q82" s="134"/>
      <c r="R82" s="134"/>
      <c r="S82" s="67"/>
      <c r="T82" s="67"/>
      <c r="U82" s="67"/>
      <c r="V82" s="67"/>
      <c r="W82" s="71"/>
      <c r="X82" s="73"/>
      <c r="Y82" s="73"/>
      <c r="Z82" s="73"/>
    </row>
    <row r="83" spans="1:26" ht="16.899999999999999" customHeight="1" x14ac:dyDescent="0.2">
      <c r="A83" s="67"/>
      <c r="B83" s="67"/>
      <c r="C83" s="67"/>
      <c r="D83" s="68"/>
      <c r="E83" s="68"/>
      <c r="F83" s="68"/>
      <c r="G83" s="68"/>
      <c r="H83" s="67"/>
      <c r="I83" s="68"/>
      <c r="J83" s="68"/>
      <c r="K83" s="68"/>
      <c r="L83" s="67"/>
      <c r="M83" s="67"/>
      <c r="N83" s="67"/>
      <c r="O83" s="67"/>
      <c r="P83" s="67"/>
      <c r="Q83" s="134"/>
      <c r="R83" s="134"/>
      <c r="S83" s="67"/>
      <c r="T83" s="67"/>
      <c r="U83" s="67"/>
      <c r="V83" s="67"/>
      <c r="W83" s="71"/>
      <c r="X83" s="73"/>
      <c r="Y83" s="73"/>
      <c r="Z83" s="73"/>
    </row>
    <row r="84" spans="1:26" ht="16.899999999999999" customHeight="1" x14ac:dyDescent="0.2">
      <c r="A84" s="67"/>
      <c r="B84" s="67"/>
      <c r="C84" s="67"/>
      <c r="D84" s="68"/>
      <c r="E84" s="68"/>
      <c r="F84" s="68"/>
      <c r="G84" s="68"/>
      <c r="H84" s="67"/>
      <c r="I84" s="68"/>
      <c r="J84" s="68"/>
      <c r="K84" s="68"/>
      <c r="L84" s="67"/>
      <c r="M84" s="67"/>
      <c r="N84" s="67"/>
      <c r="O84" s="67"/>
      <c r="P84" s="67"/>
      <c r="Q84" s="134"/>
      <c r="R84" s="134"/>
      <c r="S84" s="67"/>
      <c r="T84" s="67"/>
      <c r="U84" s="67"/>
      <c r="V84" s="67"/>
      <c r="W84" s="71"/>
      <c r="X84" s="73"/>
      <c r="Y84" s="73"/>
      <c r="Z84" s="73"/>
    </row>
    <row r="85" spans="1:26" ht="16.899999999999999" customHeight="1" x14ac:dyDescent="0.2">
      <c r="A85" s="67"/>
      <c r="B85" s="67"/>
      <c r="C85" s="67"/>
      <c r="D85" s="68"/>
      <c r="E85" s="68"/>
      <c r="F85" s="68"/>
      <c r="G85" s="68"/>
      <c r="H85" s="67"/>
      <c r="I85" s="68"/>
      <c r="J85" s="68"/>
      <c r="K85" s="68"/>
      <c r="L85" s="67"/>
      <c r="M85" s="67"/>
      <c r="N85" s="67"/>
      <c r="O85" s="67"/>
      <c r="P85" s="67"/>
      <c r="Q85" s="134"/>
      <c r="R85" s="134"/>
      <c r="S85" s="67"/>
      <c r="T85" s="67"/>
      <c r="U85" s="67"/>
      <c r="V85" s="67"/>
      <c r="W85" s="71"/>
      <c r="X85" s="73"/>
      <c r="Y85" s="73"/>
      <c r="Z85" s="73"/>
    </row>
    <row r="86" spans="1:26" ht="16.899999999999999" customHeight="1" x14ac:dyDescent="0.2">
      <c r="A86" s="67"/>
      <c r="B86" s="67"/>
      <c r="C86" s="67"/>
      <c r="D86" s="68"/>
      <c r="E86" s="68"/>
      <c r="F86" s="68"/>
      <c r="G86" s="68"/>
      <c r="H86" s="67"/>
      <c r="I86" s="68"/>
      <c r="J86" s="68"/>
      <c r="K86" s="68"/>
      <c r="L86" s="67"/>
      <c r="M86" s="67"/>
      <c r="N86" s="67"/>
      <c r="O86" s="67"/>
      <c r="P86" s="67"/>
      <c r="Q86" s="134"/>
      <c r="R86" s="134"/>
      <c r="S86" s="67"/>
      <c r="T86" s="67"/>
      <c r="U86" s="67"/>
      <c r="V86" s="67"/>
      <c r="W86" s="71"/>
      <c r="X86" s="73"/>
      <c r="Y86" s="73"/>
      <c r="Z86" s="73"/>
    </row>
    <row r="87" spans="1:26" ht="16.899999999999999" customHeight="1" x14ac:dyDescent="0.2">
      <c r="A87" s="67"/>
      <c r="B87" s="67"/>
      <c r="C87" s="67"/>
      <c r="D87" s="68"/>
      <c r="E87" s="68"/>
      <c r="F87" s="68"/>
      <c r="G87" s="68"/>
      <c r="H87" s="67"/>
      <c r="I87" s="68"/>
      <c r="J87" s="68"/>
      <c r="K87" s="68"/>
      <c r="L87" s="67"/>
      <c r="M87" s="67"/>
      <c r="N87" s="67"/>
      <c r="O87" s="67"/>
      <c r="P87" s="67"/>
      <c r="Q87" s="134"/>
      <c r="R87" s="134"/>
      <c r="S87" s="67"/>
      <c r="T87" s="67"/>
      <c r="U87" s="67"/>
      <c r="V87" s="67"/>
      <c r="W87" s="74"/>
      <c r="X87" s="73"/>
      <c r="Y87" s="73"/>
      <c r="Z87" s="73"/>
    </row>
    <row r="88" spans="1:26" ht="16.899999999999999" customHeight="1" x14ac:dyDescent="0.2">
      <c r="A88" s="67"/>
      <c r="B88" s="67"/>
      <c r="C88" s="67"/>
      <c r="D88" s="68"/>
      <c r="E88" s="68"/>
      <c r="F88" s="68"/>
      <c r="G88" s="68"/>
      <c r="H88" s="67"/>
      <c r="I88" s="68"/>
      <c r="J88" s="68"/>
      <c r="K88" s="68"/>
      <c r="L88" s="67"/>
      <c r="M88" s="67"/>
      <c r="N88" s="67"/>
      <c r="O88" s="67"/>
      <c r="P88" s="67"/>
      <c r="Q88" s="134"/>
      <c r="R88" s="134"/>
      <c r="S88" s="67"/>
      <c r="T88" s="67"/>
      <c r="U88" s="67"/>
      <c r="V88" s="67"/>
      <c r="W88" s="74"/>
      <c r="X88" s="73"/>
      <c r="Y88" s="73"/>
      <c r="Z88" s="73"/>
    </row>
    <row r="89" spans="1:26" ht="16.899999999999999" customHeight="1" x14ac:dyDescent="0.2">
      <c r="A89" s="67"/>
      <c r="B89" s="67"/>
      <c r="C89" s="67"/>
      <c r="D89" s="68"/>
      <c r="E89" s="68"/>
      <c r="F89" s="68"/>
      <c r="G89" s="68"/>
      <c r="H89" s="67"/>
      <c r="I89" s="68"/>
      <c r="J89" s="68"/>
      <c r="K89" s="68"/>
      <c r="L89" s="67"/>
      <c r="M89" s="67"/>
      <c r="N89" s="67"/>
      <c r="O89" s="67"/>
      <c r="P89" s="67"/>
      <c r="Q89" s="134"/>
      <c r="R89" s="134"/>
      <c r="S89" s="67"/>
      <c r="T89" s="67"/>
      <c r="U89" s="67"/>
      <c r="V89" s="67"/>
      <c r="W89" s="74"/>
      <c r="X89" s="73"/>
      <c r="Y89" s="73"/>
      <c r="Z89" s="73"/>
    </row>
    <row r="90" spans="1:26" ht="16.899999999999999" customHeight="1" x14ac:dyDescent="0.2">
      <c r="A90" s="67"/>
      <c r="B90" s="67"/>
      <c r="C90" s="67"/>
      <c r="D90" s="68"/>
      <c r="E90" s="68"/>
      <c r="F90" s="68"/>
      <c r="G90" s="68"/>
      <c r="H90" s="67"/>
      <c r="I90" s="68"/>
      <c r="J90" s="68"/>
      <c r="K90" s="68"/>
      <c r="L90" s="67"/>
      <c r="M90" s="67"/>
      <c r="N90" s="67"/>
      <c r="O90" s="67"/>
      <c r="P90" s="67"/>
      <c r="Q90" s="134"/>
      <c r="R90" s="134"/>
      <c r="S90" s="67"/>
      <c r="T90" s="67"/>
      <c r="U90" s="67"/>
      <c r="V90" s="67"/>
      <c r="W90" s="74"/>
      <c r="X90" s="73"/>
      <c r="Y90" s="73"/>
      <c r="Z90" s="73"/>
    </row>
    <row r="91" spans="1:26" ht="16.899999999999999" customHeight="1" x14ac:dyDescent="0.2">
      <c r="A91" s="67"/>
      <c r="B91" s="67"/>
      <c r="C91" s="67"/>
      <c r="D91" s="68"/>
      <c r="E91" s="68"/>
      <c r="F91" s="68"/>
      <c r="G91" s="68"/>
      <c r="H91" s="67"/>
      <c r="I91" s="68"/>
      <c r="J91" s="68"/>
      <c r="K91" s="68"/>
      <c r="L91" s="67"/>
      <c r="M91" s="67"/>
      <c r="N91" s="67"/>
      <c r="O91" s="67"/>
      <c r="P91" s="67"/>
      <c r="Q91" s="134"/>
      <c r="R91" s="134"/>
      <c r="S91" s="67"/>
      <c r="T91" s="67"/>
      <c r="U91" s="67"/>
      <c r="V91" s="67"/>
      <c r="W91" s="74"/>
      <c r="X91" s="73"/>
      <c r="Y91" s="73"/>
      <c r="Z91" s="73"/>
    </row>
    <row r="92" spans="1:26" ht="16.899999999999999" customHeight="1" x14ac:dyDescent="0.2">
      <c r="A92" s="67"/>
      <c r="B92" s="67"/>
      <c r="C92" s="67"/>
      <c r="D92" s="68"/>
      <c r="E92" s="68"/>
      <c r="F92" s="68"/>
      <c r="G92" s="68"/>
      <c r="H92" s="67"/>
      <c r="I92" s="68"/>
      <c r="J92" s="68"/>
      <c r="K92" s="68"/>
      <c r="L92" s="67"/>
      <c r="M92" s="67"/>
      <c r="N92" s="67"/>
      <c r="O92" s="67"/>
      <c r="P92" s="67"/>
      <c r="Q92" s="134"/>
      <c r="R92" s="134"/>
      <c r="S92" s="67"/>
      <c r="T92" s="67"/>
      <c r="U92" s="67"/>
      <c r="V92" s="67"/>
      <c r="W92" s="74"/>
      <c r="X92" s="73"/>
      <c r="Y92" s="73"/>
      <c r="Z92" s="73"/>
    </row>
    <row r="93" spans="1:26" ht="16.899999999999999" customHeight="1" x14ac:dyDescent="0.2">
      <c r="A93" s="67"/>
      <c r="B93" s="67"/>
      <c r="C93" s="67"/>
      <c r="D93" s="68"/>
      <c r="E93" s="68"/>
      <c r="F93" s="68"/>
      <c r="G93" s="68"/>
      <c r="H93" s="67"/>
      <c r="I93" s="68"/>
      <c r="J93" s="68"/>
      <c r="K93" s="68"/>
      <c r="L93" s="67"/>
      <c r="M93" s="67"/>
      <c r="N93" s="67"/>
      <c r="O93" s="67"/>
      <c r="P93" s="67"/>
      <c r="Q93" s="134"/>
      <c r="R93" s="134"/>
      <c r="S93" s="67"/>
      <c r="T93" s="67"/>
      <c r="U93" s="67"/>
      <c r="V93" s="67"/>
      <c r="W93" s="74"/>
      <c r="X93" s="73"/>
      <c r="Y93" s="73"/>
      <c r="Z93" s="73"/>
    </row>
    <row r="94" spans="1:26" ht="16.899999999999999" customHeight="1" x14ac:dyDescent="0.2">
      <c r="A94" s="67"/>
      <c r="B94" s="67"/>
      <c r="C94" s="67"/>
      <c r="D94" s="68"/>
      <c r="E94" s="68"/>
      <c r="F94" s="68"/>
      <c r="G94" s="68"/>
      <c r="H94" s="67"/>
      <c r="I94" s="68"/>
      <c r="J94" s="68"/>
      <c r="K94" s="68"/>
      <c r="L94" s="67"/>
      <c r="M94" s="67"/>
      <c r="N94" s="67"/>
      <c r="O94" s="67"/>
      <c r="P94" s="67"/>
      <c r="Q94" s="134"/>
      <c r="R94" s="134"/>
      <c r="S94" s="67"/>
      <c r="T94" s="67"/>
      <c r="U94" s="67"/>
      <c r="V94" s="67"/>
      <c r="W94" s="74"/>
      <c r="X94" s="73"/>
      <c r="Y94" s="73"/>
      <c r="Z94" s="73"/>
    </row>
    <row r="95" spans="1:26" ht="16.899999999999999" customHeight="1" x14ac:dyDescent="0.2">
      <c r="A95" s="67"/>
      <c r="B95" s="67"/>
      <c r="C95" s="67"/>
      <c r="D95" s="68"/>
      <c r="E95" s="68"/>
      <c r="F95" s="68"/>
      <c r="G95" s="68"/>
      <c r="H95" s="67"/>
      <c r="I95" s="68"/>
      <c r="J95" s="68"/>
      <c r="K95" s="68"/>
      <c r="L95" s="67"/>
      <c r="M95" s="67"/>
      <c r="N95" s="67"/>
      <c r="O95" s="67"/>
      <c r="P95" s="67"/>
      <c r="Q95" s="134"/>
      <c r="R95" s="134"/>
      <c r="S95" s="67"/>
      <c r="T95" s="67"/>
      <c r="U95" s="67"/>
      <c r="V95" s="67"/>
      <c r="W95" s="74"/>
      <c r="X95" s="73"/>
      <c r="Y95" s="73"/>
      <c r="Z95" s="73"/>
    </row>
    <row r="96" spans="1:26" ht="16.899999999999999" customHeight="1" x14ac:dyDescent="0.2">
      <c r="A96" s="67"/>
      <c r="B96" s="67"/>
      <c r="C96" s="67"/>
      <c r="D96" s="68"/>
      <c r="E96" s="68"/>
      <c r="F96" s="68"/>
      <c r="G96" s="68"/>
      <c r="H96" s="67"/>
      <c r="I96" s="68"/>
      <c r="J96" s="68"/>
      <c r="K96" s="68"/>
      <c r="L96" s="67"/>
      <c r="M96" s="67"/>
      <c r="N96" s="67"/>
      <c r="O96" s="67"/>
      <c r="P96" s="67"/>
      <c r="Q96" s="134"/>
      <c r="R96" s="134"/>
      <c r="S96" s="67"/>
      <c r="T96" s="67"/>
      <c r="U96" s="67"/>
      <c r="V96" s="67"/>
      <c r="W96" s="74"/>
      <c r="X96" s="73"/>
      <c r="Y96" s="73"/>
      <c r="Z96" s="73"/>
    </row>
    <row r="97" spans="1:26" ht="16.899999999999999" customHeight="1" x14ac:dyDescent="0.2">
      <c r="A97" s="67"/>
      <c r="B97" s="67"/>
      <c r="C97" s="67"/>
      <c r="D97" s="68"/>
      <c r="E97" s="68"/>
      <c r="F97" s="68"/>
      <c r="G97" s="68"/>
      <c r="H97" s="67"/>
      <c r="I97" s="68"/>
      <c r="J97" s="68"/>
      <c r="K97" s="68"/>
      <c r="L97" s="67"/>
      <c r="M97" s="67"/>
      <c r="N97" s="67"/>
      <c r="O97" s="67"/>
      <c r="P97" s="67"/>
      <c r="Q97" s="134"/>
      <c r="R97" s="134"/>
      <c r="S97" s="67"/>
      <c r="T97" s="67"/>
      <c r="U97" s="67"/>
      <c r="V97" s="67"/>
      <c r="W97" s="74"/>
      <c r="X97" s="73"/>
      <c r="Y97" s="73"/>
      <c r="Z97" s="73"/>
    </row>
    <row r="98" spans="1:26" ht="16.899999999999999" customHeight="1" x14ac:dyDescent="0.2">
      <c r="A98" s="67"/>
      <c r="B98" s="67"/>
      <c r="C98" s="67"/>
      <c r="D98" s="68"/>
      <c r="E98" s="68"/>
      <c r="F98" s="68"/>
      <c r="G98" s="68"/>
      <c r="H98" s="67"/>
      <c r="I98" s="68"/>
      <c r="J98" s="68"/>
      <c r="K98" s="68"/>
      <c r="L98" s="67"/>
      <c r="M98" s="67"/>
      <c r="N98" s="67"/>
      <c r="O98" s="67"/>
      <c r="P98" s="67"/>
      <c r="Q98" s="134"/>
      <c r="R98" s="134"/>
      <c r="S98" s="67"/>
      <c r="T98" s="67"/>
      <c r="U98" s="67"/>
      <c r="V98" s="67"/>
      <c r="W98" s="74"/>
      <c r="X98" s="73"/>
      <c r="Y98" s="73"/>
      <c r="Z98" s="73"/>
    </row>
    <row r="99" spans="1:26" ht="16.899999999999999" customHeight="1" x14ac:dyDescent="0.2">
      <c r="A99" s="67"/>
      <c r="B99" s="67"/>
      <c r="C99" s="67"/>
      <c r="D99" s="68"/>
      <c r="E99" s="68"/>
      <c r="F99" s="68"/>
      <c r="G99" s="68"/>
      <c r="H99" s="67"/>
      <c r="I99" s="68"/>
      <c r="J99" s="68"/>
      <c r="K99" s="68"/>
      <c r="L99" s="67"/>
      <c r="M99" s="67"/>
      <c r="N99" s="67"/>
      <c r="O99" s="67"/>
      <c r="P99" s="67"/>
      <c r="Q99" s="134"/>
      <c r="R99" s="134"/>
      <c r="S99" s="67"/>
      <c r="T99" s="67"/>
      <c r="U99" s="67"/>
      <c r="V99" s="67"/>
      <c r="W99" s="74"/>
      <c r="X99" s="73"/>
      <c r="Y99" s="73"/>
      <c r="Z99" s="73"/>
    </row>
    <row r="100" spans="1:26" ht="16.899999999999999" customHeight="1" x14ac:dyDescent="0.2">
      <c r="A100" s="67"/>
      <c r="B100" s="67"/>
      <c r="C100" s="67"/>
      <c r="D100" s="68"/>
      <c r="E100" s="68"/>
      <c r="F100" s="68"/>
      <c r="G100" s="68"/>
      <c r="H100" s="67"/>
      <c r="I100" s="68"/>
      <c r="J100" s="68"/>
      <c r="K100" s="68"/>
      <c r="L100" s="67"/>
      <c r="M100" s="67"/>
      <c r="N100" s="67"/>
      <c r="O100" s="67"/>
      <c r="P100" s="67"/>
      <c r="Q100" s="134"/>
      <c r="R100" s="134"/>
      <c r="S100" s="67"/>
      <c r="T100" s="67"/>
      <c r="U100" s="67"/>
      <c r="V100" s="67"/>
      <c r="W100" s="74"/>
      <c r="X100" s="73"/>
      <c r="Y100" s="73"/>
      <c r="Z100" s="73"/>
    </row>
    <row r="101" spans="1:26" ht="16.899999999999999" customHeight="1" x14ac:dyDescent="0.2">
      <c r="A101" s="67"/>
      <c r="B101" s="67"/>
      <c r="C101" s="67"/>
      <c r="D101" s="68"/>
      <c r="E101" s="68"/>
      <c r="F101" s="68"/>
      <c r="G101" s="68"/>
      <c r="H101" s="67"/>
      <c r="I101" s="68"/>
      <c r="J101" s="68"/>
      <c r="K101" s="68"/>
      <c r="L101" s="67"/>
      <c r="M101" s="67"/>
      <c r="N101" s="67"/>
      <c r="O101" s="67"/>
      <c r="P101" s="67"/>
      <c r="Q101" s="134"/>
      <c r="R101" s="134"/>
      <c r="S101" s="67"/>
      <c r="T101" s="67"/>
      <c r="U101" s="67"/>
      <c r="V101" s="67"/>
      <c r="W101" s="74"/>
      <c r="X101" s="73"/>
      <c r="Y101" s="73"/>
      <c r="Z101" s="73"/>
    </row>
    <row r="102" spans="1:26" ht="16.899999999999999" customHeight="1" x14ac:dyDescent="0.2">
      <c r="A102" s="67"/>
      <c r="B102" s="67"/>
      <c r="C102" s="67"/>
      <c r="D102" s="68"/>
      <c r="E102" s="68"/>
      <c r="F102" s="68"/>
      <c r="G102" s="68"/>
      <c r="H102" s="67"/>
      <c r="I102" s="68"/>
      <c r="J102" s="68"/>
      <c r="K102" s="68"/>
      <c r="L102" s="67"/>
      <c r="M102" s="67"/>
      <c r="N102" s="67"/>
      <c r="O102" s="67"/>
      <c r="P102" s="67"/>
      <c r="Q102" s="134"/>
      <c r="R102" s="134"/>
      <c r="S102" s="67"/>
      <c r="T102" s="67"/>
      <c r="U102" s="67"/>
      <c r="V102" s="67"/>
      <c r="W102" s="74"/>
      <c r="X102" s="73"/>
      <c r="Y102" s="73"/>
      <c r="Z102" s="73"/>
    </row>
    <row r="103" spans="1:26" ht="16.899999999999999" customHeight="1" x14ac:dyDescent="0.2">
      <c r="A103" s="67"/>
      <c r="B103" s="67"/>
      <c r="C103" s="67"/>
      <c r="D103" s="68"/>
      <c r="E103" s="68"/>
      <c r="F103" s="68"/>
      <c r="G103" s="68"/>
      <c r="H103" s="67"/>
      <c r="I103" s="68"/>
      <c r="J103" s="68"/>
      <c r="K103" s="68"/>
      <c r="L103" s="67"/>
      <c r="M103" s="67"/>
      <c r="N103" s="67"/>
      <c r="O103" s="67"/>
      <c r="P103" s="67"/>
      <c r="Q103" s="134"/>
      <c r="R103" s="134"/>
      <c r="S103" s="67"/>
      <c r="T103" s="67"/>
      <c r="U103" s="67"/>
      <c r="V103" s="67"/>
      <c r="W103" s="74"/>
      <c r="X103" s="73"/>
      <c r="Y103" s="73"/>
      <c r="Z103" s="73"/>
    </row>
    <row r="104" spans="1:26" ht="16.899999999999999" customHeight="1" x14ac:dyDescent="0.2">
      <c r="A104" s="67"/>
      <c r="B104" s="67"/>
      <c r="C104" s="67"/>
      <c r="D104" s="68"/>
      <c r="E104" s="68"/>
      <c r="F104" s="68"/>
      <c r="G104" s="68"/>
      <c r="H104" s="67"/>
      <c r="I104" s="68"/>
      <c r="J104" s="68"/>
      <c r="K104" s="68"/>
      <c r="L104" s="67"/>
      <c r="M104" s="67"/>
      <c r="N104" s="67"/>
      <c r="O104" s="67"/>
      <c r="P104" s="67"/>
      <c r="Q104" s="134"/>
      <c r="R104" s="134"/>
      <c r="S104" s="67"/>
      <c r="T104" s="67"/>
      <c r="U104" s="67"/>
      <c r="V104" s="67"/>
      <c r="W104" s="74"/>
      <c r="X104" s="73"/>
      <c r="Y104" s="73"/>
      <c r="Z104" s="73"/>
    </row>
    <row r="105" spans="1:26" ht="16.899999999999999" customHeight="1" x14ac:dyDescent="0.2">
      <c r="A105" s="67"/>
      <c r="B105" s="67"/>
      <c r="C105" s="67"/>
      <c r="D105" s="68"/>
      <c r="E105" s="68"/>
      <c r="F105" s="68"/>
      <c r="G105" s="68"/>
      <c r="H105" s="67"/>
      <c r="I105" s="68"/>
      <c r="J105" s="68"/>
      <c r="K105" s="68"/>
      <c r="L105" s="67"/>
      <c r="M105" s="67"/>
      <c r="N105" s="67"/>
      <c r="O105" s="67"/>
      <c r="P105" s="67"/>
      <c r="Q105" s="134"/>
      <c r="R105" s="134"/>
      <c r="S105" s="67"/>
      <c r="T105" s="67"/>
      <c r="U105" s="67"/>
      <c r="V105" s="67"/>
      <c r="W105" s="74"/>
      <c r="X105" s="73"/>
      <c r="Y105" s="73"/>
      <c r="Z105" s="73"/>
    </row>
    <row r="106" spans="1:26" ht="16.899999999999999" customHeight="1" x14ac:dyDescent="0.2">
      <c r="A106" s="67"/>
      <c r="B106" s="67"/>
      <c r="C106" s="67"/>
      <c r="D106" s="68"/>
      <c r="E106" s="68"/>
      <c r="F106" s="68"/>
      <c r="G106" s="68"/>
      <c r="H106" s="67"/>
      <c r="I106" s="68"/>
      <c r="J106" s="68"/>
      <c r="K106" s="68"/>
      <c r="L106" s="67"/>
      <c r="M106" s="67"/>
      <c r="N106" s="67"/>
      <c r="O106" s="67"/>
      <c r="P106" s="67"/>
      <c r="Q106" s="134"/>
      <c r="R106" s="134"/>
      <c r="S106" s="67"/>
      <c r="T106" s="67"/>
      <c r="U106" s="67"/>
      <c r="V106" s="67"/>
      <c r="W106" s="71"/>
      <c r="X106" s="73"/>
      <c r="Y106" s="73"/>
      <c r="Z106" s="73"/>
    </row>
    <row r="107" spans="1:26" ht="16.899999999999999" customHeight="1" x14ac:dyDescent="0.2">
      <c r="A107" s="67"/>
      <c r="B107" s="67"/>
      <c r="C107" s="67"/>
      <c r="D107" s="68"/>
      <c r="E107" s="68"/>
      <c r="F107" s="68"/>
      <c r="G107" s="68"/>
      <c r="H107" s="67"/>
      <c r="I107" s="68"/>
      <c r="J107" s="68"/>
      <c r="K107" s="68"/>
      <c r="L107" s="67"/>
      <c r="M107" s="67"/>
      <c r="N107" s="67"/>
      <c r="O107" s="67"/>
      <c r="P107" s="67"/>
      <c r="Q107" s="134"/>
      <c r="R107" s="134"/>
      <c r="S107" s="67"/>
      <c r="T107" s="67"/>
      <c r="U107" s="67"/>
      <c r="V107" s="67"/>
      <c r="W107" s="71"/>
      <c r="X107" s="73"/>
      <c r="Y107" s="73"/>
      <c r="Z107" s="73"/>
    </row>
    <row r="108" spans="1:26" ht="16.899999999999999" customHeight="1" x14ac:dyDescent="0.2">
      <c r="A108" s="67"/>
      <c r="B108" s="67"/>
      <c r="C108" s="67"/>
      <c r="D108" s="68"/>
      <c r="E108" s="68"/>
      <c r="F108" s="68"/>
      <c r="G108" s="68"/>
      <c r="H108" s="67"/>
      <c r="I108" s="68"/>
      <c r="J108" s="68"/>
      <c r="K108" s="68"/>
      <c r="L108" s="67"/>
      <c r="M108" s="67"/>
      <c r="N108" s="67"/>
      <c r="O108" s="67"/>
      <c r="P108" s="67"/>
      <c r="Q108" s="134"/>
      <c r="R108" s="134"/>
      <c r="S108" s="67"/>
      <c r="T108" s="67"/>
      <c r="U108" s="67"/>
      <c r="V108" s="67"/>
      <c r="W108" s="71"/>
      <c r="X108" s="73"/>
      <c r="Y108" s="73"/>
      <c r="Z108" s="73"/>
    </row>
    <row r="109" spans="1:26" ht="16.899999999999999" customHeight="1" x14ac:dyDescent="0.2">
      <c r="A109" s="67"/>
      <c r="B109" s="67"/>
      <c r="C109" s="67"/>
      <c r="D109" s="68"/>
      <c r="E109" s="68"/>
      <c r="F109" s="68"/>
      <c r="G109" s="68"/>
      <c r="H109" s="67"/>
      <c r="I109" s="68"/>
      <c r="J109" s="68"/>
      <c r="K109" s="68"/>
      <c r="L109" s="67"/>
      <c r="M109" s="67"/>
      <c r="N109" s="67"/>
      <c r="O109" s="67"/>
      <c r="P109" s="67"/>
      <c r="Q109" s="134"/>
      <c r="R109" s="134"/>
      <c r="S109" s="67"/>
      <c r="T109" s="67"/>
      <c r="U109" s="67"/>
      <c r="V109" s="67"/>
      <c r="W109" s="71"/>
      <c r="X109" s="73"/>
      <c r="Y109" s="73"/>
      <c r="Z109" s="73"/>
    </row>
    <row r="110" spans="1:26" ht="16.899999999999999" customHeight="1" x14ac:dyDescent="0.2">
      <c r="A110" s="67"/>
      <c r="B110" s="67"/>
      <c r="C110" s="67"/>
      <c r="D110" s="68"/>
      <c r="E110" s="68"/>
      <c r="F110" s="68"/>
      <c r="G110" s="68"/>
      <c r="H110" s="67"/>
      <c r="I110" s="68"/>
      <c r="J110" s="68"/>
      <c r="K110" s="68"/>
      <c r="L110" s="67"/>
      <c r="M110" s="67"/>
      <c r="N110" s="67"/>
      <c r="O110" s="67"/>
      <c r="P110" s="67"/>
      <c r="Q110" s="134"/>
      <c r="R110" s="134"/>
      <c r="S110" s="67"/>
      <c r="T110" s="67"/>
      <c r="U110" s="67"/>
      <c r="V110" s="67"/>
      <c r="W110" s="71"/>
      <c r="X110" s="73"/>
      <c r="Y110" s="73"/>
      <c r="Z110" s="73"/>
    </row>
    <row r="111" spans="1:26" ht="16.899999999999999" customHeight="1" x14ac:dyDescent="0.2">
      <c r="A111" s="67"/>
      <c r="B111" s="67"/>
      <c r="C111" s="67"/>
      <c r="D111" s="68"/>
      <c r="E111" s="68"/>
      <c r="F111" s="68"/>
      <c r="G111" s="68"/>
      <c r="H111" s="67"/>
      <c r="I111" s="68"/>
      <c r="J111" s="68"/>
      <c r="K111" s="68"/>
      <c r="L111" s="67"/>
      <c r="M111" s="67"/>
      <c r="N111" s="67"/>
      <c r="O111" s="67"/>
      <c r="P111" s="67"/>
      <c r="Q111" s="134"/>
      <c r="R111" s="134"/>
      <c r="S111" s="67"/>
      <c r="T111" s="67"/>
      <c r="U111" s="67"/>
      <c r="V111" s="67"/>
      <c r="W111" s="71"/>
      <c r="X111" s="73"/>
      <c r="Y111" s="73"/>
      <c r="Z111" s="73"/>
    </row>
    <row r="112" spans="1:26" ht="16.899999999999999" customHeight="1" x14ac:dyDescent="0.2">
      <c r="A112" s="67"/>
      <c r="B112" s="67"/>
      <c r="C112" s="67"/>
      <c r="D112" s="68"/>
      <c r="E112" s="68"/>
      <c r="F112" s="68"/>
      <c r="G112" s="68"/>
      <c r="H112" s="67"/>
      <c r="I112" s="68"/>
      <c r="J112" s="68"/>
      <c r="K112" s="68"/>
      <c r="L112" s="67"/>
      <c r="M112" s="67"/>
      <c r="N112" s="67"/>
      <c r="O112" s="67"/>
      <c r="P112" s="67"/>
      <c r="Q112" s="134"/>
      <c r="R112" s="134"/>
      <c r="S112" s="67"/>
      <c r="T112" s="67"/>
      <c r="U112" s="67"/>
      <c r="V112" s="67"/>
      <c r="W112" s="71"/>
      <c r="X112" s="73"/>
      <c r="Y112" s="73"/>
      <c r="Z112" s="73"/>
    </row>
    <row r="113" spans="1:26" ht="16.899999999999999" customHeight="1" x14ac:dyDescent="0.2">
      <c r="A113" s="67"/>
      <c r="B113" s="67"/>
      <c r="C113" s="67"/>
      <c r="D113" s="68"/>
      <c r="E113" s="68"/>
      <c r="F113" s="68"/>
      <c r="G113" s="68"/>
      <c r="H113" s="67"/>
      <c r="I113" s="68"/>
      <c r="J113" s="68"/>
      <c r="K113" s="68"/>
      <c r="L113" s="67"/>
      <c r="M113" s="67"/>
      <c r="N113" s="67"/>
      <c r="O113" s="67"/>
      <c r="P113" s="67"/>
      <c r="Q113" s="134"/>
      <c r="R113" s="134"/>
      <c r="S113" s="67"/>
      <c r="T113" s="67"/>
      <c r="U113" s="67"/>
      <c r="V113" s="67"/>
      <c r="W113" s="73"/>
      <c r="X113" s="73"/>
      <c r="Y113" s="73"/>
      <c r="Z113" s="73"/>
    </row>
    <row r="114" spans="1:26" ht="16.899999999999999" customHeight="1" x14ac:dyDescent="0.2">
      <c r="A114" s="67"/>
      <c r="B114" s="67"/>
      <c r="C114" s="67"/>
      <c r="D114" s="68"/>
      <c r="E114" s="68"/>
      <c r="F114" s="68"/>
      <c r="G114" s="68"/>
      <c r="H114" s="67"/>
      <c r="I114" s="68"/>
      <c r="J114" s="68"/>
      <c r="K114" s="68"/>
      <c r="L114" s="67"/>
      <c r="M114" s="67"/>
      <c r="N114" s="67"/>
      <c r="O114" s="67"/>
      <c r="P114" s="67"/>
      <c r="Q114" s="134"/>
      <c r="R114" s="134"/>
      <c r="S114" s="67"/>
      <c r="T114" s="67"/>
      <c r="U114" s="67"/>
      <c r="V114" s="67"/>
      <c r="W114" s="73"/>
      <c r="X114" s="73"/>
      <c r="Y114" s="73"/>
      <c r="Z114" s="73"/>
    </row>
    <row r="115" spans="1:26" ht="16.899999999999999" customHeight="1" x14ac:dyDescent="0.2">
      <c r="A115" s="67"/>
      <c r="B115" s="67"/>
      <c r="C115" s="67"/>
      <c r="D115" s="68"/>
      <c r="E115" s="68"/>
      <c r="F115" s="68"/>
      <c r="G115" s="68"/>
      <c r="H115" s="67"/>
      <c r="I115" s="68"/>
      <c r="J115" s="68"/>
      <c r="K115" s="68"/>
      <c r="L115" s="67"/>
      <c r="M115" s="67"/>
      <c r="N115" s="67"/>
      <c r="O115" s="67"/>
      <c r="P115" s="67"/>
      <c r="Q115" s="134"/>
      <c r="R115" s="134"/>
      <c r="S115" s="67"/>
      <c r="T115" s="67"/>
      <c r="U115" s="67"/>
      <c r="V115" s="67"/>
    </row>
    <row r="116" spans="1:26" ht="16.899999999999999" customHeight="1" x14ac:dyDescent="0.2">
      <c r="A116" s="67"/>
      <c r="B116" s="67"/>
      <c r="C116" s="67"/>
      <c r="D116" s="68"/>
      <c r="E116" s="68"/>
      <c r="F116" s="68"/>
      <c r="G116" s="68"/>
      <c r="H116" s="67"/>
      <c r="I116" s="68"/>
      <c r="J116" s="68"/>
      <c r="K116" s="68"/>
      <c r="L116" s="67"/>
      <c r="M116" s="67"/>
      <c r="N116" s="67"/>
      <c r="O116" s="67"/>
      <c r="P116" s="67"/>
      <c r="Q116" s="134"/>
      <c r="R116" s="134"/>
      <c r="S116" s="67"/>
      <c r="T116" s="67"/>
      <c r="U116" s="67"/>
      <c r="V116" s="67"/>
    </row>
    <row r="117" spans="1:26" ht="16.899999999999999" customHeight="1" x14ac:dyDescent="0.2">
      <c r="A117" s="67"/>
      <c r="B117" s="67"/>
      <c r="C117" s="67"/>
      <c r="D117" s="68"/>
      <c r="E117" s="68"/>
      <c r="F117" s="68"/>
      <c r="G117" s="68"/>
      <c r="H117" s="67"/>
      <c r="I117" s="68"/>
      <c r="J117" s="68"/>
      <c r="K117" s="68"/>
      <c r="L117" s="67"/>
      <c r="M117" s="67"/>
      <c r="N117" s="67"/>
      <c r="O117" s="67"/>
      <c r="P117" s="67"/>
      <c r="Q117" s="134"/>
      <c r="R117" s="134"/>
      <c r="S117" s="67"/>
      <c r="T117" s="67"/>
      <c r="U117" s="67"/>
      <c r="V117" s="67"/>
    </row>
    <row r="118" spans="1:26" ht="16.899999999999999" customHeight="1" x14ac:dyDescent="0.2">
      <c r="A118" s="67"/>
      <c r="B118" s="67"/>
      <c r="C118" s="67"/>
      <c r="D118" s="68"/>
      <c r="E118" s="68"/>
      <c r="F118" s="68"/>
      <c r="G118" s="68"/>
      <c r="H118" s="67"/>
      <c r="I118" s="68"/>
      <c r="J118" s="68"/>
      <c r="K118" s="68"/>
      <c r="L118" s="67"/>
      <c r="M118" s="67"/>
      <c r="N118" s="67"/>
      <c r="O118" s="67"/>
      <c r="P118" s="67"/>
      <c r="Q118" s="134"/>
      <c r="R118" s="134"/>
      <c r="S118" s="67"/>
      <c r="T118" s="67"/>
      <c r="U118" s="67"/>
      <c r="V118" s="67"/>
    </row>
    <row r="119" spans="1:26" ht="16.899999999999999" customHeight="1" x14ac:dyDescent="0.2">
      <c r="A119" s="67"/>
      <c r="B119" s="67"/>
      <c r="C119" s="67"/>
      <c r="D119" s="68"/>
      <c r="E119" s="68"/>
      <c r="F119" s="68"/>
      <c r="G119" s="68"/>
      <c r="H119" s="67"/>
      <c r="I119" s="68"/>
      <c r="J119" s="68"/>
      <c r="K119" s="68"/>
      <c r="L119" s="67"/>
      <c r="M119" s="67"/>
      <c r="N119" s="67"/>
      <c r="O119" s="67"/>
      <c r="P119" s="67"/>
      <c r="Q119" s="134"/>
      <c r="R119" s="134"/>
      <c r="S119" s="67"/>
      <c r="T119" s="67"/>
      <c r="U119" s="67"/>
      <c r="V119" s="67"/>
    </row>
    <row r="120" spans="1:26" ht="16.899999999999999" customHeight="1" x14ac:dyDescent="0.2">
      <c r="A120" s="67"/>
      <c r="B120" s="67"/>
      <c r="C120" s="67"/>
      <c r="D120" s="68"/>
      <c r="E120" s="68"/>
      <c r="F120" s="68"/>
      <c r="G120" s="68"/>
      <c r="H120" s="67"/>
      <c r="I120" s="68"/>
      <c r="J120" s="68"/>
      <c r="K120" s="68"/>
      <c r="L120" s="67"/>
      <c r="M120" s="67"/>
      <c r="N120" s="67"/>
      <c r="O120" s="67"/>
      <c r="P120" s="67"/>
      <c r="Q120" s="134"/>
      <c r="R120" s="134"/>
      <c r="S120" s="67"/>
      <c r="T120" s="67"/>
      <c r="U120" s="67"/>
      <c r="V120" s="67"/>
    </row>
    <row r="121" spans="1:26" ht="16.899999999999999" customHeight="1" x14ac:dyDescent="0.2">
      <c r="A121" s="67"/>
      <c r="B121" s="67"/>
      <c r="C121" s="67"/>
      <c r="D121" s="68"/>
      <c r="E121" s="68"/>
      <c r="F121" s="68"/>
      <c r="G121" s="68"/>
      <c r="H121" s="67"/>
      <c r="I121" s="68"/>
      <c r="J121" s="68"/>
      <c r="K121" s="68"/>
      <c r="L121" s="67"/>
      <c r="M121" s="67"/>
      <c r="N121" s="67"/>
      <c r="O121" s="67"/>
      <c r="P121" s="67"/>
      <c r="Q121" s="134"/>
      <c r="R121" s="134"/>
      <c r="S121" s="67"/>
      <c r="T121" s="67"/>
      <c r="U121" s="67"/>
      <c r="V121" s="67"/>
    </row>
    <row r="122" spans="1:26" ht="16.899999999999999" customHeight="1" x14ac:dyDescent="0.2">
      <c r="A122" s="67"/>
      <c r="B122" s="67"/>
      <c r="C122" s="67"/>
      <c r="D122" s="68"/>
      <c r="E122" s="68"/>
      <c r="F122" s="68"/>
      <c r="G122" s="68"/>
      <c r="H122" s="67"/>
      <c r="I122" s="68"/>
      <c r="J122" s="68"/>
      <c r="K122" s="68"/>
      <c r="L122" s="67"/>
      <c r="M122" s="67"/>
      <c r="N122" s="67"/>
      <c r="O122" s="67"/>
      <c r="P122" s="67"/>
      <c r="Q122" s="134"/>
      <c r="R122" s="134"/>
      <c r="S122" s="67"/>
      <c r="T122" s="67"/>
      <c r="U122" s="67"/>
      <c r="V122" s="67"/>
    </row>
    <row r="123" spans="1:26" ht="16.899999999999999" customHeight="1" x14ac:dyDescent="0.2">
      <c r="A123" s="67"/>
      <c r="B123" s="67"/>
      <c r="C123" s="67"/>
      <c r="D123" s="68"/>
      <c r="E123" s="68"/>
      <c r="F123" s="68"/>
      <c r="G123" s="68"/>
      <c r="H123" s="67"/>
      <c r="I123" s="68"/>
      <c r="J123" s="68"/>
      <c r="K123" s="68"/>
      <c r="L123" s="67"/>
      <c r="M123" s="67"/>
      <c r="N123" s="67"/>
      <c r="O123" s="67"/>
      <c r="P123" s="67"/>
      <c r="Q123" s="134"/>
      <c r="R123" s="134"/>
      <c r="S123" s="67"/>
      <c r="T123" s="67"/>
      <c r="U123" s="67"/>
      <c r="V123" s="67"/>
    </row>
    <row r="124" spans="1:26" ht="16.899999999999999" customHeight="1" x14ac:dyDescent="0.2">
      <c r="A124" s="67"/>
      <c r="B124" s="67"/>
      <c r="C124" s="67"/>
      <c r="D124" s="68"/>
      <c r="E124" s="68"/>
      <c r="F124" s="68"/>
      <c r="G124" s="68"/>
      <c r="H124" s="67"/>
      <c r="I124" s="68"/>
      <c r="J124" s="68"/>
      <c r="K124" s="68"/>
      <c r="L124" s="67"/>
      <c r="M124" s="67"/>
      <c r="N124" s="67"/>
      <c r="O124" s="67"/>
      <c r="P124" s="67"/>
      <c r="Q124" s="134"/>
      <c r="R124" s="134"/>
      <c r="S124" s="67"/>
      <c r="T124" s="67"/>
      <c r="U124" s="67"/>
      <c r="V124" s="67"/>
    </row>
    <row r="125" spans="1:26" ht="16.899999999999999" customHeight="1" x14ac:dyDescent="0.2">
      <c r="A125" s="67"/>
      <c r="B125" s="67"/>
      <c r="C125" s="67"/>
      <c r="D125" s="68"/>
      <c r="E125" s="68"/>
      <c r="F125" s="68"/>
      <c r="G125" s="68"/>
      <c r="H125" s="67"/>
      <c r="I125" s="68"/>
      <c r="J125" s="68"/>
      <c r="K125" s="68"/>
      <c r="L125" s="67"/>
      <c r="M125" s="67"/>
      <c r="N125" s="67"/>
      <c r="O125" s="67"/>
      <c r="P125" s="67"/>
      <c r="Q125" s="134"/>
      <c r="R125" s="134"/>
      <c r="S125" s="67"/>
      <c r="T125" s="67"/>
      <c r="U125" s="67"/>
      <c r="V125" s="67"/>
    </row>
    <row r="126" spans="1:26" ht="16.899999999999999" customHeight="1" x14ac:dyDescent="0.2">
      <c r="A126" s="67"/>
      <c r="B126" s="67"/>
      <c r="C126" s="67"/>
      <c r="D126" s="68"/>
      <c r="E126" s="68"/>
      <c r="F126" s="68"/>
      <c r="G126" s="68"/>
      <c r="H126" s="67"/>
      <c r="I126" s="68"/>
      <c r="J126" s="68"/>
      <c r="K126" s="68"/>
      <c r="L126" s="67"/>
      <c r="M126" s="67"/>
      <c r="N126" s="67"/>
      <c r="O126" s="67"/>
      <c r="P126" s="67"/>
      <c r="Q126" s="134"/>
      <c r="R126" s="134"/>
      <c r="S126" s="67"/>
      <c r="T126" s="67"/>
      <c r="U126" s="67"/>
      <c r="V126" s="67"/>
    </row>
    <row r="127" spans="1:26" ht="16.899999999999999" customHeight="1" x14ac:dyDescent="0.2">
      <c r="A127" s="67"/>
      <c r="B127" s="67"/>
      <c r="C127" s="67"/>
      <c r="D127" s="68"/>
      <c r="E127" s="68"/>
      <c r="F127" s="68"/>
      <c r="G127" s="68"/>
      <c r="H127" s="67"/>
      <c r="I127" s="68"/>
      <c r="J127" s="68"/>
      <c r="K127" s="68"/>
      <c r="L127" s="67"/>
      <c r="M127" s="67"/>
      <c r="N127" s="67"/>
      <c r="O127" s="67"/>
      <c r="P127" s="67"/>
      <c r="Q127" s="134"/>
      <c r="R127" s="134"/>
      <c r="S127" s="67"/>
      <c r="T127" s="67"/>
      <c r="U127" s="67"/>
      <c r="V127" s="67"/>
    </row>
    <row r="128" spans="1:26" ht="16.899999999999999" customHeight="1" x14ac:dyDescent="0.2">
      <c r="A128" s="67"/>
      <c r="B128" s="67"/>
      <c r="C128" s="67"/>
      <c r="D128" s="68"/>
      <c r="E128" s="68"/>
      <c r="F128" s="68"/>
      <c r="G128" s="68"/>
      <c r="H128" s="67"/>
      <c r="I128" s="68"/>
      <c r="J128" s="68"/>
      <c r="K128" s="68"/>
      <c r="L128" s="67"/>
      <c r="M128" s="67"/>
      <c r="N128" s="67"/>
      <c r="O128" s="67"/>
      <c r="P128" s="67"/>
      <c r="Q128" s="134"/>
      <c r="R128" s="134"/>
      <c r="S128" s="67"/>
      <c r="T128" s="67"/>
      <c r="U128" s="67"/>
      <c r="V128" s="67"/>
    </row>
    <row r="129" spans="1:22" ht="16.899999999999999" customHeight="1" x14ac:dyDescent="0.2">
      <c r="A129" s="67"/>
      <c r="B129" s="67"/>
      <c r="C129" s="67"/>
      <c r="D129" s="68"/>
      <c r="E129" s="68"/>
      <c r="F129" s="68"/>
      <c r="G129" s="68"/>
      <c r="H129" s="67"/>
      <c r="I129" s="68"/>
      <c r="J129" s="68"/>
      <c r="K129" s="68"/>
      <c r="L129" s="67"/>
      <c r="M129" s="67"/>
      <c r="N129" s="67"/>
      <c r="O129" s="67"/>
      <c r="P129" s="67"/>
      <c r="Q129" s="134"/>
      <c r="R129" s="134"/>
      <c r="S129" s="67"/>
      <c r="T129" s="67"/>
      <c r="U129" s="67"/>
      <c r="V129" s="67"/>
    </row>
    <row r="130" spans="1:22" ht="16.899999999999999" customHeight="1" x14ac:dyDescent="0.2">
      <c r="A130" s="67"/>
      <c r="B130" s="67"/>
      <c r="C130" s="67"/>
      <c r="D130" s="68"/>
      <c r="E130" s="68"/>
      <c r="F130" s="68"/>
      <c r="G130" s="68"/>
      <c r="H130" s="67"/>
      <c r="I130" s="68"/>
      <c r="J130" s="68"/>
      <c r="K130" s="68"/>
      <c r="L130" s="67"/>
      <c r="M130" s="67"/>
      <c r="N130" s="67"/>
      <c r="O130" s="67"/>
      <c r="P130" s="67"/>
      <c r="Q130" s="134"/>
      <c r="R130" s="134"/>
      <c r="S130" s="67"/>
      <c r="T130" s="67"/>
      <c r="U130" s="67"/>
      <c r="V130" s="67"/>
    </row>
    <row r="131" spans="1:22" ht="16.899999999999999" customHeight="1" x14ac:dyDescent="0.2">
      <c r="A131" s="67"/>
      <c r="B131" s="67"/>
      <c r="C131" s="67"/>
      <c r="D131" s="68"/>
      <c r="E131" s="68"/>
      <c r="F131" s="68"/>
      <c r="G131" s="68"/>
      <c r="H131" s="67"/>
      <c r="I131" s="68"/>
      <c r="J131" s="68"/>
      <c r="K131" s="68"/>
      <c r="L131" s="67"/>
      <c r="M131" s="67"/>
      <c r="N131" s="67"/>
      <c r="O131" s="67"/>
      <c r="P131" s="67"/>
      <c r="Q131" s="134"/>
      <c r="R131" s="134"/>
      <c r="S131" s="67"/>
      <c r="T131" s="67"/>
      <c r="U131" s="67"/>
      <c r="V131" s="67"/>
    </row>
    <row r="132" spans="1:22" ht="16.899999999999999" customHeight="1" x14ac:dyDescent="0.2">
      <c r="A132" s="67"/>
      <c r="B132" s="67"/>
      <c r="C132" s="67"/>
      <c r="D132" s="68"/>
      <c r="E132" s="68"/>
      <c r="F132" s="68"/>
      <c r="G132" s="68"/>
      <c r="H132" s="67"/>
      <c r="I132" s="68"/>
      <c r="J132" s="68"/>
      <c r="K132" s="68"/>
      <c r="L132" s="67"/>
      <c r="M132" s="67"/>
      <c r="N132" s="67"/>
      <c r="O132" s="67"/>
      <c r="P132" s="67"/>
      <c r="Q132" s="134"/>
      <c r="R132" s="134"/>
      <c r="S132" s="67"/>
      <c r="T132" s="67"/>
      <c r="U132" s="67"/>
      <c r="V132" s="67"/>
    </row>
    <row r="133" spans="1:22" ht="16.899999999999999" customHeight="1" x14ac:dyDescent="0.2">
      <c r="A133" s="67"/>
      <c r="B133" s="67"/>
      <c r="C133" s="67"/>
      <c r="D133" s="68"/>
      <c r="E133" s="68"/>
      <c r="F133" s="68"/>
      <c r="G133" s="68"/>
      <c r="H133" s="67"/>
      <c r="I133" s="68"/>
      <c r="J133" s="68"/>
      <c r="K133" s="68"/>
      <c r="L133" s="67"/>
      <c r="M133" s="67"/>
      <c r="N133" s="67"/>
      <c r="O133" s="67"/>
      <c r="P133" s="67"/>
      <c r="Q133" s="134"/>
      <c r="R133" s="134"/>
      <c r="S133" s="67"/>
      <c r="T133" s="67"/>
      <c r="U133" s="67"/>
      <c r="V133" s="67"/>
    </row>
    <row r="134" spans="1:22" ht="16.899999999999999" customHeight="1" x14ac:dyDescent="0.2">
      <c r="A134" s="67"/>
      <c r="B134" s="67"/>
      <c r="C134" s="67"/>
      <c r="D134" s="68"/>
      <c r="E134" s="68"/>
      <c r="F134" s="68"/>
      <c r="G134" s="68"/>
      <c r="H134" s="67"/>
      <c r="I134" s="68"/>
      <c r="J134" s="68"/>
      <c r="K134" s="68"/>
      <c r="L134" s="67"/>
      <c r="M134" s="67"/>
      <c r="N134" s="67"/>
      <c r="O134" s="67"/>
      <c r="P134" s="67"/>
      <c r="Q134" s="134"/>
      <c r="R134" s="134"/>
      <c r="S134" s="67"/>
      <c r="T134" s="67"/>
      <c r="U134" s="67"/>
      <c r="V134" s="67"/>
    </row>
    <row r="135" spans="1:22" ht="16.899999999999999" customHeight="1" x14ac:dyDescent="0.2">
      <c r="A135" s="67"/>
      <c r="B135" s="67"/>
      <c r="C135" s="67"/>
      <c r="D135" s="68"/>
      <c r="E135" s="68"/>
      <c r="F135" s="68"/>
      <c r="G135" s="68"/>
      <c r="H135" s="67"/>
      <c r="I135" s="68"/>
      <c r="J135" s="68"/>
      <c r="K135" s="68"/>
      <c r="L135" s="67"/>
      <c r="M135" s="67"/>
      <c r="N135" s="67"/>
      <c r="O135" s="67"/>
      <c r="P135" s="67"/>
      <c r="Q135" s="134"/>
      <c r="R135" s="134"/>
      <c r="S135" s="67"/>
      <c r="T135" s="67"/>
      <c r="U135" s="67"/>
      <c r="V135" s="67"/>
    </row>
    <row r="136" spans="1:22" ht="16.899999999999999" customHeight="1" x14ac:dyDescent="0.2">
      <c r="A136" s="67"/>
      <c r="B136" s="67"/>
      <c r="C136" s="67"/>
      <c r="D136" s="68"/>
      <c r="E136" s="68"/>
      <c r="F136" s="68"/>
      <c r="G136" s="68"/>
      <c r="H136" s="67"/>
      <c r="I136" s="68"/>
      <c r="J136" s="68"/>
      <c r="K136" s="68"/>
      <c r="L136" s="67"/>
      <c r="M136" s="67"/>
      <c r="N136" s="67"/>
      <c r="O136" s="67"/>
      <c r="P136" s="67"/>
      <c r="Q136" s="134"/>
      <c r="R136" s="134"/>
      <c r="S136" s="67"/>
      <c r="T136" s="67"/>
      <c r="U136" s="67"/>
      <c r="V136" s="67"/>
    </row>
    <row r="137" spans="1:22" ht="16.899999999999999" customHeight="1" x14ac:dyDescent="0.2">
      <c r="A137" s="67"/>
      <c r="B137" s="67"/>
      <c r="C137" s="67"/>
      <c r="D137" s="68"/>
      <c r="E137" s="68"/>
      <c r="F137" s="68"/>
      <c r="G137" s="68"/>
      <c r="H137" s="67"/>
      <c r="I137" s="68"/>
      <c r="J137" s="68"/>
      <c r="K137" s="68"/>
      <c r="L137" s="67"/>
      <c r="M137" s="67"/>
      <c r="N137" s="67"/>
      <c r="O137" s="67"/>
      <c r="P137" s="67"/>
      <c r="Q137" s="134"/>
      <c r="R137" s="134"/>
      <c r="S137" s="67"/>
      <c r="T137" s="67"/>
      <c r="U137" s="67"/>
      <c r="V137" s="67"/>
    </row>
    <row r="138" spans="1:22" ht="16.899999999999999" customHeight="1" x14ac:dyDescent="0.2">
      <c r="A138" s="67"/>
      <c r="B138" s="67"/>
      <c r="C138" s="67"/>
      <c r="D138" s="68"/>
      <c r="E138" s="68"/>
      <c r="F138" s="68"/>
      <c r="G138" s="68"/>
      <c r="H138" s="67"/>
      <c r="I138" s="68"/>
      <c r="J138" s="68"/>
      <c r="K138" s="68"/>
      <c r="L138" s="67"/>
      <c r="M138" s="67"/>
      <c r="N138" s="67"/>
      <c r="O138" s="67"/>
      <c r="P138" s="67"/>
      <c r="Q138" s="134"/>
      <c r="R138" s="134"/>
      <c r="S138" s="67"/>
      <c r="T138" s="67"/>
      <c r="U138" s="67"/>
      <c r="V138" s="67"/>
    </row>
    <row r="139" spans="1:22" ht="16.899999999999999" customHeight="1" x14ac:dyDescent="0.2">
      <c r="A139" s="67"/>
      <c r="B139" s="67"/>
      <c r="C139" s="67"/>
      <c r="D139" s="68"/>
      <c r="E139" s="68"/>
      <c r="F139" s="68"/>
      <c r="G139" s="68"/>
      <c r="H139" s="67"/>
      <c r="I139" s="68"/>
      <c r="J139" s="68"/>
      <c r="K139" s="68"/>
      <c r="L139" s="67"/>
      <c r="M139" s="67"/>
      <c r="N139" s="67"/>
      <c r="O139" s="67"/>
      <c r="P139" s="67"/>
      <c r="Q139" s="134"/>
      <c r="R139" s="134"/>
      <c r="S139" s="67"/>
      <c r="T139" s="67"/>
      <c r="U139" s="67"/>
      <c r="V139" s="67"/>
    </row>
    <row r="140" spans="1:22" ht="16.899999999999999" customHeight="1" x14ac:dyDescent="0.2">
      <c r="A140" s="67"/>
      <c r="B140" s="67"/>
      <c r="C140" s="67"/>
      <c r="D140" s="68"/>
      <c r="E140" s="68"/>
      <c r="F140" s="68"/>
      <c r="G140" s="68"/>
      <c r="H140" s="67"/>
      <c r="I140" s="68"/>
      <c r="J140" s="68"/>
      <c r="K140" s="68"/>
      <c r="L140" s="67"/>
      <c r="M140" s="67"/>
      <c r="N140" s="67"/>
      <c r="O140" s="67"/>
      <c r="P140" s="67"/>
      <c r="Q140" s="134"/>
      <c r="R140" s="134"/>
      <c r="S140" s="67"/>
      <c r="T140" s="67"/>
      <c r="U140" s="67"/>
      <c r="V140" s="67"/>
    </row>
    <row r="141" spans="1:22" ht="16.899999999999999" customHeight="1" x14ac:dyDescent="0.2">
      <c r="A141" s="67"/>
      <c r="B141" s="67"/>
      <c r="C141" s="67"/>
      <c r="D141" s="68"/>
      <c r="E141" s="68"/>
      <c r="F141" s="68"/>
      <c r="G141" s="68"/>
      <c r="H141" s="67"/>
      <c r="I141" s="68"/>
      <c r="J141" s="68"/>
      <c r="K141" s="68"/>
      <c r="L141" s="67"/>
      <c r="M141" s="67"/>
      <c r="N141" s="67"/>
      <c r="O141" s="67"/>
      <c r="P141" s="67"/>
      <c r="Q141" s="134"/>
      <c r="R141" s="134"/>
      <c r="S141" s="67"/>
      <c r="T141" s="67"/>
      <c r="U141" s="67"/>
      <c r="V141" s="67"/>
    </row>
    <row r="142" spans="1:22" ht="16.899999999999999" customHeight="1" x14ac:dyDescent="0.2">
      <c r="A142" s="67"/>
      <c r="B142" s="67"/>
      <c r="C142" s="67"/>
      <c r="D142" s="68"/>
      <c r="E142" s="68"/>
      <c r="F142" s="68"/>
      <c r="G142" s="68"/>
      <c r="H142" s="67"/>
      <c r="I142" s="68"/>
      <c r="J142" s="68"/>
      <c r="K142" s="68"/>
      <c r="L142" s="67"/>
      <c r="M142" s="67"/>
      <c r="N142" s="67"/>
      <c r="O142" s="67"/>
      <c r="P142" s="67"/>
      <c r="Q142" s="134"/>
      <c r="R142" s="134"/>
      <c r="S142" s="67"/>
      <c r="T142" s="67"/>
      <c r="U142" s="67"/>
      <c r="V142" s="67"/>
    </row>
    <row r="143" spans="1:22" ht="16.899999999999999" customHeight="1" x14ac:dyDescent="0.2">
      <c r="A143" s="67"/>
      <c r="B143" s="67"/>
      <c r="C143" s="67"/>
      <c r="D143" s="68"/>
      <c r="E143" s="68"/>
      <c r="F143" s="68"/>
      <c r="G143" s="68"/>
      <c r="H143" s="67"/>
      <c r="I143" s="68"/>
      <c r="J143" s="68"/>
      <c r="K143" s="68"/>
      <c r="L143" s="67"/>
      <c r="M143" s="67"/>
      <c r="N143" s="67"/>
      <c r="O143" s="67"/>
      <c r="P143" s="67"/>
      <c r="Q143" s="134"/>
      <c r="R143" s="134"/>
      <c r="S143" s="67"/>
      <c r="T143" s="67"/>
      <c r="U143" s="67"/>
      <c r="V143" s="67"/>
    </row>
    <row r="144" spans="1:22" ht="16.899999999999999" customHeight="1" x14ac:dyDescent="0.2">
      <c r="A144" s="67"/>
      <c r="B144" s="67"/>
      <c r="C144" s="67"/>
      <c r="D144" s="68"/>
      <c r="E144" s="68"/>
      <c r="F144" s="68"/>
      <c r="G144" s="68"/>
      <c r="H144" s="67"/>
      <c r="I144" s="68"/>
      <c r="J144" s="68"/>
      <c r="K144" s="68"/>
      <c r="L144" s="67"/>
      <c r="M144" s="67"/>
      <c r="N144" s="67"/>
      <c r="O144" s="67"/>
      <c r="P144" s="67"/>
      <c r="Q144" s="134"/>
      <c r="R144" s="134"/>
      <c r="S144" s="67"/>
      <c r="T144" s="67"/>
      <c r="U144" s="67"/>
      <c r="V144" s="67"/>
    </row>
    <row r="145" spans="1:22" ht="16.899999999999999" customHeight="1" x14ac:dyDescent="0.2">
      <c r="A145" s="67"/>
      <c r="B145" s="67"/>
      <c r="C145" s="67"/>
      <c r="D145" s="68"/>
      <c r="E145" s="68"/>
      <c r="F145" s="68"/>
      <c r="G145" s="68"/>
      <c r="H145" s="67"/>
      <c r="I145" s="68"/>
      <c r="J145" s="68"/>
      <c r="K145" s="68"/>
      <c r="L145" s="67"/>
      <c r="M145" s="67"/>
      <c r="N145" s="67"/>
      <c r="O145" s="67"/>
      <c r="P145" s="67"/>
      <c r="Q145" s="134"/>
      <c r="R145" s="134"/>
      <c r="S145" s="67"/>
      <c r="T145" s="67"/>
      <c r="U145" s="67"/>
      <c r="V145" s="67"/>
    </row>
    <row r="146" spans="1:22" ht="16.899999999999999" customHeight="1" x14ac:dyDescent="0.2">
      <c r="A146" s="67"/>
      <c r="B146" s="67"/>
      <c r="C146" s="67"/>
      <c r="D146" s="68"/>
      <c r="E146" s="68"/>
      <c r="F146" s="68"/>
      <c r="G146" s="68"/>
      <c r="H146" s="67"/>
      <c r="I146" s="68"/>
      <c r="J146" s="68"/>
      <c r="K146" s="68"/>
      <c r="L146" s="67"/>
      <c r="M146" s="67"/>
      <c r="N146" s="67"/>
      <c r="O146" s="67"/>
      <c r="P146" s="67"/>
      <c r="Q146" s="134"/>
      <c r="R146" s="134"/>
      <c r="S146" s="67"/>
      <c r="T146" s="67"/>
      <c r="U146" s="67"/>
      <c r="V146" s="67"/>
    </row>
    <row r="147" spans="1:22" ht="16.899999999999999" customHeight="1" x14ac:dyDescent="0.2">
      <c r="A147" s="67"/>
      <c r="B147" s="67"/>
      <c r="C147" s="67"/>
      <c r="D147" s="68"/>
      <c r="E147" s="68"/>
      <c r="F147" s="68"/>
      <c r="G147" s="68"/>
      <c r="H147" s="67"/>
      <c r="I147" s="68"/>
      <c r="J147" s="68"/>
      <c r="K147" s="68"/>
      <c r="L147" s="67"/>
      <c r="M147" s="67"/>
      <c r="N147" s="67"/>
      <c r="O147" s="67"/>
      <c r="P147" s="67"/>
      <c r="Q147" s="134"/>
      <c r="R147" s="134"/>
      <c r="S147" s="67"/>
      <c r="T147" s="67"/>
      <c r="U147" s="67"/>
      <c r="V147" s="67"/>
    </row>
    <row r="148" spans="1:22" ht="16.899999999999999" customHeight="1" x14ac:dyDescent="0.2">
      <c r="A148" s="67"/>
      <c r="B148" s="67"/>
      <c r="C148" s="67"/>
      <c r="D148" s="68"/>
      <c r="E148" s="68"/>
      <c r="F148" s="68"/>
      <c r="G148" s="68"/>
      <c r="H148" s="67"/>
      <c r="I148" s="68"/>
      <c r="J148" s="68"/>
      <c r="K148" s="68"/>
      <c r="L148" s="67"/>
      <c r="M148" s="67"/>
      <c r="N148" s="67"/>
      <c r="O148" s="67"/>
      <c r="P148" s="67"/>
      <c r="Q148" s="134"/>
      <c r="R148" s="134"/>
      <c r="S148" s="67"/>
      <c r="T148" s="67"/>
      <c r="U148" s="67"/>
      <c r="V148" s="67"/>
    </row>
    <row r="149" spans="1:22" ht="16.899999999999999" customHeight="1" x14ac:dyDescent="0.2">
      <c r="A149" s="67"/>
      <c r="B149" s="67"/>
      <c r="C149" s="67"/>
      <c r="D149" s="68"/>
      <c r="E149" s="68"/>
      <c r="F149" s="68"/>
      <c r="G149" s="68"/>
      <c r="H149" s="67"/>
      <c r="I149" s="68"/>
      <c r="J149" s="68"/>
      <c r="K149" s="68"/>
      <c r="L149" s="67"/>
      <c r="M149" s="67"/>
      <c r="N149" s="67"/>
      <c r="O149" s="67"/>
      <c r="P149" s="67"/>
      <c r="Q149" s="134"/>
      <c r="R149" s="134"/>
      <c r="S149" s="67"/>
      <c r="T149" s="67"/>
      <c r="U149" s="67"/>
      <c r="V149" s="67"/>
    </row>
    <row r="150" spans="1:22" ht="16.899999999999999" customHeight="1" x14ac:dyDescent="0.2">
      <c r="A150" s="67"/>
      <c r="B150" s="67"/>
      <c r="C150" s="67"/>
      <c r="D150" s="68"/>
      <c r="E150" s="68"/>
      <c r="F150" s="68"/>
      <c r="G150" s="68"/>
      <c r="H150" s="67"/>
      <c r="I150" s="68"/>
      <c r="J150" s="68"/>
      <c r="K150" s="68"/>
      <c r="L150" s="67"/>
      <c r="M150" s="67"/>
      <c r="N150" s="67"/>
      <c r="O150" s="67"/>
      <c r="P150" s="67"/>
      <c r="Q150" s="134"/>
      <c r="R150" s="134"/>
      <c r="S150" s="67"/>
      <c r="T150" s="67"/>
      <c r="U150" s="67"/>
      <c r="V150" s="67"/>
    </row>
    <row r="151" spans="1:22" ht="16.899999999999999" customHeight="1" x14ac:dyDescent="0.2">
      <c r="A151" s="67"/>
      <c r="B151" s="67"/>
      <c r="C151" s="67"/>
      <c r="D151" s="68"/>
      <c r="E151" s="68"/>
      <c r="F151" s="68"/>
      <c r="G151" s="68"/>
      <c r="H151" s="67"/>
      <c r="I151" s="68"/>
      <c r="J151" s="68"/>
      <c r="K151" s="68"/>
      <c r="L151" s="67"/>
      <c r="M151" s="67"/>
      <c r="N151" s="67"/>
      <c r="O151" s="67"/>
      <c r="P151" s="67"/>
      <c r="Q151" s="134"/>
      <c r="R151" s="134"/>
      <c r="S151" s="67"/>
      <c r="T151" s="67"/>
      <c r="U151" s="67"/>
      <c r="V151" s="67"/>
    </row>
    <row r="152" spans="1:22" ht="16.899999999999999" customHeight="1" x14ac:dyDescent="0.2">
      <c r="A152" s="67"/>
      <c r="B152" s="67"/>
      <c r="C152" s="67"/>
      <c r="D152" s="68"/>
      <c r="E152" s="68"/>
      <c r="F152" s="68"/>
      <c r="G152" s="68"/>
      <c r="H152" s="67"/>
      <c r="I152" s="68"/>
      <c r="J152" s="68"/>
      <c r="K152" s="68"/>
      <c r="L152" s="67"/>
      <c r="M152" s="67"/>
      <c r="N152" s="67"/>
      <c r="O152" s="67"/>
      <c r="P152" s="67"/>
      <c r="Q152" s="134"/>
      <c r="R152" s="134"/>
      <c r="S152" s="67"/>
      <c r="T152" s="67"/>
      <c r="U152" s="67"/>
      <c r="V152" s="67"/>
    </row>
    <row r="153" spans="1:22" ht="16.899999999999999" customHeight="1" x14ac:dyDescent="0.2">
      <c r="A153" s="67"/>
      <c r="B153" s="67"/>
      <c r="C153" s="67"/>
      <c r="D153" s="68"/>
      <c r="E153" s="68"/>
      <c r="F153" s="68"/>
      <c r="G153" s="68"/>
      <c r="H153" s="67"/>
      <c r="I153" s="68"/>
      <c r="J153" s="68"/>
      <c r="K153" s="68"/>
      <c r="L153" s="67"/>
      <c r="M153" s="67"/>
      <c r="N153" s="67"/>
      <c r="O153" s="67"/>
      <c r="P153" s="67"/>
      <c r="Q153" s="134"/>
      <c r="R153" s="134"/>
      <c r="S153" s="67"/>
      <c r="T153" s="67"/>
      <c r="U153" s="67"/>
      <c r="V153" s="67"/>
    </row>
    <row r="154" spans="1:22" ht="16.899999999999999" customHeight="1" x14ac:dyDescent="0.2">
      <c r="A154" s="67"/>
      <c r="B154" s="67"/>
      <c r="C154" s="67"/>
      <c r="D154" s="68"/>
      <c r="E154" s="68"/>
      <c r="F154" s="68"/>
      <c r="G154" s="68"/>
      <c r="H154" s="67"/>
      <c r="I154" s="68"/>
      <c r="J154" s="68"/>
      <c r="K154" s="68"/>
      <c r="L154" s="67"/>
      <c r="M154" s="67"/>
      <c r="N154" s="67"/>
      <c r="O154" s="67"/>
      <c r="P154" s="67"/>
      <c r="Q154" s="134"/>
      <c r="R154" s="134"/>
      <c r="S154" s="67"/>
      <c r="T154" s="67"/>
      <c r="U154" s="67"/>
      <c r="V154" s="67"/>
    </row>
    <row r="155" spans="1:22" ht="16.899999999999999" customHeight="1" x14ac:dyDescent="0.2">
      <c r="A155" s="67"/>
      <c r="B155" s="67"/>
      <c r="C155" s="67"/>
      <c r="D155" s="68"/>
      <c r="E155" s="68"/>
      <c r="F155" s="68"/>
      <c r="G155" s="68"/>
      <c r="H155" s="67"/>
      <c r="I155" s="68"/>
      <c r="J155" s="68"/>
      <c r="K155" s="68"/>
      <c r="L155" s="67"/>
      <c r="M155" s="67"/>
      <c r="N155" s="67"/>
      <c r="O155" s="67"/>
      <c r="P155" s="67"/>
      <c r="Q155" s="134"/>
      <c r="R155" s="134"/>
      <c r="S155" s="67"/>
      <c r="T155" s="67"/>
      <c r="U155" s="67"/>
      <c r="V155" s="67"/>
    </row>
    <row r="156" spans="1:22" ht="16.899999999999999" customHeight="1" x14ac:dyDescent="0.2">
      <c r="A156" s="67"/>
      <c r="B156" s="67"/>
      <c r="C156" s="67"/>
      <c r="D156" s="68"/>
      <c r="E156" s="68"/>
      <c r="F156" s="68"/>
      <c r="G156" s="68"/>
      <c r="H156" s="67"/>
      <c r="I156" s="68"/>
      <c r="J156" s="68"/>
      <c r="K156" s="68"/>
      <c r="L156" s="67"/>
      <c r="M156" s="67"/>
      <c r="N156" s="67"/>
      <c r="O156" s="67"/>
      <c r="P156" s="67"/>
      <c r="Q156" s="134"/>
      <c r="R156" s="134"/>
      <c r="S156" s="67"/>
      <c r="T156" s="67"/>
      <c r="U156" s="67"/>
      <c r="V156" s="67"/>
    </row>
    <row r="157" spans="1:22" ht="16.899999999999999" customHeight="1" x14ac:dyDescent="0.2">
      <c r="A157" s="67"/>
      <c r="B157" s="67"/>
      <c r="C157" s="67"/>
      <c r="D157" s="68"/>
      <c r="E157" s="68"/>
      <c r="F157" s="68"/>
      <c r="G157" s="68"/>
      <c r="H157" s="67"/>
      <c r="I157" s="68"/>
      <c r="J157" s="68"/>
      <c r="K157" s="68"/>
      <c r="L157" s="67"/>
      <c r="M157" s="67"/>
      <c r="N157" s="67"/>
      <c r="O157" s="67"/>
      <c r="P157" s="67"/>
      <c r="Q157" s="134"/>
      <c r="R157" s="134"/>
      <c r="S157" s="67"/>
      <c r="T157" s="67"/>
      <c r="U157" s="67"/>
      <c r="V157" s="67"/>
    </row>
    <row r="158" spans="1:22" ht="16.899999999999999" customHeight="1" x14ac:dyDescent="0.2">
      <c r="A158" s="67"/>
      <c r="B158" s="67"/>
      <c r="C158" s="67"/>
      <c r="D158" s="68"/>
      <c r="E158" s="68"/>
      <c r="F158" s="68"/>
      <c r="G158" s="68"/>
      <c r="H158" s="67"/>
      <c r="I158" s="68"/>
      <c r="J158" s="68"/>
      <c r="K158" s="68"/>
      <c r="L158" s="67"/>
      <c r="M158" s="67"/>
      <c r="N158" s="67"/>
      <c r="O158" s="67"/>
      <c r="P158" s="67"/>
      <c r="Q158" s="134"/>
      <c r="R158" s="134"/>
      <c r="S158" s="67"/>
      <c r="T158" s="67"/>
      <c r="U158" s="67"/>
      <c r="V158" s="67"/>
    </row>
    <row r="159" spans="1:22" ht="16.899999999999999" customHeight="1" x14ac:dyDescent="0.2">
      <c r="A159" s="67"/>
      <c r="B159" s="67"/>
      <c r="C159" s="67"/>
      <c r="D159" s="68"/>
      <c r="E159" s="68"/>
      <c r="F159" s="68"/>
      <c r="G159" s="68"/>
      <c r="H159" s="67"/>
      <c r="I159" s="68"/>
      <c r="J159" s="68"/>
      <c r="K159" s="68"/>
      <c r="L159" s="67"/>
      <c r="M159" s="67"/>
      <c r="N159" s="67"/>
      <c r="O159" s="67"/>
      <c r="P159" s="67"/>
      <c r="Q159" s="134"/>
      <c r="R159" s="134"/>
      <c r="S159" s="67"/>
      <c r="T159" s="67"/>
      <c r="U159" s="67"/>
      <c r="V159" s="67"/>
    </row>
    <row r="160" spans="1:22" ht="16.899999999999999" customHeight="1" x14ac:dyDescent="0.2">
      <c r="A160" s="67"/>
      <c r="B160" s="67"/>
      <c r="C160" s="67"/>
      <c r="D160" s="68"/>
      <c r="E160" s="68"/>
      <c r="F160" s="68"/>
      <c r="G160" s="68"/>
      <c r="H160" s="67"/>
      <c r="I160" s="68"/>
      <c r="J160" s="68"/>
      <c r="K160" s="68"/>
      <c r="L160" s="67"/>
      <c r="M160" s="67"/>
      <c r="N160" s="67"/>
      <c r="O160" s="67"/>
      <c r="P160" s="67"/>
      <c r="Q160" s="134"/>
      <c r="R160" s="134"/>
      <c r="S160" s="67"/>
      <c r="T160" s="67"/>
      <c r="U160" s="67"/>
      <c r="V160" s="67"/>
    </row>
    <row r="161" spans="1:22" ht="16.899999999999999" customHeight="1" x14ac:dyDescent="0.2">
      <c r="A161" s="67"/>
      <c r="B161" s="67"/>
      <c r="C161" s="67"/>
      <c r="D161" s="68"/>
      <c r="E161" s="68"/>
      <c r="F161" s="68"/>
      <c r="G161" s="68"/>
      <c r="H161" s="67"/>
      <c r="I161" s="68"/>
      <c r="J161" s="68"/>
      <c r="K161" s="68"/>
      <c r="L161" s="67"/>
      <c r="M161" s="67"/>
      <c r="N161" s="67"/>
      <c r="O161" s="67"/>
      <c r="P161" s="67"/>
      <c r="Q161" s="134"/>
      <c r="R161" s="134"/>
      <c r="S161" s="67"/>
      <c r="T161" s="67"/>
      <c r="U161" s="67"/>
      <c r="V161" s="67"/>
    </row>
    <row r="162" spans="1:22" ht="16.899999999999999" customHeight="1" x14ac:dyDescent="0.2">
      <c r="A162" s="67"/>
      <c r="B162" s="67"/>
      <c r="C162" s="67"/>
      <c r="D162" s="68"/>
      <c r="E162" s="68"/>
      <c r="F162" s="68"/>
      <c r="G162" s="68"/>
      <c r="H162" s="67"/>
      <c r="I162" s="68"/>
      <c r="J162" s="68"/>
      <c r="K162" s="68"/>
      <c r="L162" s="67"/>
      <c r="M162" s="67"/>
      <c r="N162" s="67"/>
      <c r="O162" s="67"/>
      <c r="P162" s="67"/>
      <c r="Q162" s="134"/>
      <c r="R162" s="134"/>
      <c r="S162" s="67"/>
      <c r="T162" s="67"/>
      <c r="U162" s="67"/>
      <c r="V162" s="67"/>
    </row>
    <row r="163" spans="1:22" ht="16.899999999999999" customHeight="1" x14ac:dyDescent="0.2">
      <c r="A163" s="67"/>
      <c r="B163" s="67"/>
      <c r="C163" s="67"/>
      <c r="D163" s="68"/>
      <c r="E163" s="68"/>
      <c r="F163" s="68"/>
      <c r="G163" s="68"/>
      <c r="H163" s="67"/>
      <c r="I163" s="68"/>
      <c r="J163" s="68"/>
      <c r="K163" s="68"/>
      <c r="L163" s="67"/>
      <c r="M163" s="67"/>
      <c r="N163" s="67"/>
      <c r="O163" s="67"/>
      <c r="P163" s="67"/>
      <c r="Q163" s="134"/>
      <c r="R163" s="134"/>
      <c r="S163" s="67"/>
      <c r="T163" s="67"/>
      <c r="U163" s="67"/>
      <c r="V163" s="67"/>
    </row>
    <row r="164" spans="1:22" ht="16.899999999999999" customHeight="1" x14ac:dyDescent="0.2">
      <c r="A164" s="67"/>
      <c r="B164" s="67"/>
      <c r="C164" s="67"/>
      <c r="D164" s="68"/>
      <c r="E164" s="68"/>
      <c r="F164" s="68"/>
      <c r="G164" s="68"/>
      <c r="H164" s="67"/>
      <c r="I164" s="68"/>
      <c r="J164" s="68"/>
      <c r="K164" s="68"/>
      <c r="L164" s="67"/>
      <c r="M164" s="67"/>
      <c r="N164" s="67"/>
      <c r="O164" s="67"/>
      <c r="P164" s="67"/>
      <c r="Q164" s="134"/>
      <c r="R164" s="134"/>
      <c r="S164" s="67"/>
      <c r="T164" s="67"/>
      <c r="U164" s="67"/>
      <c r="V164" s="67"/>
    </row>
    <row r="165" spans="1:22" ht="16.899999999999999" customHeight="1" x14ac:dyDescent="0.2">
      <c r="A165" s="67"/>
      <c r="B165" s="67"/>
      <c r="C165" s="67"/>
      <c r="D165" s="68"/>
      <c r="E165" s="68"/>
      <c r="F165" s="68"/>
      <c r="G165" s="68"/>
      <c r="H165" s="67"/>
      <c r="I165" s="68"/>
      <c r="J165" s="68"/>
      <c r="K165" s="68"/>
      <c r="L165" s="67"/>
      <c r="M165" s="67"/>
      <c r="N165" s="67"/>
      <c r="O165" s="67"/>
      <c r="P165" s="67"/>
      <c r="Q165" s="134"/>
      <c r="R165" s="134"/>
      <c r="S165" s="67"/>
      <c r="T165" s="67"/>
      <c r="U165" s="67"/>
      <c r="V165" s="67"/>
    </row>
    <row r="166" spans="1:22" ht="16.899999999999999" customHeight="1" x14ac:dyDescent="0.2">
      <c r="A166" s="67"/>
      <c r="B166" s="67"/>
      <c r="C166" s="67"/>
      <c r="D166" s="68"/>
      <c r="E166" s="68"/>
      <c r="F166" s="68"/>
      <c r="G166" s="68"/>
      <c r="H166" s="67"/>
      <c r="I166" s="68"/>
      <c r="J166" s="68"/>
      <c r="K166" s="68"/>
      <c r="L166" s="67"/>
      <c r="M166" s="67"/>
      <c r="N166" s="67"/>
      <c r="O166" s="67"/>
      <c r="P166" s="67"/>
      <c r="Q166" s="134"/>
      <c r="R166" s="134"/>
      <c r="S166" s="67"/>
      <c r="T166" s="67"/>
      <c r="U166" s="67"/>
      <c r="V166" s="67"/>
    </row>
    <row r="167" spans="1:22" ht="16.899999999999999" customHeight="1" x14ac:dyDescent="0.2">
      <c r="A167" s="67"/>
      <c r="B167" s="67"/>
      <c r="C167" s="67"/>
      <c r="D167" s="68"/>
      <c r="E167" s="68"/>
      <c r="F167" s="68"/>
      <c r="G167" s="68"/>
      <c r="H167" s="67"/>
      <c r="I167" s="68"/>
      <c r="J167" s="68"/>
      <c r="K167" s="68"/>
      <c r="L167" s="67"/>
      <c r="M167" s="67"/>
      <c r="N167" s="67"/>
      <c r="O167" s="67"/>
      <c r="P167" s="67"/>
      <c r="Q167" s="134"/>
      <c r="R167" s="134"/>
      <c r="S167" s="67"/>
      <c r="T167" s="67"/>
      <c r="U167" s="67"/>
      <c r="V167" s="67"/>
    </row>
    <row r="168" spans="1:22" ht="16.899999999999999" customHeight="1" x14ac:dyDescent="0.2">
      <c r="A168" s="67"/>
      <c r="B168" s="67"/>
      <c r="C168" s="67"/>
      <c r="D168" s="68"/>
      <c r="E168" s="68"/>
      <c r="F168" s="68"/>
      <c r="G168" s="68"/>
      <c r="H168" s="67"/>
      <c r="I168" s="68"/>
      <c r="J168" s="68"/>
      <c r="K168" s="68"/>
      <c r="L168" s="67"/>
      <c r="M168" s="67"/>
      <c r="N168" s="67"/>
      <c r="O168" s="67"/>
      <c r="P168" s="67"/>
      <c r="Q168" s="134"/>
      <c r="R168" s="134"/>
      <c r="S168" s="67"/>
      <c r="T168" s="67"/>
      <c r="U168" s="67"/>
      <c r="V168" s="67"/>
    </row>
    <row r="169" spans="1:22" ht="16.899999999999999" customHeight="1" x14ac:dyDescent="0.2">
      <c r="A169" s="67"/>
      <c r="B169" s="67"/>
      <c r="C169" s="67"/>
      <c r="D169" s="68"/>
      <c r="E169" s="68"/>
      <c r="F169" s="68"/>
      <c r="G169" s="68"/>
      <c r="H169" s="67"/>
      <c r="I169" s="68"/>
      <c r="J169" s="68"/>
      <c r="K169" s="68"/>
      <c r="L169" s="67"/>
      <c r="M169" s="67"/>
      <c r="N169" s="67"/>
      <c r="O169" s="67"/>
      <c r="P169" s="67"/>
      <c r="Q169" s="134"/>
      <c r="R169" s="134"/>
      <c r="S169" s="67"/>
      <c r="T169" s="67"/>
      <c r="U169" s="67"/>
      <c r="V169" s="67"/>
    </row>
    <row r="170" spans="1:22" ht="16.899999999999999" customHeight="1" x14ac:dyDescent="0.2">
      <c r="A170" s="67"/>
      <c r="B170" s="67"/>
      <c r="C170" s="67"/>
      <c r="D170" s="68"/>
      <c r="E170" s="68"/>
      <c r="F170" s="68"/>
      <c r="G170" s="68"/>
      <c r="H170" s="67"/>
      <c r="I170" s="68"/>
      <c r="J170" s="68"/>
      <c r="K170" s="68"/>
      <c r="L170" s="67"/>
      <c r="M170" s="67"/>
      <c r="N170" s="67"/>
      <c r="O170" s="67"/>
      <c r="P170" s="67"/>
      <c r="Q170" s="134"/>
      <c r="R170" s="134"/>
      <c r="S170" s="67"/>
      <c r="T170" s="67"/>
      <c r="U170" s="67"/>
      <c r="V170" s="67"/>
    </row>
    <row r="171" spans="1:22" ht="16.899999999999999" customHeight="1" x14ac:dyDescent="0.2">
      <c r="A171" s="67"/>
      <c r="B171" s="67"/>
      <c r="C171" s="67"/>
      <c r="D171" s="68"/>
      <c r="E171" s="68"/>
      <c r="F171" s="68"/>
      <c r="G171" s="68"/>
      <c r="H171" s="67"/>
      <c r="I171" s="68"/>
      <c r="J171" s="68"/>
      <c r="K171" s="68"/>
      <c r="L171" s="67"/>
      <c r="M171" s="67"/>
      <c r="N171" s="67"/>
      <c r="O171" s="67"/>
      <c r="P171" s="67"/>
      <c r="Q171" s="134"/>
      <c r="R171" s="134"/>
      <c r="S171" s="67"/>
      <c r="T171" s="67"/>
      <c r="U171" s="67"/>
      <c r="V171" s="67"/>
    </row>
    <row r="172" spans="1:22" ht="16.899999999999999" customHeight="1" x14ac:dyDescent="0.2">
      <c r="A172" s="67"/>
      <c r="B172" s="67"/>
      <c r="C172" s="67"/>
      <c r="D172" s="68"/>
      <c r="E172" s="68"/>
      <c r="F172" s="68"/>
      <c r="G172" s="68"/>
      <c r="H172" s="67"/>
      <c r="I172" s="68"/>
      <c r="J172" s="68"/>
      <c r="K172" s="68"/>
      <c r="L172" s="67"/>
      <c r="M172" s="67"/>
      <c r="N172" s="67"/>
      <c r="O172" s="67"/>
      <c r="P172" s="67"/>
      <c r="Q172" s="134"/>
      <c r="R172" s="134"/>
      <c r="S172" s="67"/>
      <c r="T172" s="67"/>
      <c r="U172" s="67"/>
      <c r="V172" s="67"/>
    </row>
    <row r="173" spans="1:22" ht="16.899999999999999" customHeight="1" x14ac:dyDescent="0.2">
      <c r="A173" s="67"/>
      <c r="B173" s="67"/>
      <c r="C173" s="67"/>
      <c r="D173" s="68"/>
      <c r="E173" s="68"/>
      <c r="F173" s="68"/>
      <c r="G173" s="68"/>
      <c r="H173" s="67"/>
      <c r="I173" s="68"/>
      <c r="J173" s="68"/>
      <c r="K173" s="68"/>
      <c r="L173" s="67"/>
      <c r="M173" s="67"/>
      <c r="N173" s="67"/>
      <c r="O173" s="67"/>
      <c r="P173" s="67"/>
      <c r="Q173" s="134"/>
      <c r="R173" s="134"/>
      <c r="S173" s="67"/>
      <c r="T173" s="67"/>
      <c r="U173" s="67"/>
      <c r="V173" s="67"/>
    </row>
    <row r="174" spans="1:22" ht="16.899999999999999" customHeight="1" x14ac:dyDescent="0.2">
      <c r="A174" s="67"/>
      <c r="B174" s="67"/>
      <c r="C174" s="67"/>
      <c r="D174" s="68"/>
      <c r="E174" s="68"/>
      <c r="F174" s="68"/>
      <c r="G174" s="68"/>
      <c r="H174" s="67"/>
      <c r="I174" s="68"/>
      <c r="J174" s="68"/>
      <c r="K174" s="68"/>
      <c r="L174" s="67"/>
      <c r="M174" s="67"/>
      <c r="N174" s="67"/>
      <c r="O174" s="67"/>
      <c r="P174" s="67"/>
      <c r="Q174" s="134"/>
      <c r="R174" s="134"/>
      <c r="S174" s="67"/>
      <c r="T174" s="67"/>
      <c r="U174" s="67"/>
      <c r="V174" s="67"/>
    </row>
    <row r="175" spans="1:22" ht="16.899999999999999" customHeight="1" x14ac:dyDescent="0.2">
      <c r="A175" s="67"/>
      <c r="B175" s="67"/>
      <c r="C175" s="67"/>
      <c r="D175" s="68"/>
      <c r="E175" s="68"/>
      <c r="F175" s="68"/>
      <c r="G175" s="68"/>
      <c r="H175" s="67"/>
      <c r="I175" s="68"/>
      <c r="J175" s="68"/>
      <c r="K175" s="68"/>
      <c r="L175" s="67"/>
      <c r="M175" s="67"/>
      <c r="N175" s="67"/>
      <c r="O175" s="67"/>
      <c r="P175" s="67"/>
      <c r="Q175" s="134"/>
      <c r="R175" s="134"/>
      <c r="S175" s="67"/>
      <c r="T175" s="67"/>
      <c r="U175" s="67"/>
      <c r="V175" s="67"/>
    </row>
    <row r="176" spans="1:22" ht="16.899999999999999" customHeight="1" x14ac:dyDescent="0.2">
      <c r="A176" s="67"/>
      <c r="B176" s="67"/>
      <c r="C176" s="67"/>
      <c r="D176" s="68"/>
      <c r="E176" s="68"/>
      <c r="F176" s="68"/>
      <c r="G176" s="68"/>
      <c r="H176" s="67"/>
      <c r="I176" s="68"/>
      <c r="J176" s="68"/>
      <c r="K176" s="68"/>
      <c r="L176" s="67"/>
      <c r="M176" s="67"/>
      <c r="N176" s="67"/>
      <c r="O176" s="67"/>
      <c r="P176" s="67"/>
      <c r="Q176" s="134"/>
      <c r="R176" s="134"/>
      <c r="S176" s="67"/>
      <c r="T176" s="67"/>
      <c r="U176" s="67"/>
      <c r="V176" s="67"/>
    </row>
    <row r="177" spans="1:22" ht="16.899999999999999" customHeight="1" x14ac:dyDescent="0.2">
      <c r="A177" s="67"/>
      <c r="B177" s="67"/>
      <c r="C177" s="67"/>
      <c r="D177" s="68"/>
      <c r="E177" s="68"/>
      <c r="F177" s="68"/>
      <c r="G177" s="68"/>
      <c r="H177" s="67"/>
      <c r="I177" s="68"/>
      <c r="J177" s="68"/>
      <c r="K177" s="68"/>
      <c r="L177" s="67"/>
      <c r="M177" s="67"/>
      <c r="N177" s="67"/>
      <c r="O177" s="67"/>
      <c r="P177" s="67"/>
      <c r="Q177" s="134"/>
      <c r="R177" s="134"/>
      <c r="S177" s="67"/>
      <c r="T177" s="67"/>
      <c r="U177" s="67"/>
      <c r="V177" s="67"/>
    </row>
    <row r="178" spans="1:22" ht="16.899999999999999" customHeight="1" x14ac:dyDescent="0.2">
      <c r="A178" s="67"/>
      <c r="B178" s="67"/>
      <c r="C178" s="67"/>
      <c r="D178" s="68"/>
      <c r="E178" s="68"/>
      <c r="F178" s="68"/>
      <c r="G178" s="68"/>
      <c r="H178" s="67"/>
      <c r="I178" s="68"/>
      <c r="J178" s="68"/>
      <c r="K178" s="68"/>
      <c r="L178" s="67"/>
      <c r="M178" s="67"/>
      <c r="N178" s="67"/>
      <c r="O178" s="67"/>
      <c r="P178" s="67"/>
      <c r="Q178" s="134"/>
      <c r="R178" s="134"/>
      <c r="S178" s="67"/>
      <c r="T178" s="67"/>
      <c r="U178" s="67"/>
      <c r="V178" s="67"/>
    </row>
    <row r="179" spans="1:22" ht="16.899999999999999" customHeight="1" x14ac:dyDescent="0.2">
      <c r="A179" s="67"/>
      <c r="B179" s="67"/>
      <c r="C179" s="67"/>
      <c r="D179" s="68"/>
      <c r="E179" s="68"/>
      <c r="F179" s="68"/>
      <c r="G179" s="68"/>
      <c r="H179" s="67"/>
      <c r="I179" s="68"/>
      <c r="J179" s="68"/>
      <c r="K179" s="68"/>
      <c r="L179" s="67"/>
      <c r="M179" s="67"/>
      <c r="N179" s="67"/>
      <c r="O179" s="67"/>
      <c r="P179" s="67"/>
      <c r="Q179" s="134"/>
      <c r="R179" s="134"/>
      <c r="S179" s="67"/>
      <c r="T179" s="67"/>
      <c r="U179" s="67"/>
      <c r="V179" s="67"/>
    </row>
    <row r="180" spans="1:22" ht="16.899999999999999" customHeight="1" x14ac:dyDescent="0.2">
      <c r="A180" s="67"/>
      <c r="B180" s="67"/>
      <c r="C180" s="67"/>
      <c r="D180" s="68"/>
      <c r="E180" s="68"/>
      <c r="F180" s="68"/>
      <c r="G180" s="68"/>
      <c r="H180" s="67"/>
      <c r="I180" s="68"/>
      <c r="J180" s="68"/>
      <c r="K180" s="68"/>
      <c r="L180" s="67"/>
      <c r="M180" s="67"/>
      <c r="N180" s="67"/>
      <c r="O180" s="67"/>
      <c r="P180" s="67"/>
      <c r="Q180" s="134"/>
      <c r="R180" s="134"/>
      <c r="S180" s="67"/>
      <c r="T180" s="67"/>
      <c r="U180" s="67"/>
      <c r="V180" s="67"/>
    </row>
    <row r="181" spans="1:22" ht="16.899999999999999" customHeight="1" x14ac:dyDescent="0.2">
      <c r="A181" s="67"/>
      <c r="B181" s="67"/>
      <c r="C181" s="67"/>
      <c r="D181" s="68"/>
      <c r="E181" s="68"/>
      <c r="F181" s="68"/>
      <c r="G181" s="68"/>
      <c r="H181" s="67"/>
      <c r="I181" s="68"/>
      <c r="J181" s="68"/>
      <c r="K181" s="68"/>
      <c r="L181" s="67"/>
      <c r="M181" s="67"/>
      <c r="N181" s="67"/>
      <c r="O181" s="67"/>
      <c r="P181" s="67"/>
      <c r="Q181" s="134"/>
      <c r="R181" s="134"/>
      <c r="S181" s="67"/>
      <c r="T181" s="67"/>
      <c r="U181" s="67"/>
      <c r="V181" s="67"/>
    </row>
    <row r="182" spans="1:22" ht="16.899999999999999" customHeight="1" x14ac:dyDescent="0.2">
      <c r="A182" s="67"/>
      <c r="B182" s="67"/>
      <c r="C182" s="67"/>
      <c r="D182" s="68"/>
      <c r="E182" s="68"/>
      <c r="F182" s="68"/>
      <c r="G182" s="68"/>
      <c r="H182" s="67"/>
      <c r="I182" s="68"/>
      <c r="J182" s="68"/>
      <c r="K182" s="68"/>
      <c r="L182" s="67"/>
      <c r="M182" s="67"/>
      <c r="N182" s="67"/>
      <c r="O182" s="67"/>
      <c r="P182" s="67"/>
      <c r="Q182" s="134"/>
      <c r="R182" s="134"/>
      <c r="S182" s="67"/>
      <c r="T182" s="67"/>
      <c r="U182" s="67"/>
      <c r="V182" s="67"/>
    </row>
    <row r="183" spans="1:22" ht="16.899999999999999" customHeight="1" x14ac:dyDescent="0.2">
      <c r="A183" s="67"/>
      <c r="B183" s="67"/>
      <c r="C183" s="67"/>
      <c r="D183" s="68"/>
      <c r="E183" s="68"/>
      <c r="F183" s="68"/>
      <c r="G183" s="68"/>
      <c r="H183" s="67"/>
      <c r="I183" s="68"/>
      <c r="J183" s="68"/>
      <c r="K183" s="68"/>
      <c r="L183" s="67"/>
      <c r="M183" s="67"/>
      <c r="N183" s="67"/>
      <c r="O183" s="67"/>
      <c r="P183" s="67"/>
      <c r="Q183" s="134"/>
      <c r="R183" s="134"/>
      <c r="S183" s="67"/>
      <c r="T183" s="67"/>
      <c r="U183" s="67"/>
      <c r="V183" s="67"/>
    </row>
    <row r="184" spans="1:22" ht="16.899999999999999" customHeight="1" x14ac:dyDescent="0.2">
      <c r="A184" s="67"/>
      <c r="B184" s="67"/>
      <c r="C184" s="67"/>
      <c r="D184" s="68"/>
      <c r="E184" s="68"/>
      <c r="F184" s="68"/>
      <c r="G184" s="68"/>
      <c r="H184" s="67"/>
      <c r="I184" s="68"/>
      <c r="J184" s="68"/>
      <c r="K184" s="68"/>
      <c r="L184" s="67"/>
      <c r="M184" s="67"/>
      <c r="N184" s="67"/>
      <c r="O184" s="67"/>
      <c r="P184" s="67"/>
      <c r="Q184" s="134"/>
      <c r="R184" s="134"/>
      <c r="S184" s="67"/>
      <c r="T184" s="67"/>
      <c r="U184" s="67"/>
      <c r="V184" s="67"/>
    </row>
    <row r="185" spans="1:22" ht="16.899999999999999" customHeight="1" x14ac:dyDescent="0.2">
      <c r="A185" s="67"/>
      <c r="B185" s="67"/>
      <c r="C185" s="67"/>
      <c r="D185" s="68"/>
      <c r="E185" s="68"/>
      <c r="F185" s="68"/>
      <c r="G185" s="68"/>
      <c r="H185" s="67"/>
      <c r="I185" s="68"/>
      <c r="J185" s="68"/>
      <c r="K185" s="68"/>
      <c r="L185" s="67"/>
      <c r="M185" s="67"/>
      <c r="N185" s="67"/>
      <c r="O185" s="67"/>
      <c r="P185" s="67"/>
      <c r="Q185" s="134"/>
      <c r="R185" s="134"/>
      <c r="S185" s="67"/>
      <c r="T185" s="67"/>
      <c r="U185" s="67"/>
      <c r="V185" s="67"/>
    </row>
    <row r="186" spans="1:22" ht="16.899999999999999" customHeight="1" x14ac:dyDescent="0.2">
      <c r="A186" s="67"/>
      <c r="B186" s="67"/>
      <c r="C186" s="67"/>
      <c r="D186" s="68"/>
      <c r="E186" s="68"/>
      <c r="F186" s="68"/>
      <c r="G186" s="68"/>
      <c r="H186" s="67"/>
      <c r="I186" s="68"/>
      <c r="J186" s="68"/>
      <c r="K186" s="68"/>
      <c r="L186" s="67"/>
      <c r="M186" s="67"/>
      <c r="N186" s="67"/>
      <c r="O186" s="67"/>
      <c r="P186" s="67"/>
      <c r="Q186" s="134"/>
      <c r="R186" s="134"/>
      <c r="S186" s="67"/>
      <c r="T186" s="67"/>
      <c r="U186" s="67"/>
      <c r="V186" s="67"/>
    </row>
    <row r="187" spans="1:22" ht="16.899999999999999" customHeight="1" x14ac:dyDescent="0.2">
      <c r="A187" s="67"/>
      <c r="B187" s="67"/>
      <c r="C187" s="67"/>
      <c r="D187" s="68"/>
      <c r="E187" s="68"/>
      <c r="F187" s="68"/>
      <c r="G187" s="68"/>
      <c r="H187" s="67"/>
      <c r="I187" s="68"/>
      <c r="J187" s="68"/>
      <c r="K187" s="68"/>
      <c r="L187" s="67"/>
      <c r="M187" s="67"/>
      <c r="N187" s="67"/>
      <c r="O187" s="67"/>
      <c r="P187" s="67"/>
      <c r="Q187" s="134"/>
      <c r="R187" s="134"/>
      <c r="S187" s="67"/>
      <c r="T187" s="67"/>
      <c r="U187" s="67"/>
      <c r="V187" s="67"/>
    </row>
    <row r="188" spans="1:22" ht="16.899999999999999" customHeight="1" x14ac:dyDescent="0.2">
      <c r="A188" s="67"/>
      <c r="B188" s="67"/>
      <c r="C188" s="67"/>
      <c r="D188" s="68"/>
      <c r="E188" s="68"/>
      <c r="F188" s="68"/>
      <c r="G188" s="68"/>
      <c r="H188" s="67"/>
      <c r="I188" s="68"/>
      <c r="J188" s="68"/>
      <c r="K188" s="68"/>
      <c r="L188" s="67"/>
      <c r="M188" s="67"/>
      <c r="N188" s="67"/>
      <c r="O188" s="67"/>
      <c r="P188" s="67"/>
      <c r="Q188" s="134"/>
      <c r="R188" s="134"/>
      <c r="S188" s="67"/>
      <c r="T188" s="67"/>
      <c r="U188" s="67"/>
      <c r="V188" s="67"/>
    </row>
    <row r="189" spans="1:22" ht="16.899999999999999" customHeight="1" x14ac:dyDescent="0.2">
      <c r="A189" s="67"/>
      <c r="B189" s="67"/>
      <c r="C189" s="67"/>
      <c r="D189" s="68"/>
      <c r="E189" s="68"/>
      <c r="F189" s="68"/>
      <c r="G189" s="68"/>
      <c r="H189" s="67"/>
      <c r="I189" s="68"/>
      <c r="J189" s="68"/>
      <c r="K189" s="68"/>
      <c r="L189" s="67"/>
      <c r="M189" s="67"/>
      <c r="N189" s="67"/>
      <c r="O189" s="67"/>
      <c r="P189" s="67"/>
      <c r="Q189" s="134"/>
      <c r="R189" s="134"/>
      <c r="S189" s="67"/>
      <c r="T189" s="67"/>
      <c r="U189" s="67"/>
      <c r="V189" s="67"/>
    </row>
    <row r="190" spans="1:22" ht="16.899999999999999" customHeight="1" x14ac:dyDescent="0.2">
      <c r="A190" s="67"/>
      <c r="B190" s="67"/>
      <c r="C190" s="67"/>
      <c r="D190" s="68"/>
      <c r="E190" s="68"/>
      <c r="F190" s="68"/>
      <c r="G190" s="68"/>
      <c r="H190" s="67"/>
      <c r="I190" s="68"/>
      <c r="J190" s="68"/>
      <c r="K190" s="68"/>
      <c r="L190" s="67"/>
      <c r="M190" s="67"/>
      <c r="N190" s="67"/>
      <c r="O190" s="67"/>
      <c r="P190" s="67"/>
      <c r="Q190" s="134"/>
      <c r="R190" s="134"/>
      <c r="S190" s="67"/>
      <c r="T190" s="67"/>
      <c r="U190" s="67"/>
      <c r="V190" s="67"/>
    </row>
    <row r="191" spans="1:22" ht="16.899999999999999" customHeight="1" x14ac:dyDescent="0.2">
      <c r="A191" s="67"/>
      <c r="B191" s="67"/>
      <c r="C191" s="67"/>
      <c r="D191" s="68"/>
      <c r="E191" s="68"/>
      <c r="F191" s="68"/>
      <c r="G191" s="68"/>
      <c r="H191" s="67"/>
      <c r="I191" s="68"/>
      <c r="J191" s="68"/>
      <c r="K191" s="68"/>
      <c r="L191" s="67"/>
      <c r="M191" s="67"/>
      <c r="N191" s="67"/>
      <c r="O191" s="67"/>
      <c r="P191" s="67"/>
      <c r="Q191" s="134"/>
      <c r="R191" s="134"/>
      <c r="S191" s="67"/>
      <c r="T191" s="67"/>
      <c r="U191" s="67"/>
      <c r="V191" s="67"/>
    </row>
    <row r="192" spans="1:22" ht="16.899999999999999" customHeight="1" x14ac:dyDescent="0.2">
      <c r="A192" s="67"/>
      <c r="B192" s="67"/>
      <c r="C192" s="67"/>
      <c r="D192" s="68"/>
      <c r="E192" s="68"/>
      <c r="F192" s="68"/>
      <c r="G192" s="68"/>
      <c r="H192" s="67"/>
      <c r="I192" s="68"/>
      <c r="J192" s="68"/>
      <c r="K192" s="68"/>
      <c r="L192" s="67"/>
      <c r="M192" s="67"/>
      <c r="N192" s="67"/>
      <c r="O192" s="67"/>
      <c r="P192" s="67"/>
      <c r="Q192" s="134"/>
      <c r="R192" s="134"/>
      <c r="S192" s="67"/>
      <c r="T192" s="67"/>
      <c r="U192" s="67"/>
      <c r="V192" s="67"/>
    </row>
    <row r="193" spans="1:22" ht="16.899999999999999" customHeight="1" x14ac:dyDescent="0.2">
      <c r="A193" s="67"/>
      <c r="B193" s="67"/>
      <c r="C193" s="67"/>
      <c r="D193" s="68"/>
      <c r="E193" s="68"/>
      <c r="F193" s="68"/>
      <c r="G193" s="68"/>
      <c r="H193" s="67"/>
      <c r="I193" s="68"/>
      <c r="J193" s="68"/>
      <c r="K193" s="68"/>
      <c r="L193" s="67"/>
      <c r="M193" s="67"/>
      <c r="N193" s="67"/>
      <c r="O193" s="67"/>
      <c r="P193" s="67"/>
      <c r="Q193" s="134"/>
      <c r="R193" s="134"/>
      <c r="S193" s="67"/>
      <c r="T193" s="67"/>
      <c r="U193" s="67"/>
      <c r="V193" s="67"/>
    </row>
    <row r="194" spans="1:22" ht="16.899999999999999" customHeight="1" x14ac:dyDescent="0.2">
      <c r="A194" s="67"/>
      <c r="B194" s="67"/>
      <c r="C194" s="67"/>
      <c r="D194" s="68"/>
      <c r="E194" s="68"/>
      <c r="F194" s="68"/>
      <c r="G194" s="68"/>
      <c r="H194" s="67"/>
      <c r="I194" s="68"/>
      <c r="J194" s="68"/>
      <c r="K194" s="68"/>
      <c r="L194" s="67"/>
      <c r="M194" s="67"/>
      <c r="N194" s="67"/>
      <c r="O194" s="67"/>
      <c r="P194" s="67"/>
      <c r="Q194" s="134"/>
      <c r="R194" s="134"/>
      <c r="S194" s="67"/>
      <c r="T194" s="67"/>
      <c r="U194" s="67"/>
      <c r="V194" s="67"/>
    </row>
    <row r="195" spans="1:22" ht="16.899999999999999" customHeight="1" x14ac:dyDescent="0.2">
      <c r="A195" s="67"/>
      <c r="B195" s="67"/>
      <c r="C195" s="67"/>
      <c r="D195" s="68"/>
      <c r="E195" s="68"/>
      <c r="F195" s="68"/>
      <c r="G195" s="68"/>
      <c r="H195" s="67"/>
      <c r="I195" s="68"/>
      <c r="J195" s="68"/>
      <c r="K195" s="68"/>
      <c r="L195" s="67"/>
      <c r="M195" s="67"/>
      <c r="N195" s="67"/>
      <c r="O195" s="67"/>
      <c r="P195" s="67"/>
      <c r="Q195" s="134"/>
      <c r="R195" s="134"/>
      <c r="S195" s="67"/>
      <c r="T195" s="67"/>
      <c r="U195" s="67"/>
      <c r="V195" s="67"/>
    </row>
    <row r="196" spans="1:22" ht="16.899999999999999" customHeight="1" x14ac:dyDescent="0.2">
      <c r="A196" s="67"/>
      <c r="B196" s="67"/>
      <c r="C196" s="67"/>
      <c r="D196" s="68"/>
      <c r="E196" s="68"/>
      <c r="F196" s="68"/>
      <c r="G196" s="68"/>
      <c r="H196" s="67"/>
      <c r="I196" s="68"/>
      <c r="J196" s="68"/>
      <c r="K196" s="68"/>
      <c r="L196" s="67"/>
      <c r="M196" s="67"/>
      <c r="N196" s="67"/>
      <c r="O196" s="67"/>
      <c r="P196" s="67"/>
      <c r="Q196" s="134"/>
      <c r="R196" s="134"/>
      <c r="S196" s="67"/>
      <c r="T196" s="67"/>
      <c r="U196" s="67"/>
      <c r="V196" s="67"/>
    </row>
    <row r="197" spans="1:22" ht="16.899999999999999" customHeight="1" x14ac:dyDescent="0.2">
      <c r="A197" s="67"/>
      <c r="B197" s="67"/>
      <c r="C197" s="67"/>
      <c r="D197" s="68"/>
      <c r="E197" s="68"/>
      <c r="F197" s="68"/>
      <c r="G197" s="68"/>
      <c r="H197" s="67"/>
      <c r="I197" s="68"/>
      <c r="J197" s="68"/>
      <c r="K197" s="68"/>
      <c r="L197" s="67"/>
      <c r="M197" s="67"/>
      <c r="N197" s="67"/>
      <c r="O197" s="67"/>
      <c r="P197" s="67"/>
      <c r="Q197" s="134"/>
      <c r="R197" s="134"/>
      <c r="S197" s="67"/>
      <c r="T197" s="67"/>
      <c r="U197" s="67"/>
      <c r="V197" s="67"/>
    </row>
    <row r="198" spans="1:22" ht="16.899999999999999" customHeight="1" x14ac:dyDescent="0.2">
      <c r="A198" s="67"/>
      <c r="B198" s="67"/>
      <c r="C198" s="67"/>
      <c r="D198" s="68"/>
      <c r="E198" s="68"/>
      <c r="F198" s="68"/>
      <c r="G198" s="68"/>
      <c r="H198" s="67"/>
      <c r="I198" s="68"/>
      <c r="J198" s="68"/>
      <c r="K198" s="68"/>
      <c r="L198" s="67"/>
      <c r="M198" s="67"/>
      <c r="N198" s="67"/>
      <c r="O198" s="67"/>
      <c r="P198" s="67"/>
      <c r="Q198" s="134"/>
      <c r="R198" s="134"/>
      <c r="S198" s="67"/>
      <c r="T198" s="67"/>
      <c r="U198" s="67"/>
      <c r="V198" s="67"/>
    </row>
    <row r="199" spans="1:22" ht="16.899999999999999" customHeight="1" x14ac:dyDescent="0.2">
      <c r="A199" s="67"/>
      <c r="B199" s="67"/>
      <c r="C199" s="67"/>
      <c r="D199" s="68"/>
      <c r="E199" s="68"/>
      <c r="F199" s="68"/>
      <c r="G199" s="68"/>
      <c r="H199" s="67"/>
      <c r="I199" s="68"/>
      <c r="J199" s="68"/>
      <c r="K199" s="68"/>
      <c r="L199" s="67"/>
      <c r="M199" s="67"/>
      <c r="N199" s="67"/>
      <c r="O199" s="67"/>
      <c r="P199" s="67"/>
      <c r="Q199" s="134"/>
      <c r="R199" s="134"/>
      <c r="S199" s="67"/>
      <c r="T199" s="67"/>
      <c r="U199" s="67"/>
      <c r="V199" s="67"/>
    </row>
    <row r="200" spans="1:22" ht="16.899999999999999" customHeight="1" x14ac:dyDescent="0.2">
      <c r="A200" s="67"/>
      <c r="B200" s="67"/>
      <c r="C200" s="67"/>
      <c r="D200" s="68"/>
      <c r="E200" s="68"/>
      <c r="F200" s="68"/>
      <c r="G200" s="68"/>
      <c r="H200" s="67"/>
      <c r="I200" s="68"/>
      <c r="J200" s="68"/>
      <c r="K200" s="68"/>
      <c r="L200" s="67"/>
      <c r="M200" s="67"/>
      <c r="N200" s="67"/>
      <c r="O200" s="67"/>
      <c r="P200" s="67"/>
      <c r="Q200" s="134"/>
      <c r="R200" s="134"/>
      <c r="S200" s="67"/>
      <c r="T200" s="67"/>
      <c r="U200" s="67"/>
      <c r="V200" s="67"/>
    </row>
    <row r="201" spans="1:22" ht="16.899999999999999" customHeight="1" x14ac:dyDescent="0.25">
      <c r="A201" s="71"/>
      <c r="B201" s="71"/>
      <c r="C201" s="71"/>
      <c r="D201" s="72"/>
      <c r="E201" s="67"/>
      <c r="F201" s="67"/>
      <c r="G201" s="67"/>
      <c r="H201" s="67"/>
      <c r="I201" s="67"/>
      <c r="J201" s="67"/>
      <c r="K201" s="67"/>
      <c r="L201" s="67"/>
      <c r="M201" s="67"/>
      <c r="N201" s="85"/>
      <c r="O201" s="71"/>
      <c r="P201" s="71"/>
      <c r="Q201" s="67"/>
      <c r="R201" s="67"/>
      <c r="S201" s="67"/>
      <c r="T201" s="67"/>
      <c r="U201" s="71"/>
      <c r="V201" s="67"/>
    </row>
    <row r="202" spans="1:22" ht="16.899999999999999" customHeight="1" x14ac:dyDescent="0.2">
      <c r="A202" s="71"/>
      <c r="B202" s="71"/>
      <c r="C202" s="71"/>
      <c r="D202" s="72"/>
      <c r="E202" s="67"/>
      <c r="F202" s="67"/>
      <c r="G202" s="67"/>
      <c r="H202" s="67"/>
      <c r="I202" s="67"/>
      <c r="J202" s="67"/>
      <c r="K202" s="67"/>
      <c r="L202" s="67"/>
      <c r="M202" s="67"/>
      <c r="N202" s="71"/>
      <c r="O202" s="71"/>
      <c r="P202" s="71"/>
      <c r="Q202" s="67"/>
      <c r="R202" s="67"/>
      <c r="S202" s="67"/>
      <c r="T202" s="67"/>
      <c r="U202" s="71"/>
      <c r="V202" s="67"/>
    </row>
    <row r="203" spans="1:22" ht="16.899999999999999" customHeight="1" x14ac:dyDescent="0.2">
      <c r="A203" s="71"/>
      <c r="B203" s="71"/>
      <c r="C203" s="71"/>
      <c r="D203" s="72"/>
      <c r="E203" s="67"/>
      <c r="F203" s="67"/>
      <c r="G203" s="67"/>
      <c r="H203" s="67"/>
      <c r="I203" s="67"/>
      <c r="J203" s="67"/>
      <c r="K203" s="67"/>
      <c r="L203" s="67"/>
      <c r="M203" s="67"/>
      <c r="N203" s="71"/>
      <c r="O203" s="71"/>
      <c r="P203" s="71"/>
      <c r="Q203" s="67"/>
      <c r="R203" s="67"/>
      <c r="S203" s="67"/>
      <c r="T203" s="67"/>
      <c r="U203" s="71"/>
      <c r="V203" s="67"/>
    </row>
    <row r="204" spans="1:22" ht="16.899999999999999" customHeight="1" x14ac:dyDescent="0.2">
      <c r="A204" s="71"/>
      <c r="B204" s="71"/>
      <c r="C204" s="71"/>
      <c r="D204" s="72"/>
      <c r="E204" s="67"/>
      <c r="F204" s="67"/>
      <c r="G204" s="67"/>
      <c r="H204" s="67"/>
      <c r="I204" s="67"/>
      <c r="J204" s="67"/>
      <c r="K204" s="67"/>
      <c r="L204" s="67"/>
      <c r="M204" s="67"/>
      <c r="N204" s="71"/>
      <c r="O204" s="71"/>
      <c r="P204" s="71"/>
      <c r="Q204" s="67"/>
      <c r="R204" s="67"/>
      <c r="S204" s="67"/>
      <c r="T204" s="67"/>
      <c r="U204" s="71"/>
      <c r="V204" s="67"/>
    </row>
    <row r="205" spans="1:22" ht="16.899999999999999" customHeight="1" x14ac:dyDescent="0.2">
      <c r="A205" s="71"/>
      <c r="B205" s="71"/>
      <c r="C205" s="71"/>
      <c r="D205" s="72"/>
      <c r="E205" s="67"/>
      <c r="F205" s="67"/>
      <c r="G205" s="67"/>
      <c r="H205" s="67"/>
      <c r="I205" s="67"/>
      <c r="J205" s="67"/>
      <c r="K205" s="67"/>
      <c r="L205" s="67"/>
      <c r="M205" s="67"/>
      <c r="N205" s="71"/>
      <c r="O205" s="71"/>
      <c r="P205" s="71"/>
      <c r="Q205" s="67"/>
      <c r="R205" s="67"/>
      <c r="S205" s="67"/>
      <c r="T205" s="67"/>
      <c r="U205" s="71"/>
      <c r="V205" s="67"/>
    </row>
    <row r="206" spans="1:22" ht="16.899999999999999" customHeight="1" x14ac:dyDescent="0.2">
      <c r="A206" s="71"/>
      <c r="B206" s="71"/>
      <c r="C206" s="71"/>
      <c r="D206" s="72"/>
      <c r="E206" s="67"/>
      <c r="F206" s="67"/>
      <c r="G206" s="67"/>
      <c r="H206" s="67"/>
      <c r="I206" s="67"/>
      <c r="J206" s="67"/>
      <c r="K206" s="67"/>
      <c r="L206" s="67"/>
      <c r="M206" s="67"/>
      <c r="N206" s="71"/>
      <c r="O206" s="71"/>
      <c r="P206" s="71"/>
      <c r="Q206" s="67"/>
      <c r="R206" s="67"/>
      <c r="S206" s="67"/>
      <c r="T206" s="67"/>
      <c r="U206" s="71"/>
      <c r="V206" s="67"/>
    </row>
    <row r="207" spans="1:22" ht="16.899999999999999" customHeight="1" x14ac:dyDescent="0.2">
      <c r="A207" s="71"/>
      <c r="B207" s="71"/>
      <c r="C207" s="71"/>
      <c r="D207" s="72"/>
      <c r="E207" s="67"/>
      <c r="F207" s="67"/>
      <c r="G207" s="67"/>
      <c r="H207" s="67"/>
      <c r="I207" s="67"/>
      <c r="J207" s="67"/>
      <c r="K207" s="67"/>
      <c r="L207" s="67"/>
      <c r="M207" s="67"/>
      <c r="N207" s="71"/>
      <c r="O207" s="71"/>
      <c r="P207" s="71"/>
      <c r="Q207" s="67"/>
      <c r="R207" s="67"/>
      <c r="S207" s="67"/>
      <c r="T207" s="67"/>
      <c r="U207" s="71"/>
      <c r="V207" s="67"/>
    </row>
    <row r="208" spans="1:22" ht="16.899999999999999" customHeight="1" x14ac:dyDescent="0.2">
      <c r="A208" s="71"/>
      <c r="B208" s="71"/>
      <c r="C208" s="71"/>
      <c r="D208" s="72"/>
      <c r="E208" s="67"/>
      <c r="F208" s="67"/>
      <c r="G208" s="67"/>
      <c r="H208" s="67"/>
      <c r="I208" s="67"/>
      <c r="J208" s="67"/>
      <c r="K208" s="67"/>
      <c r="L208" s="67"/>
      <c r="M208" s="67"/>
      <c r="N208" s="71"/>
      <c r="O208" s="71"/>
      <c r="P208" s="71"/>
      <c r="Q208" s="67"/>
      <c r="R208" s="67"/>
      <c r="S208" s="67"/>
      <c r="T208" s="67"/>
      <c r="U208" s="71"/>
      <c r="V208" s="67"/>
    </row>
    <row r="209" spans="1:22" ht="16.899999999999999" customHeight="1" x14ac:dyDescent="0.2">
      <c r="A209" s="71"/>
      <c r="B209" s="71"/>
      <c r="C209" s="71"/>
      <c r="D209" s="72"/>
      <c r="E209" s="67"/>
      <c r="F209" s="67"/>
      <c r="G209" s="67"/>
      <c r="H209" s="67"/>
      <c r="I209" s="67"/>
      <c r="J209" s="67"/>
      <c r="K209" s="67"/>
      <c r="L209" s="67"/>
      <c r="M209" s="67"/>
      <c r="N209" s="71"/>
      <c r="O209" s="71"/>
      <c r="P209" s="71"/>
      <c r="Q209" s="67"/>
      <c r="R209" s="67"/>
      <c r="S209" s="67"/>
      <c r="T209" s="67"/>
      <c r="U209" s="71"/>
      <c r="V209" s="67"/>
    </row>
    <row r="210" spans="1:22" ht="16.899999999999999" customHeight="1" x14ac:dyDescent="0.2">
      <c r="A210" s="71"/>
      <c r="B210" s="71"/>
      <c r="C210" s="71"/>
      <c r="D210" s="72"/>
      <c r="E210" s="67"/>
      <c r="F210" s="67"/>
      <c r="G210" s="67"/>
      <c r="H210" s="67"/>
      <c r="I210" s="67"/>
      <c r="J210" s="67"/>
      <c r="K210" s="67"/>
      <c r="L210" s="67"/>
      <c r="M210" s="67"/>
      <c r="N210" s="71"/>
      <c r="O210" s="71"/>
      <c r="P210" s="71"/>
      <c r="Q210" s="67"/>
      <c r="R210" s="67"/>
      <c r="S210" s="67"/>
      <c r="T210" s="67"/>
      <c r="U210" s="71"/>
      <c r="V210" s="67"/>
    </row>
    <row r="211" spans="1:22" ht="16.899999999999999" customHeight="1" x14ac:dyDescent="0.2">
      <c r="A211" s="71"/>
      <c r="B211" s="71"/>
      <c r="C211" s="71"/>
      <c r="D211" s="72"/>
      <c r="E211" s="67"/>
      <c r="F211" s="67"/>
      <c r="G211" s="67"/>
      <c r="H211" s="67"/>
      <c r="I211" s="67"/>
      <c r="J211" s="67"/>
      <c r="K211" s="67"/>
      <c r="L211" s="67"/>
      <c r="M211" s="67"/>
      <c r="N211" s="71"/>
      <c r="O211" s="71"/>
      <c r="P211" s="71"/>
      <c r="Q211" s="67"/>
      <c r="R211" s="67"/>
      <c r="S211" s="67"/>
      <c r="T211" s="67"/>
      <c r="U211" s="71"/>
      <c r="V211" s="67"/>
    </row>
    <row r="212" spans="1:22" ht="16.899999999999999" customHeight="1" x14ac:dyDescent="0.2">
      <c r="A212" s="71"/>
      <c r="B212" s="71"/>
      <c r="C212" s="71"/>
      <c r="D212" s="72"/>
      <c r="E212" s="67"/>
      <c r="F212" s="67"/>
      <c r="G212" s="67"/>
      <c r="H212" s="67"/>
      <c r="I212" s="67"/>
      <c r="J212" s="67"/>
      <c r="K212" s="67"/>
      <c r="L212" s="67"/>
      <c r="M212" s="67"/>
      <c r="N212" s="71"/>
      <c r="O212" s="71"/>
      <c r="P212" s="71"/>
      <c r="Q212" s="67"/>
      <c r="R212" s="67"/>
      <c r="S212" s="67"/>
      <c r="T212" s="67"/>
      <c r="U212" s="71"/>
      <c r="V212" s="67"/>
    </row>
    <row r="213" spans="1:22" ht="16.899999999999999" customHeight="1" x14ac:dyDescent="0.2">
      <c r="A213" s="71"/>
      <c r="B213" s="71"/>
      <c r="C213" s="71"/>
      <c r="D213" s="72"/>
      <c r="E213" s="67"/>
      <c r="F213" s="67"/>
      <c r="G213" s="67"/>
      <c r="H213" s="67"/>
      <c r="I213" s="67"/>
      <c r="J213" s="67"/>
      <c r="K213" s="67"/>
      <c r="L213" s="67"/>
      <c r="M213" s="67"/>
      <c r="N213" s="71"/>
      <c r="O213" s="71"/>
      <c r="P213" s="71"/>
      <c r="Q213" s="67"/>
      <c r="R213" s="67"/>
      <c r="S213" s="67"/>
      <c r="T213" s="67"/>
      <c r="U213" s="71"/>
      <c r="V213" s="67"/>
    </row>
    <row r="214" spans="1:22" ht="16.899999999999999" customHeight="1" x14ac:dyDescent="0.2">
      <c r="A214" s="71"/>
      <c r="B214" s="71"/>
      <c r="C214" s="71"/>
      <c r="D214" s="72"/>
      <c r="E214" s="67"/>
      <c r="F214" s="67"/>
      <c r="G214" s="67"/>
      <c r="H214" s="67"/>
      <c r="I214" s="67"/>
      <c r="J214" s="67"/>
      <c r="K214" s="67"/>
      <c r="L214" s="67"/>
      <c r="M214" s="67"/>
      <c r="N214" s="71"/>
      <c r="O214" s="71"/>
      <c r="P214" s="71"/>
      <c r="Q214" s="67"/>
      <c r="R214" s="67"/>
      <c r="S214" s="67"/>
      <c r="T214" s="67"/>
      <c r="U214" s="71"/>
      <c r="V214" s="67"/>
    </row>
    <row r="215" spans="1:22" ht="16.899999999999999" customHeight="1" x14ac:dyDescent="0.2">
      <c r="A215" s="71"/>
      <c r="B215" s="71"/>
      <c r="C215" s="71"/>
      <c r="D215" s="72"/>
      <c r="E215" s="67"/>
      <c r="F215" s="67"/>
      <c r="G215" s="67"/>
      <c r="H215" s="67"/>
      <c r="I215" s="67"/>
      <c r="J215" s="67"/>
      <c r="K215" s="67"/>
      <c r="L215" s="67"/>
      <c r="M215" s="67"/>
      <c r="N215" s="71"/>
      <c r="O215" s="71"/>
      <c r="P215" s="71"/>
      <c r="Q215" s="67"/>
      <c r="R215" s="67"/>
      <c r="S215" s="67"/>
      <c r="T215" s="67"/>
      <c r="U215" s="71"/>
      <c r="V215" s="67"/>
    </row>
    <row r="216" spans="1:22" ht="16.899999999999999" customHeight="1" x14ac:dyDescent="0.2">
      <c r="A216" s="71"/>
      <c r="B216" s="71"/>
      <c r="C216" s="71"/>
      <c r="D216" s="72"/>
      <c r="E216" s="67"/>
      <c r="F216" s="67"/>
      <c r="G216" s="67"/>
      <c r="H216" s="67"/>
      <c r="I216" s="67"/>
      <c r="J216" s="67"/>
      <c r="K216" s="67"/>
      <c r="L216" s="67"/>
      <c r="M216" s="67"/>
      <c r="N216" s="71"/>
      <c r="O216" s="71"/>
      <c r="P216" s="71"/>
      <c r="Q216" s="67"/>
      <c r="R216" s="67"/>
      <c r="S216" s="67"/>
      <c r="T216" s="67"/>
      <c r="U216" s="71"/>
      <c r="V216" s="67"/>
    </row>
    <row r="217" spans="1:22" ht="16.899999999999999" customHeight="1" x14ac:dyDescent="0.2">
      <c r="A217" s="71"/>
      <c r="B217" s="71"/>
      <c r="C217" s="71"/>
      <c r="D217" s="72"/>
      <c r="E217" s="67"/>
      <c r="F217" s="67"/>
      <c r="G217" s="67"/>
      <c r="H217" s="67"/>
      <c r="I217" s="67"/>
      <c r="J217" s="67"/>
      <c r="K217" s="67"/>
      <c r="L217" s="67"/>
      <c r="M217" s="67"/>
      <c r="N217" s="71"/>
      <c r="O217" s="71"/>
      <c r="P217" s="71"/>
      <c r="Q217" s="67"/>
      <c r="R217" s="67"/>
      <c r="S217" s="67"/>
      <c r="T217" s="67"/>
      <c r="U217" s="71"/>
      <c r="V217" s="67"/>
    </row>
    <row r="218" spans="1:22" ht="16.899999999999999" customHeight="1" x14ac:dyDescent="0.2">
      <c r="A218" s="71"/>
      <c r="B218" s="71"/>
      <c r="C218" s="71"/>
      <c r="D218" s="72"/>
      <c r="E218" s="67"/>
      <c r="F218" s="67"/>
      <c r="G218" s="67"/>
      <c r="H218" s="67"/>
      <c r="I218" s="67"/>
      <c r="J218" s="67"/>
      <c r="K218" s="67"/>
      <c r="L218" s="67"/>
      <c r="M218" s="67"/>
      <c r="N218" s="71"/>
      <c r="O218" s="71"/>
      <c r="P218" s="71"/>
      <c r="Q218" s="67"/>
      <c r="R218" s="67"/>
      <c r="S218" s="67"/>
      <c r="T218" s="67"/>
      <c r="U218" s="71"/>
      <c r="V218" s="67"/>
    </row>
    <row r="219" spans="1:22" ht="16.899999999999999" customHeight="1" x14ac:dyDescent="0.2">
      <c r="A219" s="71"/>
      <c r="B219" s="71"/>
      <c r="C219" s="71"/>
      <c r="D219" s="72"/>
      <c r="E219" s="67"/>
      <c r="F219" s="67"/>
      <c r="G219" s="67"/>
      <c r="H219" s="67"/>
      <c r="I219" s="67"/>
      <c r="J219" s="67"/>
      <c r="K219" s="67"/>
      <c r="L219" s="67"/>
      <c r="M219" s="67"/>
      <c r="N219" s="71"/>
      <c r="O219" s="71"/>
      <c r="P219" s="71"/>
      <c r="Q219" s="67"/>
      <c r="R219" s="67"/>
      <c r="S219" s="67"/>
      <c r="T219" s="67"/>
      <c r="U219" s="71"/>
      <c r="V219" s="67"/>
    </row>
    <row r="220" spans="1:22" ht="16.899999999999999" customHeight="1" x14ac:dyDescent="0.2">
      <c r="A220" s="71"/>
      <c r="B220" s="71"/>
      <c r="C220" s="71"/>
      <c r="D220" s="72"/>
      <c r="E220" s="67"/>
      <c r="F220" s="67"/>
      <c r="G220" s="67"/>
      <c r="H220" s="67"/>
      <c r="I220" s="67"/>
      <c r="J220" s="67"/>
      <c r="K220" s="67"/>
      <c r="L220" s="67"/>
      <c r="M220" s="67"/>
      <c r="N220" s="71"/>
      <c r="O220" s="71"/>
      <c r="P220" s="71"/>
      <c r="Q220" s="67"/>
      <c r="R220" s="67"/>
      <c r="S220" s="67"/>
      <c r="T220" s="67"/>
      <c r="U220" s="71"/>
      <c r="V220" s="67"/>
    </row>
    <row r="221" spans="1:22" ht="16.899999999999999" customHeight="1" x14ac:dyDescent="0.2">
      <c r="A221" s="71"/>
      <c r="B221" s="71"/>
      <c r="C221" s="71"/>
      <c r="D221" s="72"/>
      <c r="E221" s="67"/>
      <c r="F221" s="67"/>
      <c r="G221" s="67"/>
      <c r="H221" s="67"/>
      <c r="I221" s="67"/>
      <c r="J221" s="67"/>
      <c r="K221" s="67"/>
      <c r="L221" s="67"/>
      <c r="M221" s="67"/>
      <c r="N221" s="71"/>
      <c r="O221" s="71"/>
      <c r="P221" s="71"/>
      <c r="Q221" s="67"/>
      <c r="R221" s="67"/>
      <c r="S221" s="67"/>
      <c r="T221" s="67"/>
      <c r="U221" s="71"/>
      <c r="V221" s="67"/>
    </row>
    <row r="222" spans="1:22" ht="16.899999999999999" customHeight="1" x14ac:dyDescent="0.2">
      <c r="A222" s="71"/>
      <c r="B222" s="71"/>
      <c r="C222" s="71"/>
      <c r="D222" s="72"/>
      <c r="E222" s="67"/>
      <c r="F222" s="67"/>
      <c r="G222" s="67"/>
      <c r="H222" s="67"/>
      <c r="I222" s="67"/>
      <c r="J222" s="67"/>
      <c r="K222" s="67"/>
      <c r="L222" s="67"/>
      <c r="M222" s="67"/>
      <c r="N222" s="71"/>
      <c r="O222" s="71"/>
      <c r="P222" s="71"/>
      <c r="Q222" s="67"/>
      <c r="R222" s="67"/>
      <c r="S222" s="67"/>
      <c r="T222" s="67"/>
      <c r="U222" s="71"/>
      <c r="V222" s="67"/>
    </row>
    <row r="223" spans="1:22" ht="16.899999999999999" customHeight="1" x14ac:dyDescent="0.2">
      <c r="A223" s="71"/>
      <c r="B223" s="71"/>
      <c r="C223" s="71"/>
      <c r="D223" s="72"/>
      <c r="E223" s="67"/>
      <c r="F223" s="67"/>
      <c r="G223" s="67"/>
      <c r="H223" s="67"/>
      <c r="I223" s="67"/>
      <c r="J223" s="67"/>
      <c r="K223" s="67"/>
      <c r="L223" s="67"/>
      <c r="M223" s="67"/>
      <c r="N223" s="71"/>
      <c r="O223" s="71"/>
      <c r="P223" s="71"/>
      <c r="Q223" s="67"/>
      <c r="R223" s="67"/>
      <c r="S223" s="67"/>
      <c r="T223" s="67"/>
      <c r="U223" s="71"/>
      <c r="V223" s="67"/>
    </row>
    <row r="224" spans="1:22" ht="16.899999999999999" customHeight="1" x14ac:dyDescent="0.2">
      <c r="A224" s="71"/>
      <c r="B224" s="71"/>
      <c r="C224" s="71"/>
      <c r="D224" s="72"/>
      <c r="E224" s="67"/>
      <c r="F224" s="67"/>
      <c r="G224" s="67"/>
      <c r="H224" s="67"/>
      <c r="I224" s="67"/>
      <c r="J224" s="67"/>
      <c r="K224" s="67"/>
      <c r="L224" s="67"/>
      <c r="M224" s="67"/>
      <c r="N224" s="71"/>
      <c r="O224" s="71"/>
      <c r="P224" s="71"/>
      <c r="Q224" s="67"/>
      <c r="R224" s="67"/>
      <c r="S224" s="67"/>
      <c r="T224" s="67"/>
      <c r="U224" s="71"/>
      <c r="V224" s="67"/>
    </row>
    <row r="225" spans="1:22" ht="16.899999999999999" customHeight="1" x14ac:dyDescent="0.2">
      <c r="A225" s="71"/>
      <c r="B225" s="71"/>
      <c r="C225" s="71"/>
      <c r="D225" s="72"/>
      <c r="E225" s="67"/>
      <c r="F225" s="67"/>
      <c r="G225" s="67"/>
      <c r="H225" s="67"/>
      <c r="I225" s="67"/>
      <c r="J225" s="67"/>
      <c r="K225" s="67"/>
      <c r="L225" s="67"/>
      <c r="M225" s="67"/>
      <c r="N225" s="71"/>
      <c r="O225" s="71"/>
      <c r="P225" s="71"/>
      <c r="Q225" s="67"/>
      <c r="R225" s="67"/>
      <c r="S225" s="67"/>
      <c r="T225" s="67"/>
      <c r="U225" s="71"/>
      <c r="V225" s="67"/>
    </row>
    <row r="226" spans="1:22" ht="16.899999999999999" customHeight="1" x14ac:dyDescent="0.2">
      <c r="A226" s="71"/>
      <c r="B226" s="71"/>
      <c r="C226" s="71"/>
      <c r="D226" s="72"/>
      <c r="E226" s="67"/>
      <c r="F226" s="67"/>
      <c r="G226" s="67"/>
      <c r="H226" s="67"/>
      <c r="I226" s="67"/>
      <c r="J226" s="67"/>
      <c r="K226" s="67"/>
      <c r="L226" s="67"/>
      <c r="M226" s="67"/>
      <c r="N226" s="71"/>
      <c r="O226" s="71"/>
      <c r="P226" s="71"/>
      <c r="Q226" s="67"/>
      <c r="R226" s="67"/>
      <c r="S226" s="67"/>
      <c r="T226" s="67"/>
      <c r="U226" s="71"/>
      <c r="V226" s="67"/>
    </row>
    <row r="227" spans="1:22" ht="16.899999999999999" customHeight="1" x14ac:dyDescent="0.2">
      <c r="A227" s="71"/>
      <c r="B227" s="71"/>
      <c r="C227" s="71"/>
      <c r="D227" s="72"/>
      <c r="E227" s="67"/>
      <c r="F227" s="67"/>
      <c r="G227" s="67"/>
      <c r="H227" s="67"/>
      <c r="I227" s="67"/>
      <c r="J227" s="67"/>
      <c r="K227" s="67"/>
      <c r="L227" s="67"/>
      <c r="M227" s="67"/>
      <c r="N227" s="71"/>
      <c r="O227" s="71"/>
      <c r="P227" s="71"/>
      <c r="Q227" s="67"/>
      <c r="R227" s="67"/>
      <c r="S227" s="67"/>
      <c r="T227" s="67"/>
      <c r="U227" s="71"/>
      <c r="V227" s="67"/>
    </row>
    <row r="228" spans="1:22" ht="16.899999999999999" customHeight="1" x14ac:dyDescent="0.2">
      <c r="A228" s="71"/>
      <c r="B228" s="71"/>
      <c r="C228" s="71"/>
      <c r="D228" s="72"/>
      <c r="E228" s="67"/>
      <c r="F228" s="67"/>
      <c r="G228" s="67"/>
      <c r="H228" s="67"/>
      <c r="I228" s="67"/>
      <c r="J228" s="67"/>
      <c r="K228" s="67"/>
      <c r="L228" s="67"/>
      <c r="M228" s="67"/>
      <c r="N228" s="71"/>
      <c r="O228" s="71"/>
      <c r="P228" s="71"/>
      <c r="Q228" s="67"/>
      <c r="R228" s="67"/>
      <c r="S228" s="67"/>
      <c r="T228" s="67"/>
      <c r="U228" s="71"/>
      <c r="V228" s="67"/>
    </row>
    <row r="229" spans="1:22" ht="16.899999999999999" customHeight="1" x14ac:dyDescent="0.2">
      <c r="A229" s="71"/>
      <c r="B229" s="71"/>
      <c r="C229" s="71"/>
      <c r="D229" s="72"/>
      <c r="E229" s="67"/>
      <c r="F229" s="67"/>
      <c r="G229" s="67"/>
      <c r="H229" s="67"/>
      <c r="I229" s="67"/>
      <c r="J229" s="67"/>
      <c r="K229" s="67"/>
      <c r="L229" s="67"/>
      <c r="M229" s="67"/>
      <c r="N229" s="71"/>
      <c r="O229" s="71"/>
      <c r="P229" s="71"/>
      <c r="Q229" s="67"/>
      <c r="R229" s="67"/>
      <c r="S229" s="67"/>
      <c r="T229" s="67"/>
      <c r="U229" s="71"/>
      <c r="V229" s="67"/>
    </row>
    <row r="230" spans="1:22" ht="16.899999999999999" customHeight="1" x14ac:dyDescent="0.2">
      <c r="A230" s="71"/>
      <c r="B230" s="71"/>
      <c r="C230" s="71"/>
      <c r="D230" s="72"/>
      <c r="E230" s="67"/>
      <c r="F230" s="67"/>
      <c r="G230" s="67"/>
      <c r="H230" s="67"/>
      <c r="I230" s="67"/>
      <c r="J230" s="67"/>
      <c r="K230" s="67"/>
      <c r="L230" s="67"/>
      <c r="M230" s="67"/>
      <c r="N230" s="71"/>
      <c r="O230" s="71"/>
      <c r="P230" s="71"/>
      <c r="Q230" s="67"/>
      <c r="R230" s="67"/>
      <c r="S230" s="67"/>
      <c r="T230" s="67"/>
      <c r="U230" s="71"/>
      <c r="V230" s="67"/>
    </row>
    <row r="231" spans="1:22" ht="16.899999999999999" customHeight="1" x14ac:dyDescent="0.2">
      <c r="A231" s="71"/>
      <c r="B231" s="71"/>
      <c r="C231" s="71"/>
      <c r="D231" s="72"/>
      <c r="E231" s="67"/>
      <c r="F231" s="67"/>
      <c r="G231" s="67"/>
      <c r="H231" s="67"/>
      <c r="I231" s="67"/>
      <c r="J231" s="67"/>
      <c r="K231" s="67"/>
      <c r="L231" s="67"/>
      <c r="M231" s="67"/>
      <c r="N231" s="71"/>
      <c r="O231" s="71"/>
      <c r="P231" s="71"/>
      <c r="Q231" s="67"/>
      <c r="R231" s="67"/>
      <c r="S231" s="67"/>
      <c r="T231" s="67"/>
      <c r="U231" s="71"/>
      <c r="V231" s="67"/>
    </row>
    <row r="232" spans="1:22" ht="16.899999999999999" customHeight="1" x14ac:dyDescent="0.2">
      <c r="A232" s="71"/>
      <c r="B232" s="71"/>
      <c r="C232" s="71"/>
      <c r="D232" s="72"/>
      <c r="E232" s="67"/>
      <c r="F232" s="67"/>
      <c r="G232" s="67"/>
      <c r="H232" s="67"/>
      <c r="I232" s="67"/>
      <c r="J232" s="67"/>
      <c r="K232" s="67"/>
      <c r="L232" s="67"/>
      <c r="M232" s="67"/>
      <c r="N232" s="71"/>
      <c r="O232" s="71"/>
      <c r="P232" s="71"/>
      <c r="Q232" s="67"/>
      <c r="R232" s="67"/>
      <c r="S232" s="67"/>
      <c r="T232" s="67"/>
      <c r="U232" s="71"/>
      <c r="V232" s="67"/>
    </row>
    <row r="233" spans="1:22" ht="16.899999999999999" customHeight="1" x14ac:dyDescent="0.2">
      <c r="A233" s="71"/>
      <c r="B233" s="71"/>
      <c r="C233" s="71"/>
      <c r="D233" s="72"/>
      <c r="E233" s="67"/>
      <c r="F233" s="67"/>
      <c r="G233" s="67"/>
      <c r="H233" s="67"/>
      <c r="I233" s="67"/>
      <c r="J233" s="67"/>
      <c r="K233" s="67"/>
      <c r="L233" s="67"/>
      <c r="M233" s="67"/>
      <c r="N233" s="71"/>
      <c r="O233" s="71"/>
      <c r="P233" s="71"/>
      <c r="Q233" s="67"/>
      <c r="R233" s="67"/>
      <c r="S233" s="67"/>
      <c r="T233" s="67"/>
      <c r="U233" s="71"/>
      <c r="V233" s="67"/>
    </row>
    <row r="234" spans="1:22" ht="16.899999999999999" customHeight="1" x14ac:dyDescent="0.2">
      <c r="A234" s="71"/>
      <c r="B234" s="71"/>
      <c r="C234" s="71"/>
      <c r="D234" s="72"/>
      <c r="E234" s="67"/>
      <c r="F234" s="67"/>
      <c r="G234" s="67"/>
      <c r="H234" s="67"/>
      <c r="I234" s="67"/>
      <c r="J234" s="67"/>
      <c r="K234" s="67"/>
      <c r="L234" s="67"/>
      <c r="M234" s="67"/>
      <c r="N234" s="71"/>
      <c r="O234" s="71"/>
      <c r="P234" s="71"/>
      <c r="Q234" s="67"/>
      <c r="R234" s="67"/>
      <c r="S234" s="67"/>
      <c r="T234" s="67"/>
      <c r="U234" s="71"/>
      <c r="V234" s="67"/>
    </row>
    <row r="235" spans="1:22" ht="16.899999999999999" customHeight="1" x14ac:dyDescent="0.2">
      <c r="A235" s="71"/>
      <c r="B235" s="71"/>
      <c r="C235" s="71"/>
      <c r="D235" s="72"/>
      <c r="E235" s="67"/>
      <c r="F235" s="67"/>
      <c r="G235" s="67"/>
      <c r="H235" s="67"/>
      <c r="I235" s="67"/>
      <c r="J235" s="67"/>
      <c r="K235" s="67"/>
      <c r="L235" s="67"/>
      <c r="M235" s="67"/>
      <c r="N235" s="71"/>
      <c r="O235" s="71"/>
      <c r="P235" s="71"/>
      <c r="Q235" s="67"/>
      <c r="R235" s="67"/>
      <c r="S235" s="67"/>
      <c r="T235" s="67"/>
      <c r="U235" s="71"/>
      <c r="V235" s="67"/>
    </row>
    <row r="236" spans="1:22" ht="16.899999999999999" customHeight="1" x14ac:dyDescent="0.2">
      <c r="A236" s="71"/>
      <c r="B236" s="71"/>
      <c r="C236" s="71"/>
      <c r="D236" s="72"/>
      <c r="E236" s="67"/>
      <c r="F236" s="67"/>
      <c r="G236" s="67"/>
      <c r="H236" s="67"/>
      <c r="I236" s="67"/>
      <c r="J236" s="67"/>
      <c r="K236" s="67"/>
      <c r="L236" s="67"/>
      <c r="M236" s="67"/>
      <c r="N236" s="71"/>
      <c r="O236" s="71"/>
      <c r="P236" s="71"/>
      <c r="Q236" s="67"/>
      <c r="R236" s="67"/>
      <c r="S236" s="67"/>
      <c r="T236" s="67"/>
      <c r="U236" s="71"/>
      <c r="V236" s="67"/>
    </row>
    <row r="237" spans="1:22" ht="16.899999999999999" customHeight="1" x14ac:dyDescent="0.2">
      <c r="A237" s="71"/>
      <c r="B237" s="71"/>
      <c r="C237" s="71"/>
      <c r="D237" s="72"/>
      <c r="E237" s="67"/>
      <c r="F237" s="67"/>
      <c r="G237" s="67"/>
      <c r="H237" s="67"/>
      <c r="I237" s="67"/>
      <c r="J237" s="67"/>
      <c r="K237" s="67"/>
      <c r="L237" s="67"/>
      <c r="M237" s="67"/>
      <c r="N237" s="71"/>
      <c r="O237" s="71"/>
      <c r="P237" s="71"/>
      <c r="Q237" s="67"/>
      <c r="R237" s="67"/>
      <c r="S237" s="67"/>
      <c r="T237" s="67"/>
      <c r="U237" s="71"/>
      <c r="V237" s="67"/>
    </row>
    <row r="238" spans="1:22" ht="16.899999999999999" customHeight="1" x14ac:dyDescent="0.2">
      <c r="A238" s="71"/>
      <c r="B238" s="71"/>
      <c r="C238" s="71"/>
      <c r="D238" s="72"/>
      <c r="E238" s="67"/>
      <c r="F238" s="67"/>
      <c r="G238" s="67"/>
      <c r="H238" s="67"/>
      <c r="I238" s="67"/>
      <c r="J238" s="67"/>
      <c r="K238" s="67"/>
      <c r="L238" s="67"/>
      <c r="M238" s="67"/>
      <c r="N238" s="71"/>
      <c r="O238" s="71"/>
      <c r="P238" s="71"/>
      <c r="Q238" s="67"/>
      <c r="R238" s="67"/>
      <c r="S238" s="67"/>
      <c r="T238" s="67"/>
      <c r="U238" s="71"/>
      <c r="V238" s="67"/>
    </row>
    <row r="239" spans="1:22" ht="16.899999999999999" customHeight="1" x14ac:dyDescent="0.2">
      <c r="A239" s="71"/>
      <c r="B239" s="71"/>
      <c r="C239" s="71"/>
      <c r="D239" s="72"/>
      <c r="E239" s="67"/>
      <c r="F239" s="67"/>
      <c r="G239" s="67"/>
      <c r="H239" s="67"/>
      <c r="I239" s="67"/>
      <c r="J239" s="67"/>
      <c r="K239" s="67"/>
      <c r="L239" s="67"/>
      <c r="M239" s="67"/>
      <c r="N239" s="71"/>
      <c r="O239" s="71"/>
      <c r="P239" s="71"/>
      <c r="Q239" s="67"/>
      <c r="R239" s="67"/>
      <c r="S239" s="67"/>
      <c r="T239" s="67"/>
      <c r="U239" s="71"/>
      <c r="V239" s="67"/>
    </row>
    <row r="240" spans="1:22" ht="16.899999999999999" customHeight="1" x14ac:dyDescent="0.2">
      <c r="A240" s="71"/>
      <c r="B240" s="71"/>
      <c r="C240" s="71"/>
      <c r="D240" s="72"/>
      <c r="E240" s="67"/>
      <c r="F240" s="67"/>
      <c r="G240" s="67"/>
      <c r="H240" s="67"/>
      <c r="I240" s="67"/>
      <c r="J240" s="67"/>
      <c r="K240" s="67"/>
      <c r="L240" s="67"/>
      <c r="M240" s="67"/>
      <c r="N240" s="71"/>
      <c r="O240" s="71"/>
      <c r="P240" s="71"/>
      <c r="Q240" s="67"/>
      <c r="R240" s="67"/>
      <c r="S240" s="67"/>
      <c r="T240" s="67"/>
      <c r="U240" s="71"/>
      <c r="V240" s="67"/>
    </row>
    <row r="241" spans="1:22" ht="16.899999999999999" customHeight="1" x14ac:dyDescent="0.2">
      <c r="A241" s="71"/>
      <c r="B241" s="71"/>
      <c r="C241" s="71"/>
      <c r="D241" s="72"/>
      <c r="E241" s="67"/>
      <c r="F241" s="67"/>
      <c r="G241" s="67"/>
      <c r="H241" s="67"/>
      <c r="I241" s="67"/>
      <c r="J241" s="67"/>
      <c r="K241" s="67"/>
      <c r="L241" s="67"/>
      <c r="M241" s="67"/>
      <c r="N241" s="71"/>
      <c r="O241" s="71"/>
      <c r="P241" s="71"/>
      <c r="Q241" s="67"/>
      <c r="R241" s="67"/>
      <c r="S241" s="67"/>
      <c r="T241" s="67"/>
      <c r="U241" s="71"/>
      <c r="V241" s="67"/>
    </row>
    <row r="242" spans="1:22" ht="16.899999999999999" customHeight="1" x14ac:dyDescent="0.2">
      <c r="A242" s="71"/>
      <c r="B242" s="71"/>
      <c r="C242" s="71"/>
      <c r="D242" s="72"/>
      <c r="E242" s="67"/>
      <c r="F242" s="67"/>
      <c r="G242" s="67"/>
      <c r="H242" s="67"/>
      <c r="I242" s="67"/>
      <c r="J242" s="67"/>
      <c r="K242" s="67"/>
      <c r="L242" s="67"/>
      <c r="M242" s="67"/>
      <c r="N242" s="71"/>
      <c r="O242" s="71"/>
      <c r="P242" s="71"/>
      <c r="Q242" s="67"/>
      <c r="R242" s="67"/>
      <c r="S242" s="67"/>
      <c r="T242" s="67"/>
      <c r="U242" s="71"/>
      <c r="V242" s="67"/>
    </row>
    <row r="243" spans="1:22" ht="16.899999999999999" customHeight="1" x14ac:dyDescent="0.2">
      <c r="A243" s="71"/>
      <c r="B243" s="71"/>
      <c r="C243" s="71"/>
      <c r="D243" s="72"/>
      <c r="E243" s="67"/>
      <c r="F243" s="67"/>
      <c r="G243" s="67"/>
      <c r="H243" s="67"/>
      <c r="I243" s="67"/>
      <c r="J243" s="67"/>
      <c r="K243" s="67"/>
      <c r="L243" s="67"/>
      <c r="M243" s="67"/>
      <c r="N243" s="71"/>
      <c r="O243" s="71"/>
      <c r="P243" s="71"/>
      <c r="Q243" s="67"/>
      <c r="R243" s="67"/>
      <c r="S243" s="67"/>
      <c r="T243" s="67"/>
      <c r="U243" s="71"/>
      <c r="V243" s="67"/>
    </row>
    <row r="244" spans="1:22" ht="16.899999999999999" customHeight="1" x14ac:dyDescent="0.2">
      <c r="A244" s="71"/>
      <c r="B244" s="71"/>
      <c r="C244" s="71"/>
      <c r="D244" s="72"/>
      <c r="E244" s="67"/>
      <c r="F244" s="67"/>
      <c r="G244" s="67"/>
      <c r="H244" s="67"/>
      <c r="I244" s="67"/>
      <c r="J244" s="67"/>
      <c r="K244" s="67"/>
      <c r="L244" s="67"/>
      <c r="M244" s="67"/>
      <c r="N244" s="71"/>
      <c r="O244" s="71"/>
      <c r="P244" s="71"/>
      <c r="Q244" s="67"/>
      <c r="R244" s="67"/>
      <c r="S244" s="67"/>
      <c r="T244" s="67"/>
      <c r="U244" s="71"/>
      <c r="V244" s="67"/>
    </row>
    <row r="245" spans="1:22" ht="16.899999999999999" customHeight="1" x14ac:dyDescent="0.2">
      <c r="A245" s="71"/>
      <c r="B245" s="71"/>
      <c r="C245" s="71"/>
      <c r="D245" s="72"/>
      <c r="E245" s="67"/>
      <c r="F245" s="67"/>
      <c r="G245" s="67"/>
      <c r="H245" s="67"/>
      <c r="I245" s="67"/>
      <c r="J245" s="67"/>
      <c r="K245" s="67"/>
      <c r="L245" s="67"/>
      <c r="M245" s="67"/>
      <c r="N245" s="71"/>
      <c r="O245" s="71"/>
      <c r="P245" s="71"/>
      <c r="Q245" s="67"/>
      <c r="R245" s="67"/>
      <c r="S245" s="67"/>
      <c r="T245" s="67"/>
      <c r="U245" s="71"/>
      <c r="V245" s="67"/>
    </row>
    <row r="246" spans="1:22" ht="16.899999999999999" customHeight="1" x14ac:dyDescent="0.2">
      <c r="A246" s="71"/>
      <c r="B246" s="71"/>
      <c r="C246" s="71"/>
      <c r="D246" s="72"/>
      <c r="E246" s="67"/>
      <c r="F246" s="67"/>
      <c r="G246" s="67"/>
      <c r="H246" s="67"/>
      <c r="I246" s="67"/>
      <c r="J246" s="67"/>
      <c r="K246" s="67"/>
      <c r="L246" s="67"/>
      <c r="M246" s="67"/>
      <c r="N246" s="71"/>
      <c r="O246" s="71"/>
      <c r="P246" s="71"/>
      <c r="Q246" s="67"/>
      <c r="R246" s="67"/>
      <c r="S246" s="67"/>
      <c r="T246" s="67"/>
      <c r="U246" s="71"/>
      <c r="V246" s="67"/>
    </row>
    <row r="247" spans="1:22" ht="16.899999999999999" customHeight="1" x14ac:dyDescent="0.2">
      <c r="A247" s="71"/>
      <c r="B247" s="71"/>
      <c r="C247" s="71"/>
      <c r="D247" s="72"/>
      <c r="E247" s="67"/>
      <c r="F247" s="67"/>
      <c r="G247" s="67"/>
      <c r="H247" s="67"/>
      <c r="I247" s="67"/>
      <c r="J247" s="67"/>
      <c r="K247" s="67"/>
      <c r="L247" s="67"/>
      <c r="M247" s="67"/>
      <c r="N247" s="71"/>
      <c r="O247" s="71"/>
      <c r="P247" s="71"/>
      <c r="Q247" s="67"/>
      <c r="R247" s="67"/>
      <c r="S247" s="67"/>
      <c r="T247" s="67"/>
      <c r="U247" s="71"/>
      <c r="V247" s="67"/>
    </row>
    <row r="248" spans="1:22" ht="16.899999999999999" customHeight="1" x14ac:dyDescent="0.2">
      <c r="A248" s="71"/>
      <c r="B248" s="71"/>
      <c r="C248" s="71"/>
      <c r="D248" s="72"/>
      <c r="E248" s="67"/>
      <c r="F248" s="67"/>
      <c r="G248" s="67"/>
      <c r="H248" s="67"/>
      <c r="I248" s="67"/>
      <c r="J248" s="67"/>
      <c r="K248" s="67"/>
      <c r="L248" s="67"/>
      <c r="M248" s="67"/>
      <c r="N248" s="71"/>
      <c r="O248" s="71"/>
      <c r="P248" s="71"/>
      <c r="Q248" s="67"/>
      <c r="R248" s="67"/>
      <c r="S248" s="67"/>
      <c r="T248" s="67"/>
      <c r="U248" s="71"/>
      <c r="V248" s="67"/>
    </row>
    <row r="249" spans="1:22" ht="16.899999999999999" customHeight="1" x14ac:dyDescent="0.2">
      <c r="A249" s="71"/>
      <c r="B249" s="71"/>
      <c r="C249" s="71"/>
      <c r="D249" s="72"/>
      <c r="E249" s="67"/>
      <c r="F249" s="67"/>
      <c r="G249" s="67"/>
      <c r="H249" s="67"/>
      <c r="I249" s="67"/>
      <c r="J249" s="67"/>
      <c r="K249" s="67"/>
      <c r="L249" s="67"/>
      <c r="M249" s="67"/>
      <c r="N249" s="71"/>
      <c r="O249" s="71"/>
      <c r="P249" s="71"/>
      <c r="Q249" s="67"/>
      <c r="R249" s="67"/>
      <c r="S249" s="67"/>
      <c r="T249" s="67"/>
      <c r="U249" s="71"/>
      <c r="V249" s="67"/>
    </row>
    <row r="250" spans="1:22" ht="16.899999999999999" customHeight="1" x14ac:dyDescent="0.2">
      <c r="A250" s="71"/>
      <c r="B250" s="71"/>
      <c r="C250" s="71"/>
      <c r="D250" s="72"/>
      <c r="E250" s="67"/>
      <c r="F250" s="67"/>
      <c r="G250" s="67"/>
      <c r="H250" s="67"/>
      <c r="I250" s="67"/>
      <c r="J250" s="67"/>
      <c r="K250" s="67"/>
      <c r="L250" s="67"/>
      <c r="M250" s="67"/>
      <c r="N250" s="71"/>
      <c r="O250" s="71"/>
      <c r="P250" s="71"/>
      <c r="Q250" s="67"/>
      <c r="R250" s="67"/>
      <c r="S250" s="67"/>
      <c r="T250" s="67"/>
      <c r="U250" s="71"/>
      <c r="V250" s="67"/>
    </row>
    <row r="251" spans="1:22" ht="16.899999999999999" customHeight="1" x14ac:dyDescent="0.2">
      <c r="A251" s="71"/>
      <c r="B251" s="71"/>
      <c r="C251" s="71"/>
      <c r="D251" s="72"/>
      <c r="E251" s="67"/>
      <c r="F251" s="67"/>
      <c r="G251" s="67"/>
      <c r="H251" s="67"/>
      <c r="I251" s="67"/>
      <c r="J251" s="67"/>
      <c r="K251" s="67"/>
      <c r="L251" s="67"/>
      <c r="M251" s="67"/>
      <c r="N251" s="71"/>
      <c r="O251" s="71"/>
      <c r="P251" s="71"/>
      <c r="Q251" s="67"/>
      <c r="R251" s="67"/>
      <c r="S251" s="67"/>
      <c r="T251" s="67"/>
      <c r="U251" s="71"/>
      <c r="V251" s="67"/>
    </row>
    <row r="252" spans="1:22" ht="16.899999999999999" customHeight="1" x14ac:dyDescent="0.2">
      <c r="A252" s="71"/>
      <c r="B252" s="71"/>
      <c r="C252" s="71"/>
      <c r="D252" s="72"/>
      <c r="E252" s="67"/>
      <c r="F252" s="67"/>
      <c r="G252" s="67"/>
      <c r="H252" s="67"/>
      <c r="I252" s="67"/>
      <c r="J252" s="67"/>
      <c r="K252" s="67"/>
      <c r="L252" s="67"/>
      <c r="M252" s="67"/>
      <c r="N252" s="71"/>
      <c r="O252" s="71"/>
      <c r="P252" s="71"/>
      <c r="Q252" s="67"/>
      <c r="R252" s="67"/>
      <c r="S252" s="67"/>
      <c r="T252" s="67"/>
      <c r="U252" s="71"/>
      <c r="V252" s="67"/>
    </row>
    <row r="253" spans="1:22" ht="16.899999999999999" customHeight="1" x14ac:dyDescent="0.2">
      <c r="A253" s="71"/>
      <c r="B253" s="71"/>
      <c r="C253" s="71"/>
      <c r="D253" s="72"/>
      <c r="E253" s="67"/>
      <c r="F253" s="67"/>
      <c r="G253" s="67"/>
      <c r="H253" s="67"/>
      <c r="I253" s="67"/>
      <c r="J253" s="67"/>
      <c r="K253" s="67"/>
      <c r="L253" s="67"/>
      <c r="M253" s="67"/>
      <c r="N253" s="71"/>
      <c r="O253" s="71"/>
      <c r="P253" s="71"/>
      <c r="Q253" s="67"/>
      <c r="R253" s="67"/>
      <c r="S253" s="67"/>
      <c r="T253" s="67"/>
      <c r="U253" s="71"/>
      <c r="V253" s="67"/>
    </row>
    <row r="254" spans="1:22" ht="16.899999999999999" customHeight="1" x14ac:dyDescent="0.2">
      <c r="A254" s="71"/>
      <c r="B254" s="71"/>
      <c r="C254" s="71"/>
      <c r="D254" s="72"/>
      <c r="E254" s="67"/>
      <c r="F254" s="67"/>
      <c r="G254" s="67"/>
      <c r="H254" s="67"/>
      <c r="I254" s="67"/>
      <c r="J254" s="67"/>
      <c r="K254" s="67"/>
      <c r="L254" s="67"/>
      <c r="M254" s="67"/>
      <c r="N254" s="71"/>
      <c r="O254" s="71"/>
      <c r="P254" s="71"/>
      <c r="Q254" s="67"/>
      <c r="R254" s="67"/>
      <c r="S254" s="67"/>
      <c r="T254" s="67"/>
      <c r="U254" s="71"/>
      <c r="V254" s="67"/>
    </row>
    <row r="255" spans="1:22" ht="16.899999999999999" customHeight="1" x14ac:dyDescent="0.2">
      <c r="A255" s="71"/>
      <c r="B255" s="71"/>
      <c r="C255" s="71"/>
      <c r="D255" s="72"/>
      <c r="E255" s="67"/>
      <c r="F255" s="67"/>
      <c r="G255" s="67"/>
      <c r="H255" s="67"/>
      <c r="I255" s="67"/>
      <c r="J255" s="67"/>
      <c r="K255" s="67"/>
      <c r="L255" s="67"/>
      <c r="M255" s="67"/>
      <c r="N255" s="71"/>
      <c r="O255" s="71"/>
      <c r="P255" s="71"/>
      <c r="Q255" s="67"/>
      <c r="R255" s="67"/>
      <c r="S255" s="67"/>
      <c r="T255" s="67"/>
      <c r="U255" s="71"/>
      <c r="V255" s="67"/>
    </row>
    <row r="256" spans="1:22" ht="16.899999999999999" customHeight="1" x14ac:dyDescent="0.2">
      <c r="A256" s="71"/>
      <c r="B256" s="71"/>
      <c r="C256" s="71"/>
      <c r="D256" s="72"/>
      <c r="E256" s="67"/>
      <c r="F256" s="67"/>
      <c r="G256" s="67"/>
      <c r="H256" s="67"/>
      <c r="I256" s="67"/>
      <c r="J256" s="67"/>
      <c r="K256" s="67"/>
      <c r="L256" s="67"/>
      <c r="M256" s="67"/>
      <c r="N256" s="71"/>
      <c r="O256" s="71"/>
      <c r="P256" s="71"/>
      <c r="Q256" s="67"/>
      <c r="R256" s="67"/>
      <c r="S256" s="67"/>
      <c r="T256" s="67"/>
      <c r="U256" s="71"/>
      <c r="V256" s="67"/>
    </row>
    <row r="257" spans="1:22" ht="16.899999999999999" customHeight="1" x14ac:dyDescent="0.2">
      <c r="A257" s="71"/>
      <c r="B257" s="71"/>
      <c r="C257" s="71"/>
      <c r="D257" s="72"/>
      <c r="E257" s="67"/>
      <c r="F257" s="67"/>
      <c r="G257" s="67"/>
      <c r="H257" s="67"/>
      <c r="I257" s="67"/>
      <c r="J257" s="67"/>
      <c r="K257" s="67"/>
      <c r="L257" s="67"/>
      <c r="M257" s="67"/>
      <c r="N257" s="71"/>
      <c r="O257" s="71"/>
      <c r="P257" s="71"/>
      <c r="Q257" s="67"/>
      <c r="R257" s="67"/>
      <c r="S257" s="67"/>
      <c r="T257" s="67"/>
      <c r="U257" s="71"/>
      <c r="V257" s="67"/>
    </row>
    <row r="258" spans="1:22" ht="16.899999999999999" customHeight="1" x14ac:dyDescent="0.2">
      <c r="A258" s="71"/>
      <c r="B258" s="71"/>
      <c r="C258" s="71"/>
      <c r="D258" s="72"/>
      <c r="E258" s="67"/>
      <c r="F258" s="67"/>
      <c r="G258" s="67"/>
      <c r="H258" s="67"/>
      <c r="I258" s="67"/>
      <c r="J258" s="67"/>
      <c r="K258" s="67"/>
      <c r="L258" s="67"/>
      <c r="M258" s="67"/>
      <c r="N258" s="71"/>
      <c r="O258" s="71"/>
      <c r="P258" s="71"/>
      <c r="Q258" s="67"/>
      <c r="R258" s="67"/>
      <c r="S258" s="67"/>
      <c r="T258" s="67"/>
      <c r="U258" s="71"/>
      <c r="V258" s="67"/>
    </row>
    <row r="259" spans="1:22" ht="16.899999999999999" customHeight="1" x14ac:dyDescent="0.2">
      <c r="A259" s="71"/>
      <c r="B259" s="71"/>
      <c r="C259" s="71"/>
      <c r="D259" s="71"/>
      <c r="E259" s="67"/>
      <c r="F259" s="67"/>
      <c r="G259" s="67"/>
      <c r="H259" s="67"/>
      <c r="I259" s="67"/>
      <c r="J259" s="67"/>
      <c r="K259" s="67"/>
      <c r="L259" s="67"/>
      <c r="M259" s="67"/>
      <c r="N259" s="74"/>
      <c r="O259" s="74"/>
      <c r="P259" s="74"/>
      <c r="Q259" s="67"/>
      <c r="R259" s="67"/>
      <c r="S259" s="67"/>
      <c r="T259" s="67"/>
      <c r="U259" s="74"/>
      <c r="V259" s="67"/>
    </row>
    <row r="260" spans="1:22" ht="16.899999999999999" customHeight="1" x14ac:dyDescent="0.2">
      <c r="A260" s="71"/>
      <c r="B260" s="71"/>
      <c r="C260" s="71"/>
      <c r="D260" s="71"/>
      <c r="E260" s="67"/>
      <c r="F260" s="67"/>
      <c r="G260" s="67"/>
      <c r="H260" s="67"/>
      <c r="I260" s="67"/>
      <c r="J260" s="67"/>
      <c r="K260" s="67"/>
      <c r="L260" s="67"/>
      <c r="M260" s="67"/>
      <c r="N260" s="74"/>
      <c r="O260" s="74"/>
      <c r="P260" s="74"/>
      <c r="Q260" s="67"/>
      <c r="R260" s="67"/>
      <c r="S260" s="67"/>
      <c r="T260" s="67"/>
      <c r="U260" s="74"/>
      <c r="V260" s="67"/>
    </row>
    <row r="261" spans="1:22" ht="16.899999999999999" customHeight="1" x14ac:dyDescent="0.2">
      <c r="A261" s="71"/>
      <c r="B261" s="71"/>
      <c r="C261" s="71"/>
      <c r="D261" s="71"/>
      <c r="E261" s="67"/>
      <c r="F261" s="67"/>
      <c r="G261" s="67"/>
      <c r="H261" s="67"/>
      <c r="I261" s="67"/>
      <c r="J261" s="67"/>
      <c r="K261" s="67"/>
      <c r="L261" s="67"/>
      <c r="M261" s="67"/>
      <c r="N261" s="74"/>
      <c r="O261" s="74"/>
      <c r="P261" s="74"/>
      <c r="Q261" s="67"/>
      <c r="R261" s="67"/>
      <c r="S261" s="67"/>
      <c r="T261" s="67"/>
      <c r="U261" s="74"/>
      <c r="V261" s="67"/>
    </row>
    <row r="262" spans="1:22" ht="16.899999999999999" customHeight="1" x14ac:dyDescent="0.2">
      <c r="A262" s="71"/>
      <c r="B262" s="71"/>
      <c r="C262" s="71"/>
      <c r="D262" s="71"/>
      <c r="E262" s="67"/>
      <c r="F262" s="67"/>
      <c r="G262" s="67"/>
      <c r="H262" s="67"/>
      <c r="I262" s="67"/>
      <c r="J262" s="67"/>
      <c r="K262" s="67"/>
      <c r="L262" s="67"/>
      <c r="M262" s="67"/>
      <c r="N262" s="74"/>
      <c r="O262" s="74"/>
      <c r="P262" s="74"/>
      <c r="Q262" s="67"/>
      <c r="R262" s="67"/>
      <c r="S262" s="67"/>
      <c r="T262" s="67"/>
      <c r="U262" s="74"/>
      <c r="V262" s="67"/>
    </row>
    <row r="263" spans="1:22" ht="16.899999999999999" customHeight="1" x14ac:dyDescent="0.2">
      <c r="A263" s="71"/>
      <c r="B263" s="71"/>
      <c r="C263" s="71"/>
      <c r="D263" s="71"/>
      <c r="E263" s="67"/>
      <c r="F263" s="67"/>
      <c r="G263" s="67"/>
      <c r="H263" s="67"/>
      <c r="I263" s="67"/>
      <c r="J263" s="67"/>
      <c r="K263" s="67"/>
      <c r="L263" s="67"/>
      <c r="M263" s="67"/>
      <c r="N263" s="74"/>
      <c r="O263" s="74"/>
      <c r="P263" s="74"/>
      <c r="Q263" s="67"/>
      <c r="R263" s="67"/>
      <c r="S263" s="67"/>
      <c r="T263" s="67"/>
      <c r="U263" s="74"/>
      <c r="V263" s="67"/>
    </row>
    <row r="264" spans="1:22" ht="16.899999999999999" customHeight="1" x14ac:dyDescent="0.2">
      <c r="A264" s="71"/>
      <c r="B264" s="71"/>
      <c r="C264" s="71"/>
      <c r="D264" s="71"/>
      <c r="E264" s="67"/>
      <c r="F264" s="67"/>
      <c r="G264" s="67"/>
      <c r="H264" s="67"/>
      <c r="I264" s="67"/>
      <c r="J264" s="67"/>
      <c r="K264" s="67"/>
      <c r="L264" s="67"/>
      <c r="M264" s="67"/>
      <c r="N264" s="74"/>
      <c r="O264" s="74"/>
      <c r="P264" s="74"/>
      <c r="Q264" s="67"/>
      <c r="R264" s="67"/>
      <c r="S264" s="67"/>
      <c r="T264" s="67"/>
      <c r="U264" s="74"/>
      <c r="V264" s="67"/>
    </row>
    <row r="265" spans="1:22" ht="16.899999999999999" customHeight="1" x14ac:dyDescent="0.2">
      <c r="A265" s="71"/>
      <c r="B265" s="71"/>
      <c r="C265" s="71"/>
      <c r="D265" s="71"/>
      <c r="E265" s="67"/>
      <c r="F265" s="67"/>
      <c r="G265" s="67"/>
      <c r="H265" s="67"/>
      <c r="I265" s="67"/>
      <c r="J265" s="67"/>
      <c r="K265" s="67"/>
      <c r="L265" s="67"/>
      <c r="M265" s="67"/>
      <c r="N265" s="74"/>
      <c r="O265" s="74"/>
      <c r="P265" s="74"/>
      <c r="Q265" s="67"/>
      <c r="R265" s="67"/>
      <c r="S265" s="67"/>
      <c r="T265" s="67"/>
      <c r="U265" s="74"/>
      <c r="V265" s="67"/>
    </row>
    <row r="266" spans="1:22" ht="16.899999999999999" customHeight="1" x14ac:dyDescent="0.2">
      <c r="A266" s="71"/>
      <c r="B266" s="71"/>
      <c r="C266" s="71"/>
      <c r="D266" s="71"/>
      <c r="E266" s="67"/>
      <c r="F266" s="67"/>
      <c r="G266" s="67"/>
      <c r="H266" s="67"/>
      <c r="I266" s="67"/>
      <c r="J266" s="67"/>
      <c r="K266" s="67"/>
      <c r="L266" s="67"/>
      <c r="M266" s="67"/>
      <c r="N266" s="74"/>
      <c r="O266" s="74"/>
      <c r="P266" s="74"/>
      <c r="Q266" s="67"/>
      <c r="R266" s="67"/>
      <c r="S266" s="67"/>
      <c r="T266" s="67"/>
      <c r="U266" s="74"/>
      <c r="V266" s="67"/>
    </row>
    <row r="267" spans="1:22" ht="16.899999999999999" customHeight="1" x14ac:dyDescent="0.2">
      <c r="A267" s="71"/>
      <c r="B267" s="71"/>
      <c r="C267" s="71"/>
      <c r="D267" s="71"/>
      <c r="E267" s="67"/>
      <c r="F267" s="67"/>
      <c r="G267" s="67"/>
      <c r="H267" s="67"/>
      <c r="I267" s="67"/>
      <c r="J267" s="67"/>
      <c r="K267" s="67"/>
      <c r="L267" s="67"/>
      <c r="M267" s="67"/>
      <c r="N267" s="74"/>
      <c r="O267" s="74"/>
      <c r="P267" s="74"/>
      <c r="Q267" s="67"/>
      <c r="R267" s="67"/>
      <c r="S267" s="67"/>
      <c r="T267" s="67"/>
      <c r="U267" s="74"/>
      <c r="V267" s="67"/>
    </row>
    <row r="268" spans="1:22" ht="16.899999999999999" customHeight="1" x14ac:dyDescent="0.2">
      <c r="A268" s="71"/>
      <c r="B268" s="71"/>
      <c r="C268" s="71"/>
      <c r="D268" s="71"/>
      <c r="E268" s="67"/>
      <c r="F268" s="67"/>
      <c r="G268" s="67"/>
      <c r="H268" s="67"/>
      <c r="I268" s="67"/>
      <c r="J268" s="67"/>
      <c r="K268" s="67"/>
      <c r="L268" s="67"/>
      <c r="M268" s="67"/>
      <c r="N268" s="74"/>
      <c r="O268" s="74"/>
      <c r="P268" s="74"/>
      <c r="Q268" s="67"/>
      <c r="R268" s="67"/>
      <c r="S268" s="67"/>
      <c r="T268" s="67"/>
      <c r="U268" s="74"/>
      <c r="V268" s="67"/>
    </row>
    <row r="269" spans="1:22" ht="16.899999999999999" customHeight="1" x14ac:dyDescent="0.2">
      <c r="A269" s="71"/>
      <c r="B269" s="71"/>
      <c r="C269" s="71"/>
      <c r="D269" s="71"/>
      <c r="E269" s="67"/>
      <c r="F269" s="67"/>
      <c r="G269" s="67"/>
      <c r="H269" s="67"/>
      <c r="I269" s="67"/>
      <c r="J269" s="67"/>
      <c r="K269" s="67"/>
      <c r="L269" s="67"/>
      <c r="M269" s="67"/>
      <c r="N269" s="74"/>
      <c r="O269" s="74"/>
      <c r="P269" s="74"/>
      <c r="Q269" s="67"/>
      <c r="R269" s="67"/>
      <c r="S269" s="67"/>
      <c r="T269" s="67"/>
      <c r="U269" s="74"/>
      <c r="V269" s="67"/>
    </row>
    <row r="270" spans="1:22" ht="16.899999999999999" customHeight="1" x14ac:dyDescent="0.2">
      <c r="A270" s="71"/>
      <c r="B270" s="71"/>
      <c r="C270" s="71"/>
      <c r="D270" s="71"/>
      <c r="E270" s="67"/>
      <c r="F270" s="67"/>
      <c r="G270" s="67"/>
      <c r="H270" s="67"/>
      <c r="I270" s="67"/>
      <c r="J270" s="67"/>
      <c r="K270" s="67"/>
      <c r="L270" s="67"/>
      <c r="M270" s="67"/>
      <c r="N270" s="74"/>
      <c r="O270" s="74"/>
      <c r="P270" s="74"/>
      <c r="Q270" s="67"/>
      <c r="R270" s="67"/>
      <c r="S270" s="67"/>
      <c r="T270" s="67"/>
      <c r="U270" s="74"/>
      <c r="V270" s="67"/>
    </row>
    <row r="271" spans="1:22" ht="16.899999999999999" customHeight="1" x14ac:dyDescent="0.2">
      <c r="A271" s="71"/>
      <c r="B271" s="71"/>
      <c r="C271" s="71"/>
      <c r="D271" s="71"/>
      <c r="E271" s="67"/>
      <c r="F271" s="67"/>
      <c r="G271" s="67"/>
      <c r="H271" s="67"/>
      <c r="I271" s="67"/>
      <c r="J271" s="67"/>
      <c r="K271" s="67"/>
      <c r="L271" s="67"/>
      <c r="M271" s="67"/>
      <c r="N271" s="74"/>
      <c r="O271" s="74"/>
      <c r="P271" s="74"/>
      <c r="Q271" s="67"/>
      <c r="R271" s="67"/>
      <c r="S271" s="67"/>
      <c r="T271" s="67"/>
      <c r="U271" s="74"/>
      <c r="V271" s="67"/>
    </row>
    <row r="272" spans="1:22" ht="16.899999999999999" customHeight="1" x14ac:dyDescent="0.2">
      <c r="A272" s="71"/>
      <c r="B272" s="71"/>
      <c r="C272" s="71"/>
      <c r="D272" s="71"/>
      <c r="E272" s="67"/>
      <c r="F272" s="67"/>
      <c r="G272" s="67"/>
      <c r="H272" s="67"/>
      <c r="I272" s="67"/>
      <c r="J272" s="67"/>
      <c r="K272" s="67"/>
      <c r="L272" s="67"/>
      <c r="M272" s="67"/>
      <c r="N272" s="74"/>
      <c r="O272" s="74"/>
      <c r="P272" s="74"/>
      <c r="Q272" s="67"/>
      <c r="R272" s="67"/>
      <c r="S272" s="67"/>
      <c r="T272" s="67"/>
      <c r="U272" s="74"/>
      <c r="V272" s="67"/>
    </row>
    <row r="273" spans="1:22" ht="16.899999999999999" customHeight="1" x14ac:dyDescent="0.2">
      <c r="A273" s="71"/>
      <c r="B273" s="71"/>
      <c r="C273" s="71"/>
      <c r="D273" s="71"/>
      <c r="E273" s="67"/>
      <c r="F273" s="67"/>
      <c r="G273" s="67"/>
      <c r="H273" s="67"/>
      <c r="I273" s="67"/>
      <c r="J273" s="67"/>
      <c r="K273" s="67"/>
      <c r="L273" s="67"/>
      <c r="M273" s="67"/>
      <c r="N273" s="74"/>
      <c r="O273" s="74"/>
      <c r="P273" s="74"/>
      <c r="Q273" s="67"/>
      <c r="R273" s="67"/>
      <c r="S273" s="67"/>
      <c r="T273" s="67"/>
      <c r="U273" s="74"/>
      <c r="V273" s="67"/>
    </row>
    <row r="274" spans="1:22" ht="16.899999999999999" customHeight="1" x14ac:dyDescent="0.2">
      <c r="A274" s="71"/>
      <c r="B274" s="71"/>
      <c r="C274" s="71"/>
      <c r="D274" s="71"/>
      <c r="E274" s="67"/>
      <c r="F274" s="67"/>
      <c r="G274" s="67"/>
      <c r="H274" s="67"/>
      <c r="I274" s="67"/>
      <c r="J274" s="67"/>
      <c r="K274" s="67"/>
      <c r="L274" s="67"/>
      <c r="M274" s="67"/>
      <c r="N274" s="74"/>
      <c r="O274" s="74"/>
      <c r="P274" s="74"/>
      <c r="Q274" s="67"/>
      <c r="R274" s="67"/>
      <c r="S274" s="67"/>
      <c r="T274" s="67"/>
      <c r="U274" s="74"/>
      <c r="V274" s="67"/>
    </row>
    <row r="275" spans="1:22" ht="16.899999999999999" customHeight="1" x14ac:dyDescent="0.2">
      <c r="A275" s="71"/>
      <c r="B275" s="71"/>
      <c r="C275" s="71"/>
      <c r="D275" s="71"/>
      <c r="E275" s="67"/>
      <c r="F275" s="67"/>
      <c r="G275" s="67"/>
      <c r="H275" s="67"/>
      <c r="I275" s="67"/>
      <c r="J275" s="67"/>
      <c r="K275" s="67"/>
      <c r="L275" s="67"/>
      <c r="M275" s="67"/>
      <c r="N275" s="74"/>
      <c r="O275" s="74"/>
      <c r="P275" s="74"/>
      <c r="Q275" s="67"/>
      <c r="R275" s="67"/>
      <c r="S275" s="67"/>
      <c r="T275" s="67"/>
      <c r="U275" s="74"/>
      <c r="V275" s="67"/>
    </row>
    <row r="276" spans="1:22" ht="16.899999999999999" customHeight="1" x14ac:dyDescent="0.2">
      <c r="A276" s="71"/>
      <c r="B276" s="71"/>
      <c r="C276" s="71"/>
      <c r="D276" s="71"/>
      <c r="E276" s="67"/>
      <c r="F276" s="67"/>
      <c r="G276" s="67"/>
      <c r="H276" s="67"/>
      <c r="I276" s="67"/>
      <c r="J276" s="67"/>
      <c r="K276" s="67"/>
      <c r="L276" s="67"/>
      <c r="M276" s="67"/>
      <c r="N276" s="74"/>
      <c r="O276" s="74"/>
      <c r="P276" s="74"/>
      <c r="Q276" s="67"/>
      <c r="R276" s="67"/>
      <c r="S276" s="67"/>
      <c r="T276" s="67"/>
      <c r="U276" s="74"/>
      <c r="V276" s="67"/>
    </row>
    <row r="277" spans="1:22" ht="16.899999999999999" customHeight="1" x14ac:dyDescent="0.2">
      <c r="A277" s="71"/>
      <c r="B277" s="71"/>
      <c r="C277" s="71"/>
      <c r="D277" s="71"/>
      <c r="E277" s="67"/>
      <c r="F277" s="67"/>
      <c r="G277" s="67"/>
      <c r="H277" s="67"/>
      <c r="I277" s="67"/>
      <c r="J277" s="67"/>
      <c r="K277" s="67"/>
      <c r="L277" s="67"/>
      <c r="M277" s="67"/>
      <c r="N277" s="74"/>
      <c r="O277" s="74"/>
      <c r="P277" s="74"/>
      <c r="Q277" s="67"/>
      <c r="R277" s="67"/>
      <c r="S277" s="67"/>
      <c r="T277" s="67"/>
      <c r="U277" s="74"/>
      <c r="V277" s="67"/>
    </row>
    <row r="278" spans="1:22" ht="16.899999999999999" customHeight="1" x14ac:dyDescent="0.2">
      <c r="A278" s="71"/>
      <c r="B278" s="71"/>
      <c r="C278" s="71"/>
      <c r="D278" s="71"/>
      <c r="E278" s="67"/>
      <c r="F278" s="67"/>
      <c r="G278" s="67"/>
      <c r="H278" s="67"/>
      <c r="I278" s="67"/>
      <c r="J278" s="67"/>
      <c r="K278" s="67"/>
      <c r="L278" s="67"/>
      <c r="M278" s="67"/>
      <c r="N278" s="71"/>
      <c r="O278" s="71"/>
      <c r="P278" s="71"/>
      <c r="Q278" s="67"/>
      <c r="R278" s="67"/>
      <c r="S278" s="67"/>
      <c r="T278" s="67"/>
      <c r="U278" s="71"/>
      <c r="V278" s="67"/>
    </row>
    <row r="279" spans="1:22" ht="16.899999999999999" customHeight="1" x14ac:dyDescent="0.2">
      <c r="A279" s="75"/>
      <c r="B279" s="71"/>
      <c r="C279" s="71"/>
      <c r="D279" s="71"/>
      <c r="E279" s="67"/>
      <c r="F279" s="67"/>
      <c r="G279" s="67"/>
      <c r="H279" s="67"/>
      <c r="I279" s="67"/>
      <c r="J279" s="67"/>
      <c r="K279" s="67"/>
      <c r="L279" s="67"/>
      <c r="M279" s="67"/>
      <c r="N279" s="71"/>
      <c r="O279" s="71"/>
      <c r="P279" s="71"/>
      <c r="Q279" s="67"/>
      <c r="R279" s="67"/>
      <c r="S279" s="67"/>
      <c r="T279" s="67"/>
      <c r="U279" s="71"/>
      <c r="V279" s="67"/>
    </row>
    <row r="280" spans="1:22" ht="16.899999999999999" customHeight="1" x14ac:dyDescent="0.2">
      <c r="A280" s="75"/>
      <c r="B280" s="76"/>
      <c r="C280" s="76"/>
      <c r="D280" s="71"/>
      <c r="E280" s="67"/>
      <c r="F280" s="67"/>
      <c r="G280" s="67"/>
      <c r="H280" s="67"/>
      <c r="I280" s="67"/>
      <c r="J280" s="67"/>
      <c r="K280" s="67"/>
      <c r="L280" s="67"/>
      <c r="M280" s="67"/>
      <c r="N280" s="71"/>
      <c r="O280" s="71"/>
      <c r="P280" s="71"/>
      <c r="Q280" s="67"/>
      <c r="R280" s="67"/>
      <c r="S280" s="67"/>
      <c r="T280" s="67"/>
      <c r="U280" s="71"/>
      <c r="V280" s="67"/>
    </row>
    <row r="281" spans="1:22" ht="16.899999999999999" customHeight="1" x14ac:dyDescent="0.2">
      <c r="A281" s="75"/>
      <c r="B281" s="71"/>
      <c r="C281" s="71"/>
      <c r="D281" s="71"/>
      <c r="E281" s="67"/>
      <c r="F281" s="67"/>
      <c r="G281" s="67"/>
      <c r="H281" s="67"/>
      <c r="I281" s="67"/>
      <c r="J281" s="67"/>
      <c r="K281" s="67"/>
      <c r="L281" s="67"/>
      <c r="M281" s="67"/>
      <c r="N281" s="71"/>
      <c r="O281" s="71"/>
      <c r="P281" s="71"/>
      <c r="Q281" s="67"/>
      <c r="R281" s="67"/>
      <c r="S281" s="67"/>
      <c r="T281" s="67"/>
      <c r="U281" s="71"/>
      <c r="V281" s="67"/>
    </row>
    <row r="282" spans="1:22" ht="16.899999999999999" customHeight="1" x14ac:dyDescent="0.2">
      <c r="A282" s="75"/>
      <c r="B282" s="71"/>
      <c r="C282" s="71"/>
      <c r="D282" s="71"/>
      <c r="E282" s="67"/>
      <c r="F282" s="67"/>
      <c r="G282" s="67"/>
      <c r="H282" s="67"/>
      <c r="I282" s="67"/>
      <c r="J282" s="67"/>
      <c r="K282" s="67"/>
      <c r="L282" s="67"/>
      <c r="M282" s="67"/>
      <c r="N282" s="71"/>
      <c r="O282" s="71"/>
      <c r="P282" s="71"/>
      <c r="Q282" s="67"/>
      <c r="R282" s="67"/>
      <c r="S282" s="67"/>
      <c r="T282" s="67"/>
      <c r="U282" s="71"/>
      <c r="V282" s="67"/>
    </row>
    <row r="283" spans="1:22" ht="16.899999999999999" customHeight="1" x14ac:dyDescent="0.2">
      <c r="A283" s="75"/>
      <c r="B283" s="71"/>
      <c r="C283" s="71"/>
      <c r="D283" s="71"/>
      <c r="E283" s="67"/>
      <c r="F283" s="67"/>
      <c r="G283" s="67"/>
      <c r="H283" s="67"/>
      <c r="I283" s="67"/>
      <c r="J283" s="67"/>
      <c r="K283" s="67"/>
      <c r="L283" s="67"/>
      <c r="M283" s="67"/>
      <c r="N283" s="71"/>
      <c r="O283" s="71"/>
      <c r="P283" s="71"/>
      <c r="Q283" s="67"/>
      <c r="R283" s="67"/>
      <c r="S283" s="67"/>
      <c r="T283" s="67"/>
      <c r="U283" s="71"/>
      <c r="V283" s="67"/>
    </row>
    <row r="284" spans="1:22" ht="16.899999999999999" customHeight="1" x14ac:dyDescent="0.2">
      <c r="A284" s="75"/>
      <c r="B284" s="71"/>
      <c r="C284" s="71"/>
      <c r="D284" s="71"/>
      <c r="E284" s="67"/>
      <c r="F284" s="67"/>
      <c r="G284" s="67"/>
      <c r="H284" s="67"/>
      <c r="I284" s="67"/>
      <c r="J284" s="67"/>
      <c r="K284" s="67"/>
      <c r="L284" s="67"/>
      <c r="M284" s="67"/>
      <c r="N284" s="71"/>
      <c r="O284" s="71"/>
      <c r="P284" s="71"/>
      <c r="Q284" s="67"/>
      <c r="R284" s="67"/>
      <c r="S284" s="67"/>
      <c r="T284" s="67"/>
      <c r="U284" s="71"/>
      <c r="V284" s="67"/>
    </row>
    <row r="285" spans="1:22" ht="16.899999999999999" customHeight="1" x14ac:dyDescent="0.2">
      <c r="A285" s="73"/>
      <c r="B285" s="73"/>
      <c r="C285" s="73"/>
      <c r="D285" s="73"/>
      <c r="E285" s="67"/>
      <c r="F285" s="67"/>
      <c r="G285" s="67"/>
      <c r="H285" s="67"/>
      <c r="I285" s="67"/>
      <c r="J285" s="67"/>
      <c r="K285" s="67"/>
      <c r="L285" s="67"/>
      <c r="M285" s="67"/>
      <c r="N285" s="73"/>
      <c r="O285" s="73"/>
      <c r="P285" s="73"/>
      <c r="Q285" s="67"/>
      <c r="R285" s="67"/>
      <c r="S285" s="67"/>
      <c r="T285" s="67"/>
      <c r="U285" s="73"/>
      <c r="V285" s="67"/>
    </row>
    <row r="286" spans="1:22" ht="16.899999999999999" customHeight="1" x14ac:dyDescent="0.2">
      <c r="A286" s="73"/>
      <c r="B286" s="73"/>
      <c r="C286" s="73"/>
      <c r="D286" s="73"/>
      <c r="E286" s="67"/>
      <c r="F286" s="67"/>
      <c r="G286" s="67"/>
      <c r="H286" s="67"/>
      <c r="I286" s="67"/>
      <c r="J286" s="67"/>
      <c r="K286" s="67"/>
      <c r="L286" s="67"/>
      <c r="M286" s="67"/>
      <c r="N286" s="73"/>
      <c r="O286" s="73"/>
      <c r="P286" s="73"/>
      <c r="Q286" s="67"/>
      <c r="R286" s="67"/>
      <c r="S286" s="67"/>
      <c r="T286" s="67"/>
      <c r="U286" s="73"/>
      <c r="V286" s="67"/>
    </row>
  </sheetData>
  <sheetProtection algorithmName="SHA-512" hashValue="iygSmcDf29shpwZ+yv/Wcp3oFIZoWMVAh9cnl/UaRz0oDpEDUhn4oargJkb+m9qXURkZbyk3r89In4b+3UBXxw==" saltValue="1KKU2FbjsAw4hICZkuLAGg==" spinCount="100000" sheet="1" objects="1" scenarios="1"/>
  <protectedRanges>
    <protectedRange sqref="A2:V372" name="Bereik1"/>
  </protectedRanges>
  <phoneticPr fontId="1" type="noConversion"/>
  <pageMargins left="0.39370078740157483" right="0.39370078740157483" top="0.39370078740157483" bottom="0.98425196850393704" header="0" footer="0.39370078740157483"/>
  <pageSetup paperSize="9" scale="74" orientation="landscape" horizontalDpi="4294967292" verticalDpi="4294967292" r:id="rId1"/>
  <headerFooter>
    <oddFooter>&amp;L&amp;"Calibri,Standaard"&amp;K000000&amp;G</oddFooter>
  </headerFooter>
  <colBreaks count="3" manualBreakCount="3">
    <brk id="11" max="33" man="1"/>
    <brk id="16" max="33" man="1"/>
    <brk id="21" max="33" man="1"/>
  </colBreaks>
  <legacyDrawing r:id="rId2"/>
  <legacyDrawingHF r:id="rId3"/>
  <tableParts count="1"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7A718C1-7C2E-4708-A8C7-C26694BA63CF}">
          <x14:formula1>
            <xm:f>'Validation values'!#REF!</xm:f>
          </x14:formula1>
          <xm:sqref>O2:O27</xm:sqref>
        </x14:dataValidation>
        <x14:dataValidation type="list" allowBlank="1" showInputMessage="1" showErrorMessage="1" xr:uid="{EF6AD5DE-C98C-4B2E-B517-C059878F8C8C}">
          <x14:formula1>
            <xm:f>'Validation values'!$A$98:$A$99</xm:f>
          </x14:formula1>
          <xm:sqref>L2:L200</xm:sqref>
        </x14:dataValidation>
        <x14:dataValidation type="list" allowBlank="1" showInputMessage="1" showErrorMessage="1" xr:uid="{6B95DF87-0E8A-4A4A-8E8A-B8A342592F4B}">
          <x14:formula1>
            <xm:f>'Validation values'!$A$102:$A$104</xm:f>
          </x14:formula1>
          <xm:sqref>M2:M200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C742A-807A-4B7E-AEF7-F92A30D61ED2}">
  <sheetPr>
    <tabColor rgb="FF7030A0"/>
  </sheetPr>
  <dimension ref="A1:F107"/>
  <sheetViews>
    <sheetView showGridLines="0" tabSelected="1" showRuler="0" zoomScaleNormal="100" zoomScalePageLayoutView="90" workbookViewId="0">
      <selection activeCell="D15" sqref="D15"/>
    </sheetView>
  </sheetViews>
  <sheetFormatPr defaultColWidth="11.625" defaultRowHeight="16.899999999999999" customHeight="1" x14ac:dyDescent="0.2"/>
  <cols>
    <col min="1" max="1" width="45" style="128" customWidth="1"/>
    <col min="2" max="2" width="36.125" style="21" customWidth="1"/>
    <col min="3" max="3" width="2.75" style="21" customWidth="1"/>
    <col min="4" max="4" width="7.75" style="128" customWidth="1"/>
    <col min="5" max="5" width="20.75" style="21" customWidth="1"/>
    <col min="6" max="6" width="2.75" style="21" customWidth="1"/>
    <col min="7" max="16384" width="11.625" style="21"/>
  </cols>
  <sheetData>
    <row r="1" spans="1:6" ht="16.899999999999999" customHeight="1" x14ac:dyDescent="0.25">
      <c r="A1" s="112" t="str">
        <f>Languages!A205</f>
        <v>Goedkeuring setup en schaduwverwerking</v>
      </c>
      <c r="B1" s="112"/>
      <c r="C1" s="112"/>
      <c r="D1" s="112"/>
      <c r="E1" s="112"/>
      <c r="F1" s="112"/>
    </row>
    <row r="2" spans="1:6" ht="16.899999999999999" customHeight="1" x14ac:dyDescent="0.2">
      <c r="A2" s="36"/>
      <c r="B2" s="36"/>
      <c r="C2" s="36"/>
      <c r="D2" s="36"/>
      <c r="E2" s="36"/>
      <c r="F2" s="36"/>
    </row>
    <row r="3" spans="1:6" ht="16.899999999999999" customHeight="1" x14ac:dyDescent="0.2">
      <c r="A3" s="36" t="str">
        <f>Languages!A207</f>
        <v>Hierbij verklaart ondergetekende dat de inrichting van Cobra conform opgave in dit inventarisatie document is uitgevoerd.</v>
      </c>
      <c r="B3" s="36"/>
      <c r="C3" s="36"/>
      <c r="D3" s="32"/>
      <c r="E3" s="36"/>
      <c r="F3" s="36"/>
    </row>
    <row r="4" spans="1:6" ht="16.899999999999999" customHeight="1" x14ac:dyDescent="0.2">
      <c r="A4" s="32"/>
      <c r="B4" s="36"/>
      <c r="C4" s="36"/>
      <c r="D4" s="32"/>
      <c r="E4" s="36"/>
      <c r="F4" s="36"/>
    </row>
    <row r="5" spans="1:6" ht="16.899999999999999" customHeight="1" x14ac:dyDescent="0.2">
      <c r="A5" s="36" t="str">
        <f>Languages!A206</f>
        <v>Klant</v>
      </c>
      <c r="B5" s="130"/>
      <c r="C5" s="25"/>
      <c r="D5" s="37"/>
      <c r="E5" s="126"/>
      <c r="F5" s="25"/>
    </row>
    <row r="6" spans="1:6" ht="16.899999999999999" customHeight="1" x14ac:dyDescent="0.2">
      <c r="A6" s="36" t="str">
        <f>Languages!A34</f>
        <v>Contactpersoon</v>
      </c>
      <c r="B6" s="130"/>
      <c r="C6" s="25"/>
      <c r="D6" s="36"/>
      <c r="E6" s="25"/>
      <c r="F6" s="25"/>
    </row>
    <row r="7" spans="1:6" ht="16.899999999999999" customHeight="1" x14ac:dyDescent="0.2">
      <c r="A7" s="36"/>
      <c r="B7" s="25"/>
      <c r="C7" s="25"/>
      <c r="D7" s="36"/>
      <c r="E7" s="25"/>
      <c r="F7" s="25"/>
    </row>
    <row r="8" spans="1:6" ht="16.899999999999999" customHeight="1" x14ac:dyDescent="0.2">
      <c r="A8" s="36" t="str">
        <f>Languages!A210</f>
        <v>Akkoord met de Cobra setup:</v>
      </c>
      <c r="B8" s="130"/>
      <c r="C8" s="25"/>
      <c r="D8" s="36"/>
      <c r="E8" s="25"/>
      <c r="F8" s="25"/>
    </row>
    <row r="9" spans="1:6" ht="16.899999999999999" customHeight="1" x14ac:dyDescent="0.2">
      <c r="A9" s="36" t="str">
        <f>Languages!A211</f>
        <v>Akkoord met de schaduwverwerking(en):</v>
      </c>
      <c r="B9" s="130"/>
      <c r="C9" s="25"/>
      <c r="D9" s="36"/>
      <c r="E9" s="25"/>
      <c r="F9" s="25"/>
    </row>
    <row r="10" spans="1:6" ht="16.899999999999999" customHeight="1" x14ac:dyDescent="0.2">
      <c r="A10" s="36"/>
      <c r="B10" s="25"/>
      <c r="C10" s="25"/>
      <c r="D10" s="36"/>
      <c r="E10" s="25"/>
      <c r="F10" s="25"/>
    </row>
    <row r="11" spans="1:6" ht="16.899999999999999" customHeight="1" x14ac:dyDescent="0.2">
      <c r="A11" s="132" t="str">
        <f>Languages!A209</f>
        <v>Datum:</v>
      </c>
      <c r="B11" s="135"/>
      <c r="C11" s="104"/>
      <c r="D11" s="95"/>
      <c r="E11" s="104"/>
      <c r="F11" s="104"/>
    </row>
    <row r="12" spans="1:6" ht="16.899999999999999" customHeight="1" x14ac:dyDescent="0.2">
      <c r="A12" s="36"/>
      <c r="B12" s="36"/>
      <c r="C12" s="104"/>
      <c r="D12" s="95"/>
      <c r="E12" s="104"/>
      <c r="F12" s="104"/>
    </row>
    <row r="13" spans="1:6" ht="52.9" customHeight="1" x14ac:dyDescent="0.2">
      <c r="A13" s="131" t="str">
        <f>Languages!A208</f>
        <v>Handtekening:</v>
      </c>
      <c r="B13" s="93"/>
      <c r="C13" s="104"/>
      <c r="D13" s="95"/>
      <c r="E13" s="104"/>
      <c r="F13" s="104"/>
    </row>
    <row r="14" spans="1:6" ht="16.899999999999999" customHeight="1" x14ac:dyDescent="0.2">
      <c r="A14" s="36"/>
      <c r="B14" s="36"/>
      <c r="C14" s="35"/>
      <c r="D14" s="36"/>
      <c r="E14" s="36"/>
      <c r="F14" s="35"/>
    </row>
    <row r="15" spans="1:6" ht="16.899999999999999" customHeight="1" x14ac:dyDescent="0.2">
      <c r="A15" s="36"/>
      <c r="B15" s="36"/>
      <c r="C15" s="104"/>
      <c r="D15" s="95"/>
      <c r="E15" s="104"/>
      <c r="F15" s="104"/>
    </row>
    <row r="16" spans="1:6" ht="16.899999999999999" customHeight="1" x14ac:dyDescent="0.2">
      <c r="A16" s="36"/>
      <c r="B16" s="36"/>
      <c r="C16" s="104"/>
      <c r="D16" s="95"/>
      <c r="E16" s="104"/>
      <c r="F16" s="104"/>
    </row>
    <row r="17" spans="1:6" ht="16.899999999999999" customHeight="1" x14ac:dyDescent="0.2">
      <c r="A17" s="36"/>
      <c r="B17" s="36"/>
      <c r="C17" s="35"/>
      <c r="D17" s="36"/>
      <c r="E17" s="36"/>
      <c r="F17" s="35"/>
    </row>
    <row r="18" spans="1:6" ht="16.899999999999999" customHeight="1" x14ac:dyDescent="0.2">
      <c r="A18" s="36"/>
      <c r="B18" s="36"/>
      <c r="C18" s="95"/>
      <c r="D18" s="95"/>
      <c r="E18" s="95"/>
      <c r="F18" s="95"/>
    </row>
    <row r="19" spans="1:6" ht="16.899999999999999" customHeight="1" x14ac:dyDescent="0.2">
      <c r="A19" s="36"/>
      <c r="B19" s="36"/>
      <c r="C19" s="104"/>
      <c r="D19" s="95"/>
      <c r="E19" s="104"/>
      <c r="F19" s="104"/>
    </row>
    <row r="20" spans="1:6" ht="16.899999999999999" customHeight="1" x14ac:dyDescent="0.2">
      <c r="A20" s="36"/>
      <c r="B20" s="36"/>
      <c r="C20" s="35"/>
      <c r="D20" s="36"/>
      <c r="E20" s="36"/>
      <c r="F20" s="35"/>
    </row>
    <row r="21" spans="1:6" ht="16.899999999999999" customHeight="1" x14ac:dyDescent="0.2">
      <c r="A21" s="37"/>
      <c r="B21" s="36"/>
      <c r="C21" s="35"/>
      <c r="D21" s="36"/>
      <c r="E21" s="36"/>
      <c r="F21" s="35"/>
    </row>
    <row r="22" spans="1:6" ht="16.899999999999999" customHeight="1" x14ac:dyDescent="0.2">
      <c r="A22" s="52"/>
      <c r="B22" s="36"/>
      <c r="C22" s="35"/>
      <c r="D22" s="36"/>
      <c r="E22" s="36"/>
      <c r="F22" s="35"/>
    </row>
    <row r="23" spans="1:6" ht="16.7" customHeight="1" x14ac:dyDescent="0.2">
      <c r="A23" s="119"/>
      <c r="B23" s="36"/>
      <c r="C23" s="33"/>
      <c r="D23" s="33"/>
      <c r="E23" s="33"/>
      <c r="F23" s="33"/>
    </row>
    <row r="24" spans="1:6" ht="16.899999999999999" customHeight="1" x14ac:dyDescent="0.2">
      <c r="B24" s="36"/>
    </row>
    <row r="25" spans="1:6" ht="16.899999999999999" customHeight="1" x14ac:dyDescent="0.2">
      <c r="B25" s="36"/>
    </row>
    <row r="26" spans="1:6" ht="16.899999999999999" customHeight="1" x14ac:dyDescent="0.2">
      <c r="B26" s="36"/>
    </row>
    <row r="27" spans="1:6" ht="16.899999999999999" customHeight="1" x14ac:dyDescent="0.2">
      <c r="B27" s="36"/>
    </row>
    <row r="28" spans="1:6" ht="16.899999999999999" customHeight="1" x14ac:dyDescent="0.2">
      <c r="B28" s="36"/>
    </row>
    <row r="29" spans="1:6" ht="16.899999999999999" customHeight="1" x14ac:dyDescent="0.2">
      <c r="B29" s="36"/>
    </row>
    <row r="30" spans="1:6" ht="16.899999999999999" customHeight="1" x14ac:dyDescent="0.2">
      <c r="B30" s="36"/>
    </row>
    <row r="31" spans="1:6" ht="16.899999999999999" customHeight="1" x14ac:dyDescent="0.2">
      <c r="B31" s="36"/>
    </row>
    <row r="32" spans="1:6" ht="16.899999999999999" customHeight="1" x14ac:dyDescent="0.2">
      <c r="B32" s="36"/>
    </row>
    <row r="33" spans="2:2" ht="16.899999999999999" customHeight="1" x14ac:dyDescent="0.2">
      <c r="B33" s="36"/>
    </row>
    <row r="34" spans="2:2" ht="16.899999999999999" customHeight="1" x14ac:dyDescent="0.2">
      <c r="B34" s="36"/>
    </row>
    <row r="35" spans="2:2" ht="16.899999999999999" customHeight="1" x14ac:dyDescent="0.2">
      <c r="B35" s="36"/>
    </row>
    <row r="36" spans="2:2" ht="16.899999999999999" customHeight="1" x14ac:dyDescent="0.2">
      <c r="B36" s="36"/>
    </row>
    <row r="37" spans="2:2" ht="16.899999999999999" customHeight="1" x14ac:dyDescent="0.2">
      <c r="B37" s="36"/>
    </row>
    <row r="38" spans="2:2" ht="16.899999999999999" customHeight="1" x14ac:dyDescent="0.2">
      <c r="B38" s="36"/>
    </row>
    <row r="39" spans="2:2" ht="16.899999999999999" customHeight="1" x14ac:dyDescent="0.2">
      <c r="B39" s="36"/>
    </row>
    <row r="40" spans="2:2" ht="16.899999999999999" customHeight="1" x14ac:dyDescent="0.2">
      <c r="B40" s="36"/>
    </row>
    <row r="41" spans="2:2" ht="16.899999999999999" customHeight="1" x14ac:dyDescent="0.2">
      <c r="B41" s="36"/>
    </row>
    <row r="42" spans="2:2" ht="16.899999999999999" customHeight="1" x14ac:dyDescent="0.2">
      <c r="B42" s="36"/>
    </row>
    <row r="43" spans="2:2" ht="16.899999999999999" customHeight="1" x14ac:dyDescent="0.2">
      <c r="B43" s="36"/>
    </row>
    <row r="44" spans="2:2" ht="16.899999999999999" customHeight="1" x14ac:dyDescent="0.2">
      <c r="B44" s="36"/>
    </row>
    <row r="45" spans="2:2" ht="16.899999999999999" customHeight="1" x14ac:dyDescent="0.2">
      <c r="B45" s="36"/>
    </row>
    <row r="46" spans="2:2" ht="16.899999999999999" customHeight="1" x14ac:dyDescent="0.2">
      <c r="B46" s="36"/>
    </row>
    <row r="47" spans="2:2" ht="16.899999999999999" customHeight="1" x14ac:dyDescent="0.2">
      <c r="B47" s="36"/>
    </row>
    <row r="48" spans="2:2" ht="16.899999999999999" customHeight="1" x14ac:dyDescent="0.2">
      <c r="B48" s="36"/>
    </row>
    <row r="49" spans="2:2" ht="16.899999999999999" customHeight="1" x14ac:dyDescent="0.2">
      <c r="B49" s="36"/>
    </row>
    <row r="50" spans="2:2" ht="16.899999999999999" customHeight="1" x14ac:dyDescent="0.2">
      <c r="B50" s="36"/>
    </row>
    <row r="51" spans="2:2" ht="16.899999999999999" customHeight="1" x14ac:dyDescent="0.2">
      <c r="B51" s="36"/>
    </row>
    <row r="52" spans="2:2" ht="16.899999999999999" customHeight="1" x14ac:dyDescent="0.2">
      <c r="B52" s="36"/>
    </row>
    <row r="53" spans="2:2" ht="16.899999999999999" customHeight="1" x14ac:dyDescent="0.2">
      <c r="B53" s="36"/>
    </row>
    <row r="54" spans="2:2" ht="16.899999999999999" customHeight="1" x14ac:dyDescent="0.2">
      <c r="B54" s="36"/>
    </row>
    <row r="55" spans="2:2" ht="16.899999999999999" customHeight="1" x14ac:dyDescent="0.2">
      <c r="B55" s="36"/>
    </row>
    <row r="56" spans="2:2" ht="16.899999999999999" customHeight="1" x14ac:dyDescent="0.2">
      <c r="B56" s="36"/>
    </row>
    <row r="57" spans="2:2" ht="16.899999999999999" customHeight="1" x14ac:dyDescent="0.2">
      <c r="B57" s="36"/>
    </row>
    <row r="58" spans="2:2" ht="16.899999999999999" customHeight="1" x14ac:dyDescent="0.2">
      <c r="B58" s="36"/>
    </row>
    <row r="59" spans="2:2" ht="16.899999999999999" customHeight="1" x14ac:dyDescent="0.2">
      <c r="B59" s="36"/>
    </row>
    <row r="60" spans="2:2" ht="16.899999999999999" customHeight="1" x14ac:dyDescent="0.2">
      <c r="B60" s="36"/>
    </row>
    <row r="61" spans="2:2" ht="16.899999999999999" customHeight="1" x14ac:dyDescent="0.2">
      <c r="B61" s="36"/>
    </row>
    <row r="62" spans="2:2" ht="16.899999999999999" customHeight="1" x14ac:dyDescent="0.2">
      <c r="B62" s="36"/>
    </row>
    <row r="63" spans="2:2" ht="16.899999999999999" customHeight="1" x14ac:dyDescent="0.2">
      <c r="B63" s="36"/>
    </row>
    <row r="64" spans="2:2" ht="16.899999999999999" customHeight="1" x14ac:dyDescent="0.2">
      <c r="B64" s="36"/>
    </row>
    <row r="65" spans="2:2" ht="16.899999999999999" customHeight="1" x14ac:dyDescent="0.2">
      <c r="B65" s="36"/>
    </row>
    <row r="66" spans="2:2" ht="16.899999999999999" customHeight="1" x14ac:dyDescent="0.2">
      <c r="B66" s="36"/>
    </row>
    <row r="67" spans="2:2" ht="16.899999999999999" customHeight="1" x14ac:dyDescent="0.2">
      <c r="B67" s="36"/>
    </row>
    <row r="68" spans="2:2" ht="16.899999999999999" customHeight="1" x14ac:dyDescent="0.2">
      <c r="B68" s="36"/>
    </row>
    <row r="69" spans="2:2" ht="16.899999999999999" customHeight="1" x14ac:dyDescent="0.2">
      <c r="B69" s="36"/>
    </row>
    <row r="70" spans="2:2" ht="16.899999999999999" customHeight="1" x14ac:dyDescent="0.2">
      <c r="B70" s="36"/>
    </row>
    <row r="71" spans="2:2" ht="16.899999999999999" customHeight="1" x14ac:dyDescent="0.2">
      <c r="B71" s="36"/>
    </row>
    <row r="72" spans="2:2" ht="16.899999999999999" customHeight="1" x14ac:dyDescent="0.2">
      <c r="B72" s="36"/>
    </row>
    <row r="73" spans="2:2" ht="16.899999999999999" customHeight="1" x14ac:dyDescent="0.2">
      <c r="B73" s="36"/>
    </row>
    <row r="74" spans="2:2" ht="16.899999999999999" customHeight="1" x14ac:dyDescent="0.2">
      <c r="B74" s="36"/>
    </row>
    <row r="75" spans="2:2" ht="16.899999999999999" customHeight="1" x14ac:dyDescent="0.2">
      <c r="B75" s="36"/>
    </row>
    <row r="76" spans="2:2" ht="16.899999999999999" customHeight="1" x14ac:dyDescent="0.2">
      <c r="B76" s="36"/>
    </row>
    <row r="77" spans="2:2" ht="16.899999999999999" customHeight="1" x14ac:dyDescent="0.2">
      <c r="B77" s="36"/>
    </row>
    <row r="78" spans="2:2" ht="16.899999999999999" customHeight="1" x14ac:dyDescent="0.2">
      <c r="B78" s="36"/>
    </row>
    <row r="79" spans="2:2" ht="16.899999999999999" customHeight="1" x14ac:dyDescent="0.2">
      <c r="B79" s="36"/>
    </row>
    <row r="80" spans="2:2" ht="16.899999999999999" customHeight="1" x14ac:dyDescent="0.2">
      <c r="B80" s="36"/>
    </row>
    <row r="81" spans="2:2" ht="16.899999999999999" customHeight="1" x14ac:dyDescent="0.2">
      <c r="B81" s="36"/>
    </row>
    <row r="82" spans="2:2" ht="16.899999999999999" customHeight="1" x14ac:dyDescent="0.2">
      <c r="B82" s="36"/>
    </row>
    <row r="83" spans="2:2" ht="16.899999999999999" customHeight="1" x14ac:dyDescent="0.2">
      <c r="B83" s="36"/>
    </row>
    <row r="84" spans="2:2" ht="16.899999999999999" customHeight="1" x14ac:dyDescent="0.2">
      <c r="B84" s="36"/>
    </row>
    <row r="85" spans="2:2" ht="16.899999999999999" customHeight="1" x14ac:dyDescent="0.2">
      <c r="B85" s="36"/>
    </row>
    <row r="86" spans="2:2" ht="16.899999999999999" customHeight="1" x14ac:dyDescent="0.2">
      <c r="B86" s="36"/>
    </row>
    <row r="87" spans="2:2" ht="16.899999999999999" customHeight="1" x14ac:dyDescent="0.2">
      <c r="B87" s="36"/>
    </row>
    <row r="88" spans="2:2" ht="16.899999999999999" customHeight="1" x14ac:dyDescent="0.2">
      <c r="B88" s="36"/>
    </row>
    <row r="89" spans="2:2" ht="16.899999999999999" customHeight="1" x14ac:dyDescent="0.2">
      <c r="B89" s="36"/>
    </row>
    <row r="90" spans="2:2" ht="16.899999999999999" customHeight="1" x14ac:dyDescent="0.2">
      <c r="B90" s="36"/>
    </row>
    <row r="91" spans="2:2" ht="16.899999999999999" customHeight="1" x14ac:dyDescent="0.2">
      <c r="B91" s="36"/>
    </row>
    <row r="92" spans="2:2" ht="16.899999999999999" customHeight="1" x14ac:dyDescent="0.2">
      <c r="B92" s="36"/>
    </row>
    <row r="93" spans="2:2" ht="16.899999999999999" customHeight="1" x14ac:dyDescent="0.2">
      <c r="B93" s="36"/>
    </row>
    <row r="94" spans="2:2" ht="16.899999999999999" customHeight="1" x14ac:dyDescent="0.2">
      <c r="B94" s="36"/>
    </row>
    <row r="95" spans="2:2" ht="16.899999999999999" customHeight="1" x14ac:dyDescent="0.2">
      <c r="B95" s="36"/>
    </row>
    <row r="96" spans="2:2" ht="16.899999999999999" customHeight="1" x14ac:dyDescent="0.2">
      <c r="B96" s="36"/>
    </row>
    <row r="97" spans="2:2" ht="16.899999999999999" customHeight="1" x14ac:dyDescent="0.2">
      <c r="B97" s="36"/>
    </row>
    <row r="98" spans="2:2" ht="16.899999999999999" customHeight="1" x14ac:dyDescent="0.2">
      <c r="B98" s="36"/>
    </row>
    <row r="99" spans="2:2" ht="16.899999999999999" customHeight="1" x14ac:dyDescent="0.2">
      <c r="B99" s="36"/>
    </row>
    <row r="100" spans="2:2" ht="16.899999999999999" customHeight="1" x14ac:dyDescent="0.2">
      <c r="B100" s="36"/>
    </row>
    <row r="101" spans="2:2" ht="16.899999999999999" customHeight="1" x14ac:dyDescent="0.2">
      <c r="B101" s="36"/>
    </row>
    <row r="102" spans="2:2" ht="16.899999999999999" customHeight="1" x14ac:dyDescent="0.2">
      <c r="B102" s="36"/>
    </row>
    <row r="103" spans="2:2" ht="16.899999999999999" customHeight="1" x14ac:dyDescent="0.2">
      <c r="B103" s="36"/>
    </row>
    <row r="104" spans="2:2" ht="16.899999999999999" customHeight="1" x14ac:dyDescent="0.2">
      <c r="B104" s="36"/>
    </row>
    <row r="105" spans="2:2" ht="16.899999999999999" customHeight="1" x14ac:dyDescent="0.2">
      <c r="B105" s="36"/>
    </row>
    <row r="106" spans="2:2" ht="16.899999999999999" customHeight="1" x14ac:dyDescent="0.2">
      <c r="B106" s="36"/>
    </row>
    <row r="107" spans="2:2" ht="16.899999999999999" customHeight="1" x14ac:dyDescent="0.2">
      <c r="B107" s="36"/>
    </row>
  </sheetData>
  <sheetProtection algorithmName="SHA-512" hashValue="VkWNw4As/OTfN7lODpXuEMiF8qgfvdLLigtTSeSblc5MAGgXdW9ppr5Mr+jQukY//bfKU5upeCr/Uxtu11au5Q==" saltValue="o2XVnAT4a+35LBtaNmpgZQ==" spinCount="100000" sheet="1" objects="1" scenarios="1"/>
  <protectedRanges>
    <protectedRange sqref="B5 B5:B6 B8:B9 B11 B13" name="Bereik1"/>
  </protectedRanges>
  <pageMargins left="0.39370078740157483" right="0.39370078740157483" top="0.39370078740157483" bottom="0.98425196850393704" header="0" footer="0.39370078740157483"/>
  <pageSetup paperSize="9" orientation="landscape" horizontalDpi="2400" verticalDpi="2400" r:id="rId1"/>
  <headerFooter>
    <oddFooter>&amp;L&amp;"Calibri,Standaard"&amp;K000000&amp;G</oddFooter>
  </headerFooter>
  <legacyDrawingHF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C229E63-BEC2-4EBE-8DDA-945788774923}">
          <x14:formula1>
            <xm:f>'Validation values'!$A$6:$A$7</xm:f>
          </x14:formula1>
          <xm:sqref>B8:B9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1C2A6-4099-4413-92E1-F6E012779478}">
  <sheetPr>
    <tabColor rgb="FFC00000"/>
  </sheetPr>
  <dimension ref="A1:D241"/>
  <sheetViews>
    <sheetView topLeftCell="A115" workbookViewId="0">
      <selection activeCell="A148" sqref="A148"/>
    </sheetView>
  </sheetViews>
  <sheetFormatPr defaultRowHeight="15.75" x14ac:dyDescent="0.25"/>
  <cols>
    <col min="1" max="1" width="59.875" customWidth="1"/>
    <col min="2" max="2" width="10.375" bestFit="1" customWidth="1"/>
    <col min="3" max="4" width="75.75" customWidth="1"/>
  </cols>
  <sheetData>
    <row r="1" spans="1:4" x14ac:dyDescent="0.25">
      <c r="A1" t="s">
        <v>45</v>
      </c>
      <c r="B1" s="118" t="s">
        <v>46</v>
      </c>
      <c r="C1" t="s">
        <v>47</v>
      </c>
      <c r="D1" t="s">
        <v>48</v>
      </c>
    </row>
    <row r="2" spans="1:4" x14ac:dyDescent="0.25">
      <c r="A2" t="str">
        <f>IF(Explanation!$P$2="Nederlands",Tabel3[[#This Row],[Dutch]],Tabel3[[#This Row],[English]])</f>
        <v>Voorkeurstaal document:</v>
      </c>
      <c r="B2">
        <v>1</v>
      </c>
      <c r="C2" t="s">
        <v>49</v>
      </c>
      <c r="D2" t="s">
        <v>50</v>
      </c>
    </row>
    <row r="3" spans="1:4" x14ac:dyDescent="0.25">
      <c r="A3" t="str">
        <f>IF(Explanation!$P$2="Nederlands",Tabel3[[#This Row],[Dutch]],Tabel3[[#This Row],[English]])</f>
        <v>Payroll inventarisatie document</v>
      </c>
      <c r="B3">
        <v>2</v>
      </c>
      <c r="C3" t="s">
        <v>51</v>
      </c>
      <c r="D3" t="s">
        <v>52</v>
      </c>
    </row>
    <row r="4" spans="1:4" x14ac:dyDescent="0.25">
      <c r="A4" t="str">
        <f>IF(Explanation!$P$2="Nederlands",Tabel3[[#This Row],[Dutch]],Tabel3[[#This Row],[English]])</f>
        <v>De gegevens in dit Excel-document zullen worden gebruikt voor de inrichting van het HRM- en salarissysteem (Cobra)</v>
      </c>
      <c r="B4">
        <v>3</v>
      </c>
      <c r="C4" t="s">
        <v>53</v>
      </c>
      <c r="D4" t="s">
        <v>54</v>
      </c>
    </row>
    <row r="5" spans="1:4" x14ac:dyDescent="0.25">
      <c r="A5" t="str">
        <f>IF(Explanation!$P$2="Nederlands",Tabel3[[#This Row],[Dutch]],Tabel3[[#This Row],[English]])</f>
        <v>Het is belangrijk dat alle tabbladen worden ingevuld. Als een veld niet van toepassing is, geef dat dan aan met NVT</v>
      </c>
      <c r="B5">
        <v>4</v>
      </c>
      <c r="C5" t="s">
        <v>55</v>
      </c>
      <c r="D5" t="s">
        <v>56</v>
      </c>
    </row>
    <row r="6" spans="1:4" x14ac:dyDescent="0.25">
      <c r="A6" t="str">
        <f>IF(Explanation!$P$2="Nederlands",Tabel3[[#This Row],[Dutch]],Tabel3[[#This Row],[English]])</f>
        <v>Als het niet helemaal duidelijk is wat er moet worden ingevuld, neem dan contact op met uw contactpersoon binnen SDWorx</v>
      </c>
      <c r="B6">
        <v>5</v>
      </c>
      <c r="C6" t="s">
        <v>57</v>
      </c>
      <c r="D6" t="s">
        <v>58</v>
      </c>
    </row>
    <row r="7" spans="1:4" x14ac:dyDescent="0.25">
      <c r="A7" t="str">
        <f>IF(Explanation!$P$2="Nederlands",Tabel3[[#This Row],[Dutch]],Tabel3[[#This Row],[English]])</f>
        <v>Onderaan elke pagina is een opmerkingen veld opgenomen voor aanvullende informatie en uitleg</v>
      </c>
      <c r="B7">
        <v>6</v>
      </c>
      <c r="C7" t="s">
        <v>59</v>
      </c>
      <c r="D7" t="s">
        <v>60</v>
      </c>
    </row>
    <row r="8" spans="1:4" x14ac:dyDescent="0.25">
      <c r="A8" t="str">
        <f>IF(Explanation!$P$2="Nederlands",Tabel3[[#This Row],[Dutch]],Tabel3[[#This Row],[English]])</f>
        <v>Indien dit document niet volledig is ingevuld kunnen we helaas niet starten met de (payroll) inrichting</v>
      </c>
      <c r="B8">
        <v>7</v>
      </c>
      <c r="C8" t="s">
        <v>61</v>
      </c>
      <c r="D8" t="s">
        <v>62</v>
      </c>
    </row>
    <row r="9" spans="1:4" x14ac:dyDescent="0.25">
      <c r="A9" t="str">
        <f>IF(Explanation!$P$2="Nederlands",Tabel3[[#This Row],[Dutch]],Tabel3[[#This Row],[English]])</f>
        <v>omdat aanpassingen in een later stadium complex zijn om door te voeren en onnodige vertragingen veroorzaken</v>
      </c>
      <c r="B9">
        <v>8</v>
      </c>
      <c r="C9" t="s">
        <v>63</v>
      </c>
      <c r="D9" t="s">
        <v>64</v>
      </c>
    </row>
    <row r="10" spans="1:4" x14ac:dyDescent="0.25">
      <c r="A10" t="str">
        <f>IF(Explanation!$P$2="Nederlands",Tabel3[[#This Row],[Dutch]],Tabel3[[#This Row],[English]])</f>
        <v>Opstart documenten</v>
      </c>
      <c r="B10">
        <v>9</v>
      </c>
      <c r="C10" t="s">
        <v>65</v>
      </c>
      <c r="D10" t="s">
        <v>66</v>
      </c>
    </row>
    <row r="11" spans="1:4" x14ac:dyDescent="0.25">
      <c r="A11" t="str">
        <f>IF(Explanation!$P$2="Nederlands",Tabel3[[#This Row],[Dutch]],Tabel3[[#This Row],[English]])</f>
        <v>Voor de juiste opstart van de payroll hebben wij ook de volgende documenten nodig:</v>
      </c>
      <c r="B11">
        <v>10</v>
      </c>
      <c r="C11" t="s">
        <v>67</v>
      </c>
      <c r="D11" t="s">
        <v>68</v>
      </c>
    </row>
    <row r="12" spans="1:4" x14ac:dyDescent="0.25">
      <c r="A12" t="str">
        <f>IF(Explanation!$P$2="Nederlands",Tabel3[[#This Row],[Dutch]],Tabel3[[#This Row],[English]])</f>
        <v>Kopie beschikking WHK premie lopend jaar</v>
      </c>
      <c r="B12">
        <v>11</v>
      </c>
      <c r="C12" t="s">
        <v>69</v>
      </c>
      <c r="D12" t="s">
        <v>70</v>
      </c>
    </row>
    <row r="13" spans="1:4" x14ac:dyDescent="0.25">
      <c r="A13" t="str">
        <f>IF(Explanation!$P$2="Nederlands",Tabel3[[#This Row],[Dutch]],Tabel3[[#This Row],[English]])</f>
        <v>Kopie historisch overzicht vorig jaar</v>
      </c>
      <c r="B13">
        <v>12</v>
      </c>
      <c r="C13" t="s">
        <v>71</v>
      </c>
      <c r="D13" t="s">
        <v>72</v>
      </c>
    </row>
    <row r="14" spans="1:4" x14ac:dyDescent="0.25">
      <c r="A14" t="str">
        <f>IF(Explanation!$P$2="Nederlands",Tabel3[[#This Row],[Dutch]],Tabel3[[#This Row],[English]])</f>
        <v>Kopie loonstroken (van de laatste maand, in ieder geval een “standaard” maand)</v>
      </c>
      <c r="B14">
        <v>13</v>
      </c>
      <c r="C14" t="s">
        <v>73</v>
      </c>
      <c r="D14" t="s">
        <v>74</v>
      </c>
    </row>
    <row r="15" spans="1:4" x14ac:dyDescent="0.25">
      <c r="A15" t="str">
        <f>IF(Explanation!$P$2="Nederlands",Tabel3[[#This Row],[Dutch]],Tabel3[[#This Row],[English]])</f>
        <v>Kopie van de overige output van de laatste reguliere salarisadministratie</v>
      </c>
      <c r="B15">
        <v>14</v>
      </c>
      <c r="C15" t="s">
        <v>75</v>
      </c>
      <c r="D15" t="s">
        <v>76</v>
      </c>
    </row>
    <row r="16" spans="1:4" x14ac:dyDescent="0.25">
      <c r="A16" t="str">
        <f>IF(Explanation!$P$2="Nederlands",Tabel3[[#This Row],[Dutch]],Tabel3[[#This Row],[English]])</f>
        <v>Kopie pensioenregeling (indien van toepassing)</v>
      </c>
      <c r="B16">
        <v>15</v>
      </c>
      <c r="C16" t="s">
        <v>77</v>
      </c>
      <c r="D16" t="s">
        <v>78</v>
      </c>
    </row>
    <row r="17" spans="1:4" x14ac:dyDescent="0.25">
      <c r="A17" t="str">
        <f>IF(Explanation!$P$2="Nederlands",Tabel3[[#This Row],[Dutch]],Tabel3[[#This Row],[English]])</f>
        <v>Kopie WIA (excedent)regeling (indien van toepassing) (en/of andere regelingen)</v>
      </c>
      <c r="B17">
        <v>16</v>
      </c>
      <c r="C17" t="s">
        <v>79</v>
      </c>
      <c r="D17" t="s">
        <v>80</v>
      </c>
    </row>
    <row r="18" spans="1:4" x14ac:dyDescent="0.25">
      <c r="A18" t="str">
        <f>IF(Explanation!$P$2="Nederlands",Tabel3[[#This Row],[Dutch]],Tabel3[[#This Row],[English]])</f>
        <v>Kopie van het grootboekschema, laatste journaalpost (rapport en importbestand)</v>
      </c>
      <c r="B18">
        <v>17</v>
      </c>
      <c r="C18" t="s">
        <v>81</v>
      </c>
      <c r="D18" t="s">
        <v>82</v>
      </c>
    </row>
    <row r="19" spans="1:4" x14ac:dyDescent="0.25">
      <c r="A19" t="str">
        <f>IF(Explanation!$P$2="Nederlands",Tabel3[[#This Row],[Dutch]],Tabel3[[#This Row],[English]])</f>
        <v>Salarisschalen indien van toepassing</v>
      </c>
      <c r="B19">
        <v>18</v>
      </c>
      <c r="C19" t="s">
        <v>83</v>
      </c>
      <c r="D19" t="s">
        <v>84</v>
      </c>
    </row>
    <row r="20" spans="1:4" x14ac:dyDescent="0.25">
      <c r="A20" t="str">
        <f>IF(Explanation!$P$2="Nederlands",Tabel3[[#This Row],[Dutch]],Tabel3[[#This Row],[English]])</f>
        <v>Organogram (indien beschikbaar)?</v>
      </c>
      <c r="B20">
        <v>19</v>
      </c>
      <c r="C20" t="s">
        <v>85</v>
      </c>
      <c r="D20" t="s">
        <v>86</v>
      </c>
    </row>
    <row r="21" spans="1:4" x14ac:dyDescent="0.25">
      <c r="A21" t="str">
        <f>IF(Explanation!$P$2="Nederlands",Tabel3[[#This Row],[Dutch]],Tabel3[[#This Row],[English]])</f>
        <v>De vijf meest complexe loonstroken</v>
      </c>
      <c r="B21">
        <v>20</v>
      </c>
      <c r="C21" t="s">
        <v>87</v>
      </c>
      <c r="D21" t="s">
        <v>88</v>
      </c>
    </row>
    <row r="22" spans="1:4" x14ac:dyDescent="0.25">
      <c r="A22" t="str">
        <f>IF(Explanation!$P$2="Nederlands",Tabel3[[#This Row],[Dutch]],Tabel3[[#This Row],[English]])</f>
        <v>Indien van toepassing de CAO</v>
      </c>
      <c r="B22">
        <v>21</v>
      </c>
      <c r="C22" t="s">
        <v>89</v>
      </c>
      <c r="D22" t="s">
        <v>90</v>
      </c>
    </row>
    <row r="23" spans="1:4" x14ac:dyDescent="0.25">
      <c r="A23" t="str">
        <f>IF(Explanation!$P$2="Nederlands",Tabel3[[#This Row],[Dutch]],Tabel3[[#This Row],[English]])</f>
        <v>Indien van toepassing de regeling individueel keuzebudget (IKB).</v>
      </c>
      <c r="B23">
        <v>22</v>
      </c>
      <c r="C23" t="s">
        <v>91</v>
      </c>
      <c r="D23" t="s">
        <v>92</v>
      </c>
    </row>
    <row r="24" spans="1:4" x14ac:dyDescent="0.25">
      <c r="A24" t="str">
        <f>IF(Explanation!$P$2="Nederlands",Tabel3[[#This Row],[Dutch]],Tabel3[[#This Row],[English]])</f>
        <v>OPMERKING:</v>
      </c>
      <c r="B24">
        <v>23</v>
      </c>
      <c r="C24" t="s">
        <v>93</v>
      </c>
      <c r="D24" t="s">
        <v>94</v>
      </c>
    </row>
    <row r="25" spans="1:4" x14ac:dyDescent="0.25">
      <c r="A25" t="str">
        <f>IF(Explanation!$P$2="Nederlands",Tabel3[[#This Row],[Dutch]],Tabel3[[#This Row],[English]])</f>
        <v>Indien de organisatie uit meerdere BV's (betaalgroepen) bestaat, gelieve dan voor elke BV een inventarisatiedocument in te vullen.</v>
      </c>
      <c r="B25">
        <v>24</v>
      </c>
      <c r="C25" t="s">
        <v>95</v>
      </c>
      <c r="D25" t="s">
        <v>96</v>
      </c>
    </row>
    <row r="26" spans="1:4" x14ac:dyDescent="0.25">
      <c r="A26" t="str">
        <f>IF(Explanation!$P$2="Nederlands",Tabel3[[#This Row],[Dutch]],Tabel3[[#This Row],[English]])</f>
        <v>Indien de bedrijfsregelingen identiek zijn, dan kunt u dit aangeven bij de opmerkingen.</v>
      </c>
      <c r="B26">
        <v>25</v>
      </c>
      <c r="C26" t="s">
        <v>97</v>
      </c>
      <c r="D26" t="s">
        <v>98</v>
      </c>
    </row>
    <row r="27" spans="1:4" x14ac:dyDescent="0.25">
      <c r="A27" t="str">
        <f>IF(Explanation!$P$2="Nederlands",Tabel3[[#This Row],[Dutch]],Tabel3[[#This Row],[English]])</f>
        <v>Algemene bedrijfsgegevens</v>
      </c>
      <c r="B27">
        <v>26</v>
      </c>
      <c r="C27" t="s">
        <v>99</v>
      </c>
      <c r="D27" t="s">
        <v>100</v>
      </c>
    </row>
    <row r="28" spans="1:4" x14ac:dyDescent="0.25">
      <c r="A28" t="str">
        <f>IF(Explanation!$P$2="Nederlands",Tabel3[[#This Row],[Dutch]],Tabel3[[#This Row],[English]])</f>
        <v>Bedrijf</v>
      </c>
      <c r="B28">
        <v>27</v>
      </c>
      <c r="C28" t="s">
        <v>101</v>
      </c>
      <c r="D28" t="s">
        <v>102</v>
      </c>
    </row>
    <row r="29" spans="1:4" x14ac:dyDescent="0.25">
      <c r="A29" t="str">
        <f>IF(Explanation!$P$2="Nederlands",Tabel3[[#This Row],[Dutch]],Tabel3[[#This Row],[English]])</f>
        <v>Naam</v>
      </c>
      <c r="B29">
        <v>28</v>
      </c>
      <c r="C29" t="s">
        <v>103</v>
      </c>
      <c r="D29" t="s">
        <v>104</v>
      </c>
    </row>
    <row r="30" spans="1:4" x14ac:dyDescent="0.25">
      <c r="A30" t="str">
        <f>IF(Explanation!$P$2="Nederlands",Tabel3[[#This Row],[Dutch]],Tabel3[[#This Row],[English]])</f>
        <v>Adres</v>
      </c>
      <c r="B30">
        <v>29</v>
      </c>
      <c r="C30" t="s">
        <v>105</v>
      </c>
      <c r="D30" t="s">
        <v>106</v>
      </c>
    </row>
    <row r="31" spans="1:4" x14ac:dyDescent="0.25">
      <c r="A31" t="str">
        <f>IF(Explanation!$P$2="Nederlands",Tabel3[[#This Row],[Dutch]],Tabel3[[#This Row],[English]])</f>
        <v>Nummer</v>
      </c>
      <c r="B31">
        <v>30</v>
      </c>
      <c r="C31" t="s">
        <v>107</v>
      </c>
      <c r="D31" t="s">
        <v>108</v>
      </c>
    </row>
    <row r="32" spans="1:4" x14ac:dyDescent="0.25">
      <c r="A32" t="str">
        <f>IF(Explanation!$P$2="Nederlands",Tabel3[[#This Row],[Dutch]],Tabel3[[#This Row],[English]])</f>
        <v>Postcode</v>
      </c>
      <c r="B32">
        <v>31</v>
      </c>
      <c r="C32" t="s">
        <v>109</v>
      </c>
      <c r="D32" t="s">
        <v>110</v>
      </c>
    </row>
    <row r="33" spans="1:4" x14ac:dyDescent="0.25">
      <c r="A33" t="str">
        <f>IF(Explanation!$P$2="Nederlands",Tabel3[[#This Row],[Dutch]],Tabel3[[#This Row],[English]])</f>
        <v>Plaats</v>
      </c>
      <c r="B33">
        <v>32</v>
      </c>
      <c r="C33" t="s">
        <v>111</v>
      </c>
      <c r="D33" t="s">
        <v>112</v>
      </c>
    </row>
    <row r="34" spans="1:4" x14ac:dyDescent="0.25">
      <c r="A34" t="str">
        <f>IF(Explanation!$P$2="Nederlands",Tabel3[[#This Row],[Dutch]],Tabel3[[#This Row],[English]])</f>
        <v>Contactpersoon</v>
      </c>
      <c r="B34">
        <v>33</v>
      </c>
      <c r="C34" t="s">
        <v>113</v>
      </c>
      <c r="D34" t="s">
        <v>114</v>
      </c>
    </row>
    <row r="35" spans="1:4" x14ac:dyDescent="0.25">
      <c r="A35" t="str">
        <f>IF(Explanation!$P$2="Nederlands",Tabel3[[#This Row],[Dutch]],Tabel3[[#This Row],[English]])</f>
        <v>Afdeling</v>
      </c>
      <c r="B35">
        <v>34</v>
      </c>
      <c r="C35" t="s">
        <v>115</v>
      </c>
      <c r="D35" t="s">
        <v>116</v>
      </c>
    </row>
    <row r="36" spans="1:4" x14ac:dyDescent="0.25">
      <c r="A36" t="str">
        <f>IF(Explanation!$P$2="Nederlands",Tabel3[[#This Row],[Dutch]],Tabel3[[#This Row],[English]])</f>
        <v>Telefoon</v>
      </c>
      <c r="B36">
        <v>35</v>
      </c>
      <c r="C36" t="s">
        <v>117</v>
      </c>
      <c r="D36" t="s">
        <v>118</v>
      </c>
    </row>
    <row r="37" spans="1:4" x14ac:dyDescent="0.25">
      <c r="A37" t="str">
        <f>IF(Explanation!$P$2="Nederlands",Tabel3[[#This Row],[Dutch]],Tabel3[[#This Row],[English]])</f>
        <v>E-mail</v>
      </c>
      <c r="B37">
        <v>36</v>
      </c>
      <c r="C37" t="s">
        <v>119</v>
      </c>
      <c r="D37" t="s">
        <v>119</v>
      </c>
    </row>
    <row r="38" spans="1:4" x14ac:dyDescent="0.25">
      <c r="A38" t="str">
        <f>IF(Explanation!$P$2="Nederlands",Tabel3[[#This Row],[Dutch]],Tabel3[[#This Row],[English]])</f>
        <v>Bedrijf details</v>
      </c>
      <c r="B38">
        <v>37</v>
      </c>
      <c r="C38" t="s">
        <v>120</v>
      </c>
      <c r="D38" t="s">
        <v>121</v>
      </c>
    </row>
    <row r="39" spans="1:4" x14ac:dyDescent="0.25">
      <c r="A39" t="str">
        <f>IF(Explanation!$P$2="Nederlands",Tabel3[[#This Row],[Dutch]],Tabel3[[#This Row],[English]])</f>
        <v>Bedrijf is een aparte juridische entiteit</v>
      </c>
      <c r="B39">
        <v>38</v>
      </c>
      <c r="C39" t="s">
        <v>122</v>
      </c>
      <c r="D39" t="s">
        <v>123</v>
      </c>
    </row>
    <row r="40" spans="1:4" x14ac:dyDescent="0.25">
      <c r="A40" t="str">
        <f>IF(Explanation!$P$2="Nederlands",Tabel3[[#This Row],[Dutch]],Tabel3[[#This Row],[English]])</f>
        <v>Bedrijf is een BV onder een juridische entiteit</v>
      </c>
      <c r="B40">
        <v>39</v>
      </c>
      <c r="C40" t="s">
        <v>124</v>
      </c>
      <c r="D40" t="s">
        <v>125</v>
      </c>
    </row>
    <row r="41" spans="1:4" x14ac:dyDescent="0.25">
      <c r="A41" t="str">
        <f>IF(Explanation!$P$2="Nederlands",Tabel3[[#This Row],[Dutch]],Tabel3[[#This Row],[English]])</f>
        <v>zo ja, onder welke</v>
      </c>
      <c r="B41">
        <v>40</v>
      </c>
      <c r="C41" t="s">
        <v>126</v>
      </c>
      <c r="D41" t="s">
        <v>127</v>
      </c>
    </row>
    <row r="42" spans="1:4" x14ac:dyDescent="0.25">
      <c r="A42" t="str">
        <f>IF(Explanation!$P$2="Nederlands",Tabel3[[#This Row],[Dutch]],Tabel3[[#This Row],[English]])</f>
        <v>Opmerkingen:</v>
      </c>
      <c r="B42">
        <v>41</v>
      </c>
      <c r="C42" t="s">
        <v>128</v>
      </c>
      <c r="D42" t="s">
        <v>129</v>
      </c>
    </row>
    <row r="43" spans="1:4" x14ac:dyDescent="0.25">
      <c r="A43" t="str">
        <f>IF(Explanation!$P$2="Nederlands",Tabel3[[#This Row],[Dutch]],Tabel3[[#This Row],[English]])</f>
        <v>Indien meerdere contactpersonen van toepassing zijn graag invullen op tabblad "Contacts"  (bijvoorbeeld HRM, Salaris en Taks &amp; Legal)</v>
      </c>
      <c r="B43">
        <v>42</v>
      </c>
      <c r="C43" t="s">
        <v>130</v>
      </c>
      <c r="D43" t="s">
        <v>131</v>
      </c>
    </row>
    <row r="44" spans="1:4" x14ac:dyDescent="0.25">
      <c r="A44" t="str">
        <f>IF(Explanation!$P$2="Nederlands",Tabel3[[#This Row],[Dutch]],Tabel3[[#This Row],[English]])</f>
        <v>Indien er een afwijkend postadres is, graag hier opgeven</v>
      </c>
      <c r="B44">
        <v>43</v>
      </c>
      <c r="C44" t="s">
        <v>132</v>
      </c>
      <c r="D44" t="s">
        <v>133</v>
      </c>
    </row>
    <row r="45" spans="1:4" x14ac:dyDescent="0.25">
      <c r="A45" t="str">
        <f>IF(Explanation!$P$2="Nederlands",Tabel3[[#This Row],[Dutch]],Tabel3[[#This Row],[English]])</f>
        <v>Bank gegevens</v>
      </c>
      <c r="B45">
        <v>44</v>
      </c>
      <c r="C45" t="s">
        <v>134</v>
      </c>
      <c r="D45" t="s">
        <v>135</v>
      </c>
    </row>
    <row r="46" spans="1:4" x14ac:dyDescent="0.25">
      <c r="A46" t="str">
        <f>IF(Explanation!$P$2="Nederlands",Tabel3[[#This Row],[Dutch]],Tabel3[[#This Row],[English]])</f>
        <v>SEPA betaalbestand t.b.v. nettolonen</v>
      </c>
      <c r="B46">
        <v>45</v>
      </c>
      <c r="C46" t="s">
        <v>136</v>
      </c>
      <c r="D46" t="s">
        <v>137</v>
      </c>
    </row>
    <row r="47" spans="1:4" x14ac:dyDescent="0.25">
      <c r="A47" t="str">
        <f>IF(Explanation!$P$2="Nederlands",Tabel3[[#This Row],[Dutch]],Tabel3[[#This Row],[English]])</f>
        <v>IBAN-rekeningnummer</v>
      </c>
      <c r="B47">
        <v>46</v>
      </c>
      <c r="C47" t="s">
        <v>138</v>
      </c>
      <c r="D47" t="s">
        <v>139</v>
      </c>
    </row>
    <row r="48" spans="1:4" x14ac:dyDescent="0.25">
      <c r="A48" t="str">
        <f>IF(Explanation!$P$2="Nederlands",Tabel3[[#This Row],[Dutch]],Tabel3[[#This Row],[English]])</f>
        <v>Naam bank</v>
      </c>
      <c r="B48">
        <v>47</v>
      </c>
      <c r="C48" t="s">
        <v>140</v>
      </c>
      <c r="D48" t="s">
        <v>141</v>
      </c>
    </row>
    <row r="49" spans="1:4" x14ac:dyDescent="0.25">
      <c r="A49" t="str">
        <f>IF(Explanation!$P$2="Nederlands",Tabel3[[#This Row],[Dutch]],Tabel3[[#This Row],[English]])</f>
        <v>BIC code</v>
      </c>
      <c r="B49">
        <v>48</v>
      </c>
      <c r="C49" t="s">
        <v>142</v>
      </c>
      <c r="D49" t="s">
        <v>142</v>
      </c>
    </row>
    <row r="50" spans="1:4" x14ac:dyDescent="0.25">
      <c r="A50" t="str">
        <f>IF(Explanation!$P$2="Nederlands",Tabel3[[#This Row],[Dutch]],Tabel3[[#This Row],[English]])</f>
        <v>Alleen als de bank niet in de IBAN zone zit</v>
      </c>
      <c r="B50">
        <v>49</v>
      </c>
      <c r="C50" t="s">
        <v>143</v>
      </c>
      <c r="D50" t="s">
        <v>144</v>
      </c>
    </row>
    <row r="51" spans="1:4" x14ac:dyDescent="0.25">
      <c r="A51" t="str">
        <f>IF(Explanation!$P$2="Nederlands",Tabel3[[#This Row],[Dutch]],Tabel3[[#This Row],[English]])</f>
        <v>Bedrijfsinstellingen</v>
      </c>
      <c r="B51">
        <v>50</v>
      </c>
      <c r="C51" t="s">
        <v>145</v>
      </c>
      <c r="D51" t="s">
        <v>146</v>
      </c>
    </row>
    <row r="52" spans="1:4" x14ac:dyDescent="0.25">
      <c r="A52" t="str">
        <f>IF(Explanation!$P$2="Nederlands",Tabel3[[#This Row],[Dutch]],Tabel3[[#This Row],[English]])</f>
        <v>Collectieve arbeidsovk (CAO)</v>
      </c>
      <c r="B52">
        <v>51</v>
      </c>
      <c r="C52" t="s">
        <v>147</v>
      </c>
      <c r="D52" t="s">
        <v>148</v>
      </c>
    </row>
    <row r="53" spans="1:4" x14ac:dyDescent="0.25">
      <c r="A53" t="str">
        <f>IF(Explanation!$P$2="Nederlands",Tabel3[[#This Row],[Dutch]],Tabel3[[#This Row],[English]])</f>
        <v>Uren per jaar</v>
      </c>
      <c r="B53">
        <v>52</v>
      </c>
      <c r="C53" t="s">
        <v>149</v>
      </c>
      <c r="D53" t="s">
        <v>150</v>
      </c>
    </row>
    <row r="54" spans="1:4" x14ac:dyDescent="0.25">
      <c r="A54" t="str">
        <f>IF(Explanation!$P$2="Nederlands",Tabel3[[#This Row],[Dutch]],Tabel3[[#This Row],[English]])</f>
        <v>Uren per week</v>
      </c>
      <c r="B54">
        <v>53</v>
      </c>
      <c r="C54" t="s">
        <v>151</v>
      </c>
      <c r="D54" t="s">
        <v>152</v>
      </c>
    </row>
    <row r="55" spans="1:4" x14ac:dyDescent="0.25">
      <c r="A55" t="str">
        <f>IF(Explanation!$P$2="Nederlands",Tabel3[[#This Row],[Dutch]],Tabel3[[#This Row],[English]])</f>
        <v>Uren per dag</v>
      </c>
      <c r="B55">
        <v>54</v>
      </c>
      <c r="C55" t="s">
        <v>153</v>
      </c>
      <c r="D55" t="s">
        <v>154</v>
      </c>
    </row>
    <row r="56" spans="1:4" x14ac:dyDescent="0.25">
      <c r="A56" t="str">
        <f>IF(Explanation!$P$2="Nederlands",Tabel3[[#This Row],[Dutch]],Tabel3[[#This Row],[English]])</f>
        <v>ma:</v>
      </c>
      <c r="B56">
        <v>55</v>
      </c>
      <c r="C56" t="s">
        <v>155</v>
      </c>
      <c r="D56" t="s">
        <v>156</v>
      </c>
    </row>
    <row r="57" spans="1:4" x14ac:dyDescent="0.25">
      <c r="A57" t="str">
        <f>IF(Explanation!$P$2="Nederlands",Tabel3[[#This Row],[Dutch]],Tabel3[[#This Row],[English]])</f>
        <v>di:</v>
      </c>
      <c r="B57">
        <v>56</v>
      </c>
      <c r="C57" t="s">
        <v>157</v>
      </c>
      <c r="D57" t="s">
        <v>158</v>
      </c>
    </row>
    <row r="58" spans="1:4" x14ac:dyDescent="0.25">
      <c r="A58" t="str">
        <f>IF(Explanation!$P$2="Nederlands",Tabel3[[#This Row],[Dutch]],Tabel3[[#This Row],[English]])</f>
        <v>wo:</v>
      </c>
      <c r="B58">
        <v>57</v>
      </c>
      <c r="C58" t="s">
        <v>159</v>
      </c>
      <c r="D58" t="s">
        <v>160</v>
      </c>
    </row>
    <row r="59" spans="1:4" x14ac:dyDescent="0.25">
      <c r="A59" t="str">
        <f>IF(Explanation!$P$2="Nederlands",Tabel3[[#This Row],[Dutch]],Tabel3[[#This Row],[English]])</f>
        <v>do:</v>
      </c>
      <c r="B59">
        <v>58</v>
      </c>
      <c r="C59" t="s">
        <v>161</v>
      </c>
      <c r="D59" t="s">
        <v>162</v>
      </c>
    </row>
    <row r="60" spans="1:4" x14ac:dyDescent="0.25">
      <c r="A60" t="str">
        <f>IF(Explanation!$P$2="Nederlands",Tabel3[[#This Row],[Dutch]],Tabel3[[#This Row],[English]])</f>
        <v>vr:</v>
      </c>
      <c r="B60">
        <v>59</v>
      </c>
      <c r="C60" t="s">
        <v>163</v>
      </c>
      <c r="D60" t="s">
        <v>164</v>
      </c>
    </row>
    <row r="61" spans="1:4" x14ac:dyDescent="0.25">
      <c r="A61" t="str">
        <f>IF(Explanation!$P$2="Nederlands",Tabel3[[#This Row],[Dutch]],Tabel3[[#This Row],[English]])</f>
        <v>van:</v>
      </c>
      <c r="B61">
        <v>60</v>
      </c>
      <c r="C61" t="s">
        <v>165</v>
      </c>
      <c r="D61" t="s">
        <v>166</v>
      </c>
    </row>
    <row r="62" spans="1:4" x14ac:dyDescent="0.25">
      <c r="A62" t="str">
        <f>IF(Explanation!$P$2="Nederlands",Tabel3[[#This Row],[Dutch]],Tabel3[[#This Row],[English]])</f>
        <v>tot:</v>
      </c>
      <c r="B62">
        <v>61</v>
      </c>
      <c r="C62" t="s">
        <v>167</v>
      </c>
      <c r="D62" t="s">
        <v>168</v>
      </c>
    </row>
    <row r="63" spans="1:4" x14ac:dyDescent="0.25">
      <c r="A63" t="str">
        <f>IF(Explanation!$P$2="Nederlands",Tabel3[[#This Row],[Dutch]],Tabel3[[#This Row],[English]])</f>
        <v>Jaren:</v>
      </c>
      <c r="B63">
        <v>62</v>
      </c>
      <c r="C63" t="s">
        <v>169</v>
      </c>
      <c r="D63" t="s">
        <v>170</v>
      </c>
    </row>
    <row r="64" spans="1:4" x14ac:dyDescent="0.25">
      <c r="A64" t="str">
        <f>IF(Explanation!$P$2="Nederlands",Tabel3[[#This Row],[Dutch]],Tabel3[[#This Row],[English]])</f>
        <v>Maanden:</v>
      </c>
      <c r="B64">
        <v>63</v>
      </c>
      <c r="C64" t="s">
        <v>171</v>
      </c>
      <c r="D64" t="s">
        <v>172</v>
      </c>
    </row>
    <row r="65" spans="1:4" x14ac:dyDescent="0.25">
      <c r="A65" t="str">
        <f>IF(Explanation!$P$2="Nederlands",Tabel3[[#This Row],[Dutch]],Tabel3[[#This Row],[English]])</f>
        <v>Graag opgeven op tabblad "Wage codes"</v>
      </c>
      <c r="B65">
        <v>64</v>
      </c>
      <c r="C65" t="s">
        <v>173</v>
      </c>
      <c r="D65" t="s">
        <v>174</v>
      </c>
    </row>
    <row r="66" spans="1:4" x14ac:dyDescent="0.25">
      <c r="A66" t="str">
        <f>IF(Explanation!$P$2="Nederlands",Tabel3[[#This Row],[Dutch]],Tabel3[[#This Row],[English]])</f>
        <v>Overzicht van de functiecodes en omschrijvingen (lang en kort)</v>
      </c>
      <c r="B66">
        <v>65</v>
      </c>
      <c r="C66" t="s">
        <v>175</v>
      </c>
      <c r="D66" t="s">
        <v>176</v>
      </c>
    </row>
    <row r="67" spans="1:4" x14ac:dyDescent="0.25">
      <c r="A67" t="str">
        <f>IF(Explanation!$P$2="Nederlands",Tabel3[[#This Row],[Dutch]],Tabel3[[#This Row],[English]])</f>
        <v>Indien er afwijkende bedrijfsuren per week van toepassing kunnen zijn, gelieve deze hier te specificeren</v>
      </c>
      <c r="B67">
        <v>66</v>
      </c>
      <c r="C67" t="s">
        <v>177</v>
      </c>
      <c r="D67" t="s">
        <v>178</v>
      </c>
    </row>
    <row r="68" spans="1:4" x14ac:dyDescent="0.25">
      <c r="A68" t="str">
        <f>IF(Explanation!$P$2="Nederlands",Tabel3[[#This Row],[Dutch]],Tabel3[[#This Row],[English]])</f>
        <v>SEPA betaalbestand (locatie) overdracht &gt;SFTP?</v>
      </c>
      <c r="B68">
        <v>67</v>
      </c>
      <c r="C68" t="s">
        <v>179</v>
      </c>
      <c r="D68" t="s">
        <v>180</v>
      </c>
    </row>
    <row r="69" spans="1:4" x14ac:dyDescent="0.25">
      <c r="A69" t="str">
        <f>IF(Explanation!$P$2="Nederlands",Tabel3[[#This Row],[Dutch]],Tabel3[[#This Row],[English]])</f>
        <v>Salaris instellingen</v>
      </c>
      <c r="B69">
        <v>68</v>
      </c>
      <c r="C69" t="s">
        <v>181</v>
      </c>
      <c r="D69" t="s">
        <v>182</v>
      </c>
    </row>
    <row r="70" spans="1:4" x14ac:dyDescent="0.25">
      <c r="A70" t="str">
        <f>IF(Explanation!$P$2="Nederlands",Tabel3[[#This Row],[Dutch]],Tabel3[[#This Row],[English]])</f>
        <v>Prorata berekening gebasseerd op</v>
      </c>
      <c r="B70">
        <v>69</v>
      </c>
      <c r="C70" t="s">
        <v>183</v>
      </c>
      <c r="D70" t="s">
        <v>184</v>
      </c>
    </row>
    <row r="71" spans="1:4" x14ac:dyDescent="0.25">
      <c r="A71" t="str">
        <f>IF(Explanation!$P$2="Nederlands",Tabel3[[#This Row],[Dutch]],Tabel3[[#This Row],[English]])</f>
        <v>Salaris periode</v>
      </c>
      <c r="B71">
        <v>70</v>
      </c>
      <c r="C71" t="s">
        <v>185</v>
      </c>
      <c r="D71" t="s">
        <v>186</v>
      </c>
    </row>
    <row r="72" spans="1:4" x14ac:dyDescent="0.25">
      <c r="A72" t="str">
        <f>IF(Explanation!$P$2="Nederlands",Tabel3[[#This Row],[Dutch]],Tabel3[[#This Row],[English]])</f>
        <v>Salarisstrook</v>
      </c>
      <c r="B72">
        <v>71</v>
      </c>
      <c r="C72" t="s">
        <v>187</v>
      </c>
      <c r="D72" t="s">
        <v>188</v>
      </c>
    </row>
    <row r="73" spans="1:4" x14ac:dyDescent="0.25">
      <c r="A73" t="str">
        <f>IF(Explanation!$P$2="Nederlands",Tabel3[[#This Row],[Dutch]],Tabel3[[#This Row],[English]])</f>
        <v>Voorkeurstaal</v>
      </c>
      <c r="B73">
        <v>72</v>
      </c>
      <c r="C73" t="s">
        <v>189</v>
      </c>
      <c r="D73" t="s">
        <v>190</v>
      </c>
    </row>
    <row r="74" spans="1:4" x14ac:dyDescent="0.25">
      <c r="A74" t="str">
        <f>IF(Explanation!$P$2="Nederlands",Tabel3[[#This Row],[Dutch]],Tabel3[[#This Row],[English]])</f>
        <v>Logo op salarisstrook</v>
      </c>
      <c r="B74">
        <v>73</v>
      </c>
      <c r="C74" t="s">
        <v>191</v>
      </c>
      <c r="D74" t="s">
        <v>192</v>
      </c>
    </row>
    <row r="75" spans="1:4" x14ac:dyDescent="0.25">
      <c r="A75" t="str">
        <f>IF(Explanation!$P$2="Nederlands",Tabel3[[#This Row],[Dutch]],Tabel3[[#This Row],[English]])</f>
        <v>Extra cumulatieven op salarisstrook</v>
      </c>
      <c r="B75">
        <v>74</v>
      </c>
      <c r="C75" t="s">
        <v>193</v>
      </c>
      <c r="D75" t="s">
        <v>194</v>
      </c>
    </row>
    <row r="76" spans="1:4" x14ac:dyDescent="0.25">
      <c r="A76" t="str">
        <f>IF(Explanation!$P$2="Nederlands",Tabel3[[#This Row],[Dutch]],Tabel3[[#This Row],[English]])</f>
        <v>indien ja, welke</v>
      </c>
      <c r="B76">
        <v>75</v>
      </c>
      <c r="C76" t="s">
        <v>195</v>
      </c>
      <c r="D76" t="s">
        <v>196</v>
      </c>
    </row>
    <row r="77" spans="1:4" x14ac:dyDescent="0.25">
      <c r="A77" t="str">
        <f>IF(Explanation!$P$2="Nederlands",Tabel3[[#This Row],[Dutch]],Tabel3[[#This Row],[English]])</f>
        <v>Salarisstrook zichtbaar voor mdw</v>
      </c>
      <c r="B77">
        <v>76</v>
      </c>
      <c r="C77" t="s">
        <v>197</v>
      </c>
      <c r="D77" t="s">
        <v>198</v>
      </c>
    </row>
    <row r="78" spans="1:4" x14ac:dyDescent="0.25">
      <c r="A78" t="str">
        <f>IF(Explanation!$P$2="Nederlands",Tabel3[[#This Row],[Dutch]],Tabel3[[#This Row],[English]])</f>
        <v># dagen na de betaaldatum</v>
      </c>
      <c r="B78">
        <v>77</v>
      </c>
      <c r="C78" t="s">
        <v>199</v>
      </c>
      <c r="D78" t="s">
        <v>200</v>
      </c>
    </row>
    <row r="79" spans="1:4" x14ac:dyDescent="0.25">
      <c r="A79" t="str">
        <f>IF(Explanation!$P$2="Nederlands",Tabel3[[#This Row],[Dutch]],Tabel3[[#This Row],[English]])</f>
        <v>Kostenplaats</v>
      </c>
      <c r="B79">
        <v>78</v>
      </c>
      <c r="C79" t="s">
        <v>201</v>
      </c>
      <c r="D79" t="s">
        <v>202</v>
      </c>
    </row>
    <row r="80" spans="1:4" x14ac:dyDescent="0.25">
      <c r="A80" t="str">
        <f>IF(Explanation!$P$2="Nederlands",Tabel3[[#This Row],[Dutch]],Tabel3[[#This Row],[English]])</f>
        <v>Is afdelingscode gelijk aan kostenplaatscode?</v>
      </c>
      <c r="B80">
        <v>79</v>
      </c>
      <c r="C80" t="s">
        <v>203</v>
      </c>
      <c r="D80" t="s">
        <v>204</v>
      </c>
    </row>
    <row r="81" spans="1:4" x14ac:dyDescent="0.25">
      <c r="A81" t="str">
        <f>IF(Explanation!$P$2="Nederlands",Tabel3[[#This Row],[Dutch]],Tabel3[[#This Row],[English]])</f>
        <v>30% regeling</v>
      </c>
      <c r="B81">
        <v>80</v>
      </c>
      <c r="C81" t="s">
        <v>205</v>
      </c>
      <c r="D81" t="s">
        <v>206</v>
      </c>
    </row>
    <row r="82" spans="1:4" x14ac:dyDescent="0.25">
      <c r="A82" t="str">
        <f>IF(Explanation!$P$2="Nederlands",Tabel3[[#This Row],[Dutch]],Tabel3[[#This Row],[English]])</f>
        <v>30% regeling van toepassing</v>
      </c>
      <c r="B82">
        <v>81</v>
      </c>
      <c r="C82" t="s">
        <v>207</v>
      </c>
      <c r="D82" t="s">
        <v>208</v>
      </c>
    </row>
    <row r="83" spans="1:4" x14ac:dyDescent="0.25">
      <c r="A83" t="str">
        <f>IF(Explanation!$P$2="Nederlands",Tabel3[[#This Row],[Dutch]],Tabel3[[#This Row],[English]])</f>
        <v>Aflaging in de berekening</v>
      </c>
      <c r="B83">
        <v>82</v>
      </c>
      <c r="C83" t="s">
        <v>209</v>
      </c>
      <c r="D83" t="s">
        <v>210</v>
      </c>
    </row>
    <row r="84" spans="1:4" x14ac:dyDescent="0.25">
      <c r="A84" t="str">
        <f>IF(Explanation!$P$2="Nederlands",Tabel3[[#This Row],[Dutch]],Tabel3[[#This Row],[English]])</f>
        <v>Overige medewerker typen</v>
      </c>
      <c r="B84">
        <v>83</v>
      </c>
      <c r="C84" t="s">
        <v>211</v>
      </c>
      <c r="D84" t="s">
        <v>212</v>
      </c>
    </row>
    <row r="85" spans="1:4" x14ac:dyDescent="0.25">
      <c r="A85" t="str">
        <f>IF(Explanation!$P$2="Nederlands",Tabel3[[#This Row],[Dutch]],Tabel3[[#This Row],[English]])</f>
        <v>Stagiaire</v>
      </c>
      <c r="B85">
        <v>84</v>
      </c>
      <c r="C85" t="s">
        <v>213</v>
      </c>
      <c r="D85" t="s">
        <v>214</v>
      </c>
    </row>
    <row r="86" spans="1:4" x14ac:dyDescent="0.25">
      <c r="A86" t="str">
        <f>IF(Explanation!$P$2="Nederlands",Tabel3[[#This Row],[Dutch]],Tabel3[[#This Row],[English]])</f>
        <v>Oproepkracht</v>
      </c>
      <c r="B86">
        <v>85</v>
      </c>
      <c r="C86" t="s">
        <v>215</v>
      </c>
      <c r="D86" t="s">
        <v>216</v>
      </c>
    </row>
    <row r="87" spans="1:4" x14ac:dyDescent="0.25">
      <c r="A87" t="str">
        <f>IF(Explanation!$P$2="Nederlands",Tabel3[[#This Row],[Dutch]],Tabel3[[#This Row],[English]])</f>
        <v>Periodiek uitbetalen van reserveringen voor oproepkrachten</v>
      </c>
      <c r="B87">
        <v>86</v>
      </c>
      <c r="C87" t="s">
        <v>217</v>
      </c>
      <c r="D87" t="s">
        <v>218</v>
      </c>
    </row>
    <row r="88" spans="1:4" x14ac:dyDescent="0.25">
      <c r="A88" t="str">
        <f>IF(Explanation!$P$2="Nederlands",Tabel3[[#This Row],[Dutch]],Tabel3[[#This Row],[English]])</f>
        <v>Vakantiegeld</v>
      </c>
      <c r="B88">
        <v>87</v>
      </c>
      <c r="C88" t="s">
        <v>219</v>
      </c>
      <c r="D88" t="s">
        <v>220</v>
      </c>
    </row>
    <row r="89" spans="1:4" x14ac:dyDescent="0.25">
      <c r="A89" t="str">
        <f>IF(Explanation!$P$2="Nederlands",Tabel3[[#This Row],[Dutch]],Tabel3[[#This Row],[English]])</f>
        <v>Vakantiedagen</v>
      </c>
      <c r="B89">
        <v>88</v>
      </c>
      <c r="C89" t="s">
        <v>221</v>
      </c>
      <c r="D89" t="s">
        <v>222</v>
      </c>
    </row>
    <row r="90" spans="1:4" x14ac:dyDescent="0.25">
      <c r="A90" t="str">
        <f>IF(Explanation!$P$2="Nederlands",Tabel3[[#This Row],[Dutch]],Tabel3[[#This Row],[English]])</f>
        <v>Loonbelasting gegevens</v>
      </c>
      <c r="B90">
        <v>89</v>
      </c>
      <c r="C90" t="s">
        <v>223</v>
      </c>
      <c r="D90" t="s">
        <v>224</v>
      </c>
    </row>
    <row r="91" spans="1:4" x14ac:dyDescent="0.25">
      <c r="A91" t="str">
        <f>IF(Explanation!$P$2="Nederlands",Tabel3[[#This Row],[Dutch]],Tabel3[[#This Row],[English]])</f>
        <v>Loonheffingsnummer</v>
      </c>
      <c r="B91">
        <v>90</v>
      </c>
      <c r="C91" t="s">
        <v>225</v>
      </c>
      <c r="D91" t="s">
        <v>226</v>
      </c>
    </row>
    <row r="92" spans="1:4" x14ac:dyDescent="0.25">
      <c r="A92" t="str">
        <f>IF(Explanation!$P$2="Nederlands",Tabel3[[#This Row],[Dutch]],Tabel3[[#This Row],[English]])</f>
        <v>Bedrijfsnaam</v>
      </c>
      <c r="B92">
        <v>91</v>
      </c>
      <c r="C92" t="s">
        <v>227</v>
      </c>
      <c r="D92" t="s">
        <v>228</v>
      </c>
    </row>
    <row r="93" spans="1:4" x14ac:dyDescent="0.25">
      <c r="A93" t="str">
        <f>IF(Explanation!$P$2="Nederlands",Tabel3[[#This Row],[Dutch]],Tabel3[[#This Row],[English]])</f>
        <v>E-mail</v>
      </c>
      <c r="B93">
        <v>92</v>
      </c>
      <c r="C93" t="s">
        <v>119</v>
      </c>
      <c r="D93" t="s">
        <v>229</v>
      </c>
    </row>
    <row r="94" spans="1:4" x14ac:dyDescent="0.25">
      <c r="A94" t="str">
        <f>IF(Explanation!$P$2="Nederlands",Tabel3[[#This Row],[Dutch]],Tabel3[[#This Row],[English]])</f>
        <v>Sector</v>
      </c>
      <c r="B94">
        <v>93</v>
      </c>
      <c r="C94" t="s">
        <v>230</v>
      </c>
      <c r="D94" t="s">
        <v>230</v>
      </c>
    </row>
    <row r="95" spans="1:4" x14ac:dyDescent="0.25">
      <c r="A95" t="str">
        <f>IF(Explanation!$P$2="Nederlands",Tabel3[[#This Row],[Dutch]],Tabel3[[#This Row],[English]])</f>
        <v>Indeling werkgever</v>
      </c>
      <c r="B95">
        <v>94</v>
      </c>
      <c r="C95" t="s">
        <v>231</v>
      </c>
      <c r="D95" t="s">
        <v>232</v>
      </c>
    </row>
    <row r="96" spans="1:4" x14ac:dyDescent="0.25">
      <c r="A96" t="str">
        <f>IF(Explanation!$P$2="Nederlands",Tabel3[[#This Row],[Dutch]],Tabel3[[#This Row],[English]])</f>
        <v>Whk</v>
      </c>
      <c r="B96">
        <v>95</v>
      </c>
      <c r="C96" t="s">
        <v>13</v>
      </c>
      <c r="D96" t="s">
        <v>13</v>
      </c>
    </row>
    <row r="97" spans="1:4" x14ac:dyDescent="0.25">
      <c r="A97" t="str">
        <f>IF(Explanation!$P$2="Nederlands",Tabel3[[#This Row],[Dutch]],Tabel3[[#This Row],[English]])</f>
        <v>Eigen risicodrager</v>
      </c>
      <c r="B97">
        <v>96</v>
      </c>
      <c r="C97" t="s">
        <v>233</v>
      </c>
      <c r="D97" t="s">
        <v>234</v>
      </c>
    </row>
    <row r="98" spans="1:4" x14ac:dyDescent="0.25">
      <c r="A98" t="str">
        <f>IF(Explanation!$P$2="Nederlands",Tabel3[[#This Row],[Dutch]],Tabel3[[#This Row],[English]])</f>
        <v>WGA premie (totaal)</v>
      </c>
      <c r="B98">
        <v>97</v>
      </c>
      <c r="C98" t="s">
        <v>235</v>
      </c>
      <c r="D98" t="s">
        <v>236</v>
      </c>
    </row>
    <row r="99" spans="1:4" x14ac:dyDescent="0.25">
      <c r="A99" t="str">
        <f>IF(Explanation!$P$2="Nederlands",Tabel3[[#This Row],[Dutch]],Tabel3[[#This Row],[English]])</f>
        <v>Verhaal op de werknemer</v>
      </c>
      <c r="B99">
        <v>98</v>
      </c>
      <c r="C99" t="s">
        <v>237</v>
      </c>
      <c r="D99" t="s">
        <v>238</v>
      </c>
    </row>
    <row r="100" spans="1:4" x14ac:dyDescent="0.25">
      <c r="A100" t="str">
        <f>IF(Explanation!$P$2="Nederlands",Tabel3[[#This Row],[Dutch]],Tabel3[[#This Row],[English]])</f>
        <v>ZW premie</v>
      </c>
      <c r="B100">
        <v>99</v>
      </c>
      <c r="C100" t="s">
        <v>239</v>
      </c>
      <c r="D100" t="s">
        <v>240</v>
      </c>
    </row>
    <row r="101" spans="1:4" x14ac:dyDescent="0.25">
      <c r="A101" t="str">
        <f>IF(Explanation!$P$2="Nederlands",Tabel3[[#This Row],[Dutch]],Tabel3[[#This Row],[English]])</f>
        <v>Overige info</v>
      </c>
      <c r="B101">
        <v>100</v>
      </c>
      <c r="C101" t="s">
        <v>241</v>
      </c>
      <c r="D101" t="s">
        <v>242</v>
      </c>
    </row>
    <row r="102" spans="1:4" x14ac:dyDescent="0.25">
      <c r="A102" t="str">
        <f>IF(Explanation!$P$2="Nederlands",Tabel3[[#This Row],[Dutch]],Tabel3[[#This Row],[English]])</f>
        <v>CBS CAO code</v>
      </c>
      <c r="B102">
        <v>101</v>
      </c>
      <c r="C102" t="s">
        <v>243</v>
      </c>
      <c r="D102" t="s">
        <v>244</v>
      </c>
    </row>
    <row r="103" spans="1:4" x14ac:dyDescent="0.25">
      <c r="A103" t="str">
        <f>IF(Explanation!$P$2="Nederlands",Tabel3[[#This Row],[Dutch]],Tabel3[[#This Row],[English]])</f>
        <v>Reserveringen</v>
      </c>
      <c r="B103">
        <v>102</v>
      </c>
      <c r="C103" t="s">
        <v>245</v>
      </c>
      <c r="D103" t="s">
        <v>246</v>
      </c>
    </row>
    <row r="104" spans="1:4" x14ac:dyDescent="0.25">
      <c r="A104" t="str">
        <f>IF(Explanation!$P$2="Nederlands",Tabel3[[#This Row],[Dutch]],Tabel3[[#This Row],[English]])</f>
        <v>Referentie jaar</v>
      </c>
      <c r="B104">
        <v>103</v>
      </c>
      <c r="C104" t="s">
        <v>247</v>
      </c>
      <c r="D104" t="s">
        <v>248</v>
      </c>
    </row>
    <row r="105" spans="1:4" x14ac:dyDescent="0.25">
      <c r="A105" t="str">
        <f>IF(Explanation!$P$2="Nederlands",Tabel3[[#This Row],[Dutch]],Tabel3[[#This Row],[English]])</f>
        <v>Uitbetalingspercentage</v>
      </c>
      <c r="B105">
        <v>104</v>
      </c>
      <c r="C105" t="s">
        <v>249</v>
      </c>
      <c r="D105" t="s">
        <v>250</v>
      </c>
    </row>
    <row r="106" spans="1:4" x14ac:dyDescent="0.25">
      <c r="A106" t="str">
        <f>IF(Explanation!$P$2="Nederlands",Tabel3[[#This Row],[Dutch]],Tabel3[[#This Row],[English]])</f>
        <v>Periodiek reserveren</v>
      </c>
      <c r="B106">
        <v>105</v>
      </c>
      <c r="C106" t="s">
        <v>251</v>
      </c>
      <c r="D106" t="s">
        <v>252</v>
      </c>
    </row>
    <row r="107" spans="1:4" x14ac:dyDescent="0.25">
      <c r="A107" t="str">
        <f>IF(Explanation!$P$2="Nederlands",Tabel3[[#This Row],[Dutch]],Tabel3[[#This Row],[English]])</f>
        <v>Sociale lasten reserveren</v>
      </c>
      <c r="B107">
        <v>106</v>
      </c>
      <c r="C107" t="s">
        <v>253</v>
      </c>
      <c r="D107" t="s">
        <v>254</v>
      </c>
    </row>
    <row r="108" spans="1:4" x14ac:dyDescent="0.25">
      <c r="A108" t="str">
        <f>IF(Explanation!$P$2="Nederlands",Tabel3[[#This Row],[Dutch]],Tabel3[[#This Row],[English]])</f>
        <v>zo ja, welk pecentage?</v>
      </c>
      <c r="B108">
        <v>107</v>
      </c>
      <c r="C108" t="s">
        <v>255</v>
      </c>
      <c r="D108" t="s">
        <v>256</v>
      </c>
    </row>
    <row r="109" spans="1:4" x14ac:dyDescent="0.25">
      <c r="A109" t="str">
        <f>IF(Explanation!$P$2="Nederlands",Tabel3[[#This Row],[Dutch]],Tabel3[[#This Row],[English]])</f>
        <v>Betaling gebasseerd op</v>
      </c>
      <c r="B109">
        <v>108</v>
      </c>
      <c r="C109" t="s">
        <v>257</v>
      </c>
      <c r="D109" t="s">
        <v>258</v>
      </c>
    </row>
    <row r="110" spans="1:4" x14ac:dyDescent="0.25">
      <c r="A110" t="str">
        <f>IF(Explanation!$P$2="Nederlands",Tabel3[[#This Row],[Dutch]],Tabel3[[#This Row],[English]])</f>
        <v>Indien peilmaand, wat is de peilmaand?</v>
      </c>
      <c r="B110">
        <v>109</v>
      </c>
      <c r="C110" t="s">
        <v>259</v>
      </c>
      <c r="D110" t="s">
        <v>260</v>
      </c>
    </row>
    <row r="111" spans="1:4" x14ac:dyDescent="0.25">
      <c r="A111" t="str">
        <f>IF(Explanation!$P$2="Nederlands",Tabel3[[#This Row],[Dutch]],Tabel3[[#This Row],[English]])</f>
        <v>Welke looncodes tellen in de</v>
      </c>
      <c r="B111">
        <v>110</v>
      </c>
      <c r="C111" t="s">
        <v>261</v>
      </c>
      <c r="D111" t="s">
        <v>262</v>
      </c>
    </row>
    <row r="112" spans="1:4" x14ac:dyDescent="0.25">
      <c r="A112" t="str">
        <f>IF(Explanation!$P$2="Nederlands",Tabel3[[#This Row],[Dutch]],Tabel3[[#This Row],[English]])</f>
        <v>grondslag</v>
      </c>
      <c r="B112">
        <v>111</v>
      </c>
      <c r="C112" t="s">
        <v>263</v>
      </c>
      <c r="D112" t="s">
        <v>264</v>
      </c>
    </row>
    <row r="113" spans="1:4" x14ac:dyDescent="0.25">
      <c r="A113" t="str">
        <f>IF(Explanation!$P$2="Nederlands",Tabel3[[#This Row],[Dutch]],Tabel3[[#This Row],[English]])</f>
        <v>Uitbetaling in periode/maand</v>
      </c>
      <c r="B113">
        <v>112</v>
      </c>
      <c r="C113" t="s">
        <v>265</v>
      </c>
      <c r="D113" t="s">
        <v>266</v>
      </c>
    </row>
    <row r="114" spans="1:4" x14ac:dyDescent="0.25">
      <c r="A114" t="str">
        <f>IF(Explanation!$P$2="Nederlands",Tabel3[[#This Row],[Dutch]],Tabel3[[#This Row],[English]])</f>
        <v>Uitbetaling in aparte run</v>
      </c>
      <c r="B114">
        <v>113</v>
      </c>
      <c r="C114" t="s">
        <v>267</v>
      </c>
      <c r="D114" t="s">
        <v>268</v>
      </c>
    </row>
    <row r="115" spans="1:4" x14ac:dyDescent="0.25">
      <c r="A115" t="str">
        <f>IF(Explanation!$P$2="Nederlands",Tabel3[[#This Row],[Dutch]],Tabel3[[#This Row],[English]])</f>
        <v>Minimum per periode/maand</v>
      </c>
      <c r="B115">
        <v>114</v>
      </c>
      <c r="C115" t="s">
        <v>269</v>
      </c>
      <c r="D115" t="s">
        <v>270</v>
      </c>
    </row>
    <row r="116" spans="1:4" x14ac:dyDescent="0.25">
      <c r="A116" t="str">
        <f>IF(Explanation!$P$2="Nederlands",Tabel3[[#This Row],[Dutch]],Tabel3[[#This Row],[English]])</f>
        <v>13e maand</v>
      </c>
      <c r="B116">
        <v>115</v>
      </c>
      <c r="C116" t="s">
        <v>271</v>
      </c>
      <c r="D116" t="s">
        <v>272</v>
      </c>
    </row>
    <row r="117" spans="1:4" x14ac:dyDescent="0.25">
      <c r="A117" t="str">
        <f>IF(Explanation!$P$2="Nederlands",Tabel3[[#This Row],[Dutch]],Tabel3[[#This Row],[English]])</f>
        <v>Reservering 3</v>
      </c>
      <c r="B117">
        <v>116</v>
      </c>
      <c r="C117" t="s">
        <v>273</v>
      </c>
      <c r="D117" t="s">
        <v>274</v>
      </c>
    </row>
    <row r="118" spans="1:4" x14ac:dyDescent="0.25">
      <c r="A118" t="str">
        <f>IF(Explanation!$P$2="Nederlands",Tabel3[[#This Row],[Dutch]],Tabel3[[#This Row],[English]])</f>
        <v>Reservering 4</v>
      </c>
      <c r="B118">
        <v>117</v>
      </c>
      <c r="C118" t="s">
        <v>275</v>
      </c>
      <c r="D118" t="s">
        <v>276</v>
      </c>
    </row>
    <row r="119" spans="1:4" x14ac:dyDescent="0.25">
      <c r="A119" t="str">
        <f>IF(Explanation!$P$2="Nederlands",Tabel3[[#This Row],[Dutch]],Tabel3[[#This Row],[English]])</f>
        <v>Individueel keuze budget</v>
      </c>
      <c r="B119">
        <v>118</v>
      </c>
      <c r="C119" t="s">
        <v>277</v>
      </c>
      <c r="D119" t="s">
        <v>278</v>
      </c>
    </row>
    <row r="120" spans="1:4" x14ac:dyDescent="0.25">
      <c r="A120" t="str">
        <f>IF(Explanation!$P$2="Nederlands",Tabel3[[#This Row],[Dutch]],Tabel3[[#This Row],[English]])</f>
        <v>Regelingen</v>
      </c>
      <c r="B120">
        <v>119</v>
      </c>
      <c r="C120" t="s">
        <v>279</v>
      </c>
      <c r="D120" t="s">
        <v>280</v>
      </c>
    </row>
    <row r="121" spans="1:4" x14ac:dyDescent="0.25">
      <c r="A121" t="str">
        <f>IF(Explanation!$P$2="Nederlands",Tabel3[[#This Row],[Dutch]],Tabel3[[#This Row],[English]])</f>
        <v>Pensioen regeling</v>
      </c>
      <c r="B121">
        <v>120</v>
      </c>
      <c r="C121" t="s">
        <v>281</v>
      </c>
      <c r="D121" t="s">
        <v>282</v>
      </c>
    </row>
    <row r="122" spans="1:4" x14ac:dyDescent="0.25">
      <c r="A122" t="str">
        <f>IF(Explanation!$P$2="Nederlands",Tabel3[[#This Row],[Dutch]],Tabel3[[#This Row],[English]])</f>
        <v>Aangesloten bij bedrijfspensioenfonds</v>
      </c>
      <c r="B122">
        <v>121</v>
      </c>
      <c r="C122" t="s">
        <v>283</v>
      </c>
      <c r="D122" t="s">
        <v>284</v>
      </c>
    </row>
    <row r="123" spans="1:4" x14ac:dyDescent="0.25">
      <c r="A123" t="str">
        <f>IF(Explanation!$P$2="Nederlands",Tabel3[[#This Row],[Dutch]],Tabel3[[#This Row],[English]])</f>
        <v>zo ja, welke?</v>
      </c>
      <c r="B123">
        <v>122</v>
      </c>
      <c r="C123" t="s">
        <v>285</v>
      </c>
      <c r="D123" t="s">
        <v>286</v>
      </c>
    </row>
    <row r="124" spans="1:4" x14ac:dyDescent="0.25">
      <c r="A124" t="str">
        <f>IF(Explanation!$P$2="Nederlands",Tabel3[[#This Row],[Dutch]],Tabel3[[#This Row],[English]])</f>
        <v>Berekeningsmethode conform BPF?</v>
      </c>
      <c r="B124">
        <v>123</v>
      </c>
      <c r="C124" t="s">
        <v>287</v>
      </c>
      <c r="D124" t="s">
        <v>288</v>
      </c>
    </row>
    <row r="125" spans="1:4" x14ac:dyDescent="0.25">
      <c r="A125" t="str">
        <f>IF(Explanation!$P$2="Nederlands",Tabel3[[#This Row],[Dutch]],Tabel3[[#This Row],[English]])</f>
        <v>Start leeftijdsbepaling</v>
      </c>
      <c r="B125">
        <v>124</v>
      </c>
      <c r="C125" s="7" t="s">
        <v>289</v>
      </c>
      <c r="D125" t="s">
        <v>290</v>
      </c>
    </row>
    <row r="126" spans="1:4" x14ac:dyDescent="0.25">
      <c r="A126" t="str">
        <f>IF(Explanation!$P$2="Nederlands",Tabel3[[#This Row],[Dutch]],Tabel3[[#This Row],[English]])</f>
        <v>Minimum leeftijd</v>
      </c>
      <c r="B126">
        <v>125</v>
      </c>
      <c r="C126" t="s">
        <v>291</v>
      </c>
      <c r="D126" t="s">
        <v>292</v>
      </c>
    </row>
    <row r="127" spans="1:4" x14ac:dyDescent="0.25">
      <c r="A127" t="str">
        <f>IF(Explanation!$P$2="Nederlands",Tabel3[[#This Row],[Dutch]],Tabel3[[#This Row],[English]])</f>
        <v>Begin of eind periode</v>
      </c>
      <c r="B127">
        <v>126</v>
      </c>
      <c r="C127" t="s">
        <v>293</v>
      </c>
      <c r="D127" t="s">
        <v>294</v>
      </c>
    </row>
    <row r="128" spans="1:4" x14ac:dyDescent="0.25">
      <c r="A128" t="str">
        <f>IF(Explanation!$P$2="Nederlands",Tabel3[[#This Row],[Dutch]],Tabel3[[#This Row],[English]])</f>
        <v>Einde leeftijdsbepaling</v>
      </c>
      <c r="B128">
        <v>127</v>
      </c>
      <c r="C128" t="s">
        <v>295</v>
      </c>
      <c r="D128" t="s">
        <v>296</v>
      </c>
    </row>
    <row r="129" spans="1:4" x14ac:dyDescent="0.25">
      <c r="A129" t="str">
        <f>IF(Explanation!$P$2="Nederlands",Tabel3[[#This Row],[Dutch]],Tabel3[[#This Row],[English]])</f>
        <v>Maximum leeftijd</v>
      </c>
      <c r="B129">
        <v>128</v>
      </c>
      <c r="C129" t="s">
        <v>297</v>
      </c>
      <c r="D129" t="s">
        <v>298</v>
      </c>
    </row>
    <row r="130" spans="1:4" x14ac:dyDescent="0.25">
      <c r="A130" t="str">
        <f>IF(Explanation!$P$2="Nederlands",Tabel3[[#This Row],[Dutch]],Tabel3[[#This Row],[English]])</f>
        <v>Werkgevers %</v>
      </c>
      <c r="B130">
        <v>129</v>
      </c>
      <c r="C130" t="s">
        <v>299</v>
      </c>
      <c r="D130" t="s">
        <v>300</v>
      </c>
    </row>
    <row r="131" spans="1:4" x14ac:dyDescent="0.25">
      <c r="A131" t="str">
        <f>IF(Explanation!$P$2="Nederlands",Tabel3[[#This Row],[Dutch]],Tabel3[[#This Row],[English]])</f>
        <v>Werknemers %</v>
      </c>
      <c r="B131">
        <v>130</v>
      </c>
      <c r="C131" t="s">
        <v>301</v>
      </c>
      <c r="D131" t="s">
        <v>302</v>
      </c>
    </row>
    <row r="132" spans="1:4" x14ac:dyDescent="0.25">
      <c r="A132" t="str">
        <f>IF(Explanation!$P$2="Nederlands",Tabel3[[#This Row],[Dutch]],Tabel3[[#This Row],[English]])</f>
        <v>Franchise</v>
      </c>
      <c r="B132">
        <v>131</v>
      </c>
      <c r="C132" t="s">
        <v>303</v>
      </c>
      <c r="D132" t="s">
        <v>304</v>
      </c>
    </row>
    <row r="133" spans="1:4" x14ac:dyDescent="0.25">
      <c r="A133" t="str">
        <f>IF(Explanation!$P$2="Nederlands",Tabel3[[#This Row],[Dutch]],Tabel3[[#This Row],[English]])</f>
        <v>Maximum jaarbedrag</v>
      </c>
      <c r="B133">
        <v>132</v>
      </c>
      <c r="C133" t="s">
        <v>305</v>
      </c>
      <c r="D133" t="s">
        <v>306</v>
      </c>
    </row>
    <row r="134" spans="1:4" x14ac:dyDescent="0.25">
      <c r="A134" t="str">
        <f>IF(Explanation!$P$2="Nederlands",Tabel3[[#This Row],[Dutch]],Tabel3[[#This Row],[English]])</f>
        <v>Vermenigvuldigingsfactor</v>
      </c>
      <c r="B134">
        <v>133</v>
      </c>
      <c r="C134" t="s">
        <v>307</v>
      </c>
      <c r="D134" t="s">
        <v>308</v>
      </c>
    </row>
    <row r="135" spans="1:4" x14ac:dyDescent="0.25">
      <c r="A135" t="str">
        <f>IF(Explanation!$P$2="Nederlands",Tabel3[[#This Row],[Dutch]],Tabel3[[#This Row],[English]])</f>
        <v>Deelfactor</v>
      </c>
      <c r="B135">
        <v>134</v>
      </c>
      <c r="C135" t="s">
        <v>309</v>
      </c>
      <c r="D135" t="s">
        <v>310</v>
      </c>
    </row>
    <row r="136" spans="1:4" x14ac:dyDescent="0.25">
      <c r="A136" t="str">
        <f>IF(Explanation!$P$2="Nederlands",Tabel3[[#This Row],[Dutch]],Tabel3[[#This Row],[English]])</f>
        <v>Loonbelasting</v>
      </c>
      <c r="B136">
        <v>135</v>
      </c>
      <c r="C136" t="s">
        <v>311</v>
      </c>
      <c r="D136" t="s">
        <v>224</v>
      </c>
    </row>
    <row r="137" spans="1:4" x14ac:dyDescent="0.25">
      <c r="A137" t="str">
        <f>IF(Explanation!$P$2="Nederlands",Tabel3[[#This Row],[Dutch]],Tabel3[[#This Row],[English]])</f>
        <v>Als UPA aangifte van toepassing is, geef hier dan de account informatie op. Zoals gebruikersinfo, wachtwoord en productcodes.</v>
      </c>
      <c r="B137">
        <v>136</v>
      </c>
      <c r="C137" t="s">
        <v>312</v>
      </c>
      <c r="D137" t="s">
        <v>313</v>
      </c>
    </row>
    <row r="138" spans="1:4" x14ac:dyDescent="0.25">
      <c r="A138" t="str">
        <f>IF(Explanation!$P$2="Nederlands",Tabel3[[#This Row],[Dutch]],Tabel3[[#This Row],[English]])</f>
        <v>Basis periode</v>
      </c>
      <c r="B138">
        <v>137</v>
      </c>
      <c r="C138" t="s">
        <v>314</v>
      </c>
      <c r="D138" t="s">
        <v>315</v>
      </c>
    </row>
    <row r="139" spans="1:4" x14ac:dyDescent="0.25">
      <c r="A139" t="str">
        <f>IF(Explanation!$P$2="Nederlands",Tabel3[[#This Row],[Dutch]],Tabel3[[#This Row],[English]])</f>
        <v>(pensioen)grondslag</v>
      </c>
      <c r="B139">
        <v>138</v>
      </c>
      <c r="C139" t="s">
        <v>316</v>
      </c>
      <c r="D139" t="s">
        <v>317</v>
      </c>
    </row>
    <row r="140" spans="1:4" x14ac:dyDescent="0.25">
      <c r="A140" t="str">
        <f>IF(Explanation!$P$2="Nederlands",Tabel3[[#This Row],[Dutch]],Tabel3[[#This Row],[English]])</f>
        <v>Is er een leeftijdsstaffel van toepassing?</v>
      </c>
      <c r="B140">
        <v>139</v>
      </c>
      <c r="C140" t="s">
        <v>318</v>
      </c>
      <c r="D140" t="s">
        <v>319</v>
      </c>
    </row>
    <row r="141" spans="1:4" x14ac:dyDescent="0.25">
      <c r="A141" t="str">
        <f>IF(Explanation!$P$2="Nederlands",Tabel3[[#This Row],[Dutch]],Tabel3[[#This Row],[English]])</f>
        <v>zo ja, graag specificeren</v>
      </c>
      <c r="B141">
        <v>140</v>
      </c>
      <c r="C141" t="s">
        <v>320</v>
      </c>
      <c r="D141" t="s">
        <v>21</v>
      </c>
    </row>
    <row r="142" spans="1:4" x14ac:dyDescent="0.25">
      <c r="A142" t="str">
        <f>IF(Explanation!$P$2="Nederlands",Tabel3[[#This Row],[Dutch]],Tabel3[[#This Row],[English]])</f>
        <v>Graag opgeven op tabblad "Wage codes"</v>
      </c>
      <c r="B142">
        <v>141</v>
      </c>
      <c r="C142" t="s">
        <v>173</v>
      </c>
      <c r="D142" t="s">
        <v>174</v>
      </c>
    </row>
    <row r="143" spans="1:4" x14ac:dyDescent="0.25">
      <c r="A143" t="str">
        <f>IF(Explanation!$P$2="Nederlands",Tabel3[[#This Row],[Dutch]],Tabel3[[#This Row],[English]])</f>
        <v>Leeftijd</v>
      </c>
      <c r="B143">
        <v>142</v>
      </c>
      <c r="C143" t="s">
        <v>321</v>
      </c>
      <c r="D143" t="s">
        <v>322</v>
      </c>
    </row>
    <row r="144" spans="1:4" x14ac:dyDescent="0.25">
      <c r="A144" t="str">
        <f>IF(Explanation!$P$2="Nederlands",Tabel3[[#This Row],[Dutch]],Tabel3[[#This Row],[English]])</f>
        <v>% Wkn</v>
      </c>
      <c r="B144">
        <v>143</v>
      </c>
      <c r="C144" t="s">
        <v>323</v>
      </c>
      <c r="D144" t="s">
        <v>324</v>
      </c>
    </row>
    <row r="145" spans="1:4" x14ac:dyDescent="0.25">
      <c r="A145" t="str">
        <f>IF(Explanation!$P$2="Nederlands",Tabel3[[#This Row],[Dutch]],Tabel3[[#This Row],[English]])</f>
        <v>% Wkg</v>
      </c>
      <c r="B145">
        <v>144</v>
      </c>
      <c r="C145" t="s">
        <v>325</v>
      </c>
      <c r="D145" t="s">
        <v>326</v>
      </c>
    </row>
    <row r="146" spans="1:4" x14ac:dyDescent="0.25">
      <c r="A146" t="str">
        <f>IF(Explanation!$P$2="Nederlands",Tabel3[[#This Row],[Dutch]],Tabel3[[#This Row],[English]])</f>
        <v>Pensioen excedent regeling</v>
      </c>
      <c r="B146">
        <v>145</v>
      </c>
      <c r="C146" t="s">
        <v>327</v>
      </c>
      <c r="D146" t="s">
        <v>328</v>
      </c>
    </row>
    <row r="147" spans="1:4" x14ac:dyDescent="0.25">
      <c r="A147" t="str">
        <f>IF(Explanation!$P$2="Nederlands",Tabel3[[#This Row],[Dutch]],Tabel3[[#This Row],[English]])</f>
        <v>WGA - WIA regeling</v>
      </c>
      <c r="B147">
        <v>146</v>
      </c>
      <c r="C147" t="s">
        <v>329</v>
      </c>
      <c r="D147" t="s">
        <v>330</v>
      </c>
    </row>
    <row r="148" spans="1:4" x14ac:dyDescent="0.25">
      <c r="A148" t="str">
        <f>IF(Explanation!$P$2="Nederlands",Tabel3[[#This Row],[Dutch]],Tabel3[[#This Row],[English]])</f>
        <v>Overige regelingen</v>
      </c>
      <c r="B148">
        <v>147</v>
      </c>
      <c r="C148" t="s">
        <v>331</v>
      </c>
      <c r="D148" t="s">
        <v>332</v>
      </c>
    </row>
    <row r="149" spans="1:4" x14ac:dyDescent="0.25">
      <c r="A149" t="str">
        <f>IF(Explanation!$P$2="Nederlands",Tabel3[[#This Row],[Dutch]],Tabel3[[#This Row],[English]])</f>
        <v>Grootboekrekeningen en kostenplaatsen</v>
      </c>
      <c r="B149">
        <v>148</v>
      </c>
      <c r="C149" t="s">
        <v>333</v>
      </c>
      <c r="D149" t="s">
        <v>334</v>
      </c>
    </row>
    <row r="150" spans="1:4" x14ac:dyDescent="0.25">
      <c r="A150" t="str">
        <f>IF(Explanation!$P$2="Nederlands",Tabel3[[#This Row],[Dutch]],Tabel3[[#This Row],[English]])</f>
        <v>Grootboekrekening</v>
      </c>
      <c r="B150">
        <v>149</v>
      </c>
      <c r="C150" t="s">
        <v>335</v>
      </c>
      <c r="D150" t="s">
        <v>336</v>
      </c>
    </row>
    <row r="151" spans="1:4" x14ac:dyDescent="0.25">
      <c r="A151" t="str">
        <f>IF(Explanation!$P$2="Nederlands",Tabel3[[#This Row],[Dutch]],Tabel3[[#This Row],[English]])</f>
        <v>Nummer</v>
      </c>
      <c r="B151">
        <v>150</v>
      </c>
      <c r="C151" t="s">
        <v>107</v>
      </c>
      <c r="D151" t="s">
        <v>337</v>
      </c>
    </row>
    <row r="152" spans="1:4" x14ac:dyDescent="0.25">
      <c r="A152" t="str">
        <f>IF(Explanation!$P$2="Nederlands",Tabel3[[#This Row],[Dutch]],Tabel3[[#This Row],[English]])</f>
        <v>Omschrijving</v>
      </c>
      <c r="B152">
        <v>151</v>
      </c>
      <c r="C152" t="s">
        <v>338</v>
      </c>
      <c r="D152" t="s">
        <v>339</v>
      </c>
    </row>
    <row r="153" spans="1:4" x14ac:dyDescent="0.25">
      <c r="A153" t="str">
        <f>IF(Explanation!$P$2="Nederlands",Tabel3[[#This Row],[Dutch]],Tabel3[[#This Row],[English]])</f>
        <v>Kostenplaats</v>
      </c>
      <c r="B153">
        <v>152</v>
      </c>
      <c r="C153" t="s">
        <v>201</v>
      </c>
      <c r="D153" t="s">
        <v>340</v>
      </c>
    </row>
    <row r="154" spans="1:4" x14ac:dyDescent="0.25">
      <c r="A154" t="str">
        <f>IF(Explanation!$P$2="Nederlands",Tabel3[[#This Row],[Dutch]],Tabel3[[#This Row],[English]])</f>
        <v>Kostendrager</v>
      </c>
      <c r="B154">
        <v>153</v>
      </c>
      <c r="C154" t="s">
        <v>341</v>
      </c>
      <c r="D154" t="s">
        <v>342</v>
      </c>
    </row>
    <row r="155" spans="1:4" x14ac:dyDescent="0.25">
      <c r="A155" t="str">
        <f>IF(Explanation!$P$2="Nederlands",Tabel3[[#This Row],[Dutch]],Tabel3[[#This Row],[English]])</f>
        <v>Kostensoort</v>
      </c>
      <c r="B155">
        <v>154</v>
      </c>
      <c r="C155" t="s">
        <v>343</v>
      </c>
      <c r="D155" t="s">
        <v>344</v>
      </c>
    </row>
    <row r="156" spans="1:4" x14ac:dyDescent="0.25">
      <c r="A156" t="str">
        <f>IF(Explanation!$P$2="Nederlands",Tabel3[[#This Row],[Dutch]],Tabel3[[#This Row],[English]])</f>
        <v>Journaalpost export</v>
      </c>
      <c r="B156">
        <v>155</v>
      </c>
      <c r="C156" t="s">
        <v>345</v>
      </c>
      <c r="D156" t="s">
        <v>346</v>
      </c>
    </row>
    <row r="157" spans="1:4" x14ac:dyDescent="0.25">
      <c r="A157" t="str">
        <f>IF(Explanation!$P$2="Nederlands",Tabel3[[#This Row],[Dutch]],Tabel3[[#This Row],[English]])</f>
        <v>Journaalpost</v>
      </c>
      <c r="B157">
        <v>156</v>
      </c>
      <c r="C157" t="s">
        <v>347</v>
      </c>
      <c r="D157" t="s">
        <v>348</v>
      </c>
    </row>
    <row r="158" spans="1:4" x14ac:dyDescent="0.25">
      <c r="A158" t="str">
        <f>IF(Explanation!$P$2="Nederlands",Tabel3[[#This Row],[Dutch]],Tabel3[[#This Row],[English]])</f>
        <v>Voor welk financieel systeem</v>
      </c>
      <c r="B158">
        <v>157</v>
      </c>
      <c r="C158" t="s">
        <v>349</v>
      </c>
      <c r="D158" t="s">
        <v>350</v>
      </c>
    </row>
    <row r="159" spans="1:4" x14ac:dyDescent="0.25">
      <c r="A159" t="str">
        <f>IF(Explanation!$P$2="Nederlands",Tabel3[[#This Row],[Dutch]],Tabel3[[#This Row],[English]])</f>
        <v>Formaat</v>
      </c>
      <c r="B159">
        <v>158</v>
      </c>
      <c r="C159" t="s">
        <v>351</v>
      </c>
      <c r="D159" t="s">
        <v>352</v>
      </c>
    </row>
    <row r="160" spans="1:4" x14ac:dyDescent="0.25">
      <c r="A160" t="str">
        <f>IF(Explanation!$P$2="Nederlands",Tabel3[[#This Row],[Dutch]],Tabel3[[#This Row],[English]])</f>
        <v>Bestandstype</v>
      </c>
      <c r="B160">
        <v>159</v>
      </c>
      <c r="C160" t="s">
        <v>353</v>
      </c>
      <c r="D160" t="s">
        <v>354</v>
      </c>
    </row>
    <row r="161" spans="1:4" x14ac:dyDescent="0.25">
      <c r="A161" t="str">
        <f>IF(Explanation!$P$2="Nederlands",Tabel3[[#This Row],[Dutch]],Tabel3[[#This Row],[English]])</f>
        <v>Als anders, welk type?</v>
      </c>
      <c r="B161">
        <v>160</v>
      </c>
      <c r="C161" t="s">
        <v>355</v>
      </c>
      <c r="D161" t="s">
        <v>356</v>
      </c>
    </row>
    <row r="162" spans="1:4" x14ac:dyDescent="0.25">
      <c r="A162" t="str">
        <f>IF(Explanation!$P$2="Nederlands",Tabel3[[#This Row],[Dutch]],Tabel3[[#This Row],[English]])</f>
        <v>Kopregel</v>
      </c>
      <c r="B162">
        <v>161</v>
      </c>
      <c r="C162" t="s">
        <v>357</v>
      </c>
      <c r="D162" t="s">
        <v>358</v>
      </c>
    </row>
    <row r="163" spans="1:4" x14ac:dyDescent="0.25">
      <c r="A163" t="str">
        <f>IF(Explanation!$P$2="Nederlands",Tabel3[[#This Row],[Dutch]],Tabel3[[#This Row],[English]])</f>
        <v>Detail regels</v>
      </c>
      <c r="B163">
        <v>162</v>
      </c>
      <c r="C163" t="s">
        <v>359</v>
      </c>
      <c r="D163" t="s">
        <v>360</v>
      </c>
    </row>
    <row r="164" spans="1:4" x14ac:dyDescent="0.25">
      <c r="A164" t="str">
        <f>IF(Explanation!$P$2="Nederlands",Tabel3[[#This Row],[Dutch]],Tabel3[[#This Row],[English]])</f>
        <v>Kolom 01</v>
      </c>
      <c r="B164">
        <v>163</v>
      </c>
      <c r="C164" t="s">
        <v>361</v>
      </c>
      <c r="D164" t="s">
        <v>362</v>
      </c>
    </row>
    <row r="165" spans="1:4" x14ac:dyDescent="0.25">
      <c r="A165" t="str">
        <f>IF(Explanation!$P$2="Nederlands",Tabel3[[#This Row],[Dutch]],Tabel3[[#This Row],[English]])</f>
        <v>Kolom 02</v>
      </c>
      <c r="B165">
        <v>164</v>
      </c>
      <c r="C165" t="s">
        <v>363</v>
      </c>
      <c r="D165" t="s">
        <v>364</v>
      </c>
    </row>
    <row r="166" spans="1:4" x14ac:dyDescent="0.25">
      <c r="A166" t="str">
        <f>IF(Explanation!$P$2="Nederlands",Tabel3[[#This Row],[Dutch]],Tabel3[[#This Row],[English]])</f>
        <v>Kolom 03</v>
      </c>
      <c r="B166">
        <v>165</v>
      </c>
      <c r="C166" t="s">
        <v>365</v>
      </c>
      <c r="D166" t="s">
        <v>366</v>
      </c>
    </row>
    <row r="167" spans="1:4" x14ac:dyDescent="0.25">
      <c r="A167" t="str">
        <f>IF(Explanation!$P$2="Nederlands",Tabel3[[#This Row],[Dutch]],Tabel3[[#This Row],[English]])</f>
        <v>Kolom 04</v>
      </c>
      <c r="B167">
        <v>166</v>
      </c>
      <c r="C167" t="s">
        <v>367</v>
      </c>
      <c r="D167" t="s">
        <v>368</v>
      </c>
    </row>
    <row r="168" spans="1:4" x14ac:dyDescent="0.25">
      <c r="A168" t="str">
        <f>IF(Explanation!$P$2="Nederlands",Tabel3[[#This Row],[Dutch]],Tabel3[[#This Row],[English]])</f>
        <v>Kolom 05</v>
      </c>
      <c r="B168">
        <v>167</v>
      </c>
      <c r="C168" t="s">
        <v>369</v>
      </c>
      <c r="D168" t="s">
        <v>370</v>
      </c>
    </row>
    <row r="169" spans="1:4" x14ac:dyDescent="0.25">
      <c r="A169" t="str">
        <f>IF(Explanation!$P$2="Nederlands",Tabel3[[#This Row],[Dutch]],Tabel3[[#This Row],[English]])</f>
        <v>Kolom 06</v>
      </c>
      <c r="B169">
        <v>168</v>
      </c>
      <c r="C169" t="s">
        <v>371</v>
      </c>
      <c r="D169" t="s">
        <v>372</v>
      </c>
    </row>
    <row r="170" spans="1:4" x14ac:dyDescent="0.25">
      <c r="A170" t="str">
        <f>IF(Explanation!$P$2="Nederlands",Tabel3[[#This Row],[Dutch]],Tabel3[[#This Row],[English]])</f>
        <v>Kolom 07</v>
      </c>
      <c r="B170">
        <v>169</v>
      </c>
      <c r="C170" t="s">
        <v>373</v>
      </c>
      <c r="D170" t="s">
        <v>374</v>
      </c>
    </row>
    <row r="171" spans="1:4" x14ac:dyDescent="0.25">
      <c r="A171" t="str">
        <f>IF(Explanation!$P$2="Nederlands",Tabel3[[#This Row],[Dutch]],Tabel3[[#This Row],[English]])</f>
        <v>Kolom 08</v>
      </c>
      <c r="B171">
        <v>170</v>
      </c>
      <c r="C171" t="s">
        <v>375</v>
      </c>
      <c r="D171" t="s">
        <v>376</v>
      </c>
    </row>
    <row r="172" spans="1:4" x14ac:dyDescent="0.25">
      <c r="A172" t="str">
        <f>IF(Explanation!$P$2="Nederlands",Tabel3[[#This Row],[Dutch]],Tabel3[[#This Row],[English]])</f>
        <v>Kolom 09</v>
      </c>
      <c r="B172">
        <v>171</v>
      </c>
      <c r="C172" t="s">
        <v>377</v>
      </c>
      <c r="D172" t="s">
        <v>378</v>
      </c>
    </row>
    <row r="173" spans="1:4" x14ac:dyDescent="0.25">
      <c r="A173" t="str">
        <f>IF(Explanation!$P$2="Nederlands",Tabel3[[#This Row],[Dutch]],Tabel3[[#This Row],[English]])</f>
        <v>Kolom 10</v>
      </c>
      <c r="B173">
        <v>172</v>
      </c>
      <c r="C173" t="s">
        <v>379</v>
      </c>
      <c r="D173" t="s">
        <v>380</v>
      </c>
    </row>
    <row r="174" spans="1:4" x14ac:dyDescent="0.25">
      <c r="A174" t="str">
        <f>IF(Explanation!$P$2="Nederlands",Tabel3[[#This Row],[Dutch]],Tabel3[[#This Row],[English]])</f>
        <v>Overige instellingen</v>
      </c>
      <c r="B174">
        <v>173</v>
      </c>
      <c r="C174" t="s">
        <v>381</v>
      </c>
      <c r="D174" t="s">
        <v>382</v>
      </c>
    </row>
    <row r="175" spans="1:4" x14ac:dyDescent="0.25">
      <c r="A175" t="str">
        <f>IF(Explanation!$P$2="Nederlands",Tabel3[[#This Row],[Dutch]],Tabel3[[#This Row],[English]])</f>
        <v>Afwijkende rekeningschema per kpl</v>
      </c>
      <c r="B175">
        <v>174</v>
      </c>
      <c r="C175" t="s">
        <v>383</v>
      </c>
      <c r="D175" t="s">
        <v>384</v>
      </c>
    </row>
    <row r="176" spans="1:4" x14ac:dyDescent="0.25">
      <c r="A176" t="str">
        <f>IF(Explanation!$P$2="Nederlands",Tabel3[[#This Row],[Dutch]],Tabel3[[#This Row],[English]])</f>
        <v>Consolideren op kostenplaats</v>
      </c>
      <c r="B176">
        <v>175</v>
      </c>
      <c r="C176" t="s">
        <v>385</v>
      </c>
      <c r="D176" t="s">
        <v>386</v>
      </c>
    </row>
    <row r="177" spans="1:4" x14ac:dyDescent="0.25">
      <c r="A177" t="str">
        <f>IF(Explanation!$P$2="Nederlands",Tabel3[[#This Row],[Dutch]],Tabel3[[#This Row],[English]])</f>
        <v>Consolideren op GB-rekening</v>
      </c>
      <c r="B177">
        <v>176</v>
      </c>
      <c r="C177" t="s">
        <v>387</v>
      </c>
      <c r="D177" t="s">
        <v>388</v>
      </c>
    </row>
    <row r="178" spans="1:4" x14ac:dyDescent="0.25">
      <c r="A178" t="str">
        <f>IF(Explanation!$P$2="Nederlands",Tabel3[[#This Row],[Dutch]],Tabel3[[#This Row],[English]])</f>
        <v>zo ja, specificeer</v>
      </c>
      <c r="B178">
        <v>177</v>
      </c>
      <c r="C178" t="s">
        <v>389</v>
      </c>
      <c r="D178" t="s">
        <v>390</v>
      </c>
    </row>
    <row r="179" spans="1:4" x14ac:dyDescent="0.25">
      <c r="A179" t="str">
        <f>IF(Explanation!$P$2="Nederlands",Tabel3[[#This Row],[Dutch]],Tabel3[[#This Row],[English]])</f>
        <v>Wettelijke verlofregelingen</v>
      </c>
      <c r="B179">
        <v>178</v>
      </c>
      <c r="C179" t="s">
        <v>391</v>
      </c>
      <c r="D179" t="s">
        <v>392</v>
      </c>
    </row>
    <row r="180" spans="1:4" x14ac:dyDescent="0.25">
      <c r="A180" t="str">
        <f>IF(Explanation!$P$2="Nederlands",Tabel3[[#This Row],[Dutch]],Tabel3[[#This Row],[English]])</f>
        <v>Soort verlof</v>
      </c>
      <c r="B180">
        <v>179</v>
      </c>
      <c r="C180" t="s">
        <v>393</v>
      </c>
      <c r="D180" t="s">
        <v>394</v>
      </c>
    </row>
    <row r="181" spans="1:4" x14ac:dyDescent="0.25">
      <c r="A181" t="str">
        <f>IF(Explanation!$P$2="Nederlands",Tabel3[[#This Row],[Dutch]],Tabel3[[#This Row],[English]])</f>
        <v>Onbetaald verlof</v>
      </c>
      <c r="B181">
        <v>180</v>
      </c>
      <c r="C181" t="s">
        <v>395</v>
      </c>
      <c r="D181" t="s">
        <v>396</v>
      </c>
    </row>
    <row r="182" spans="1:4" x14ac:dyDescent="0.25">
      <c r="A182" t="str">
        <f>IF(Explanation!$P$2="Nederlands",Tabel3[[#This Row],[Dutch]],Tabel3[[#This Row],[English]])</f>
        <v>Kortdurend zorgverlof</v>
      </c>
      <c r="B182">
        <v>181</v>
      </c>
      <c r="C182" t="s">
        <v>397</v>
      </c>
      <c r="D182" t="s">
        <v>398</v>
      </c>
    </row>
    <row r="183" spans="1:4" x14ac:dyDescent="0.25">
      <c r="A183" t="str">
        <f>IF(Explanation!$P$2="Nederlands",Tabel3[[#This Row],[Dutch]],Tabel3[[#This Row],[English]])</f>
        <v>Langdurig zorgverlof</v>
      </c>
      <c r="B183">
        <v>182</v>
      </c>
      <c r="C183" t="s">
        <v>399</v>
      </c>
      <c r="D183" t="s">
        <v>400</v>
      </c>
    </row>
    <row r="184" spans="1:4" x14ac:dyDescent="0.25">
      <c r="A184" t="str">
        <f>IF(Explanation!$P$2="Nederlands",Tabel3[[#This Row],[Dutch]],Tabel3[[#This Row],[English]])</f>
        <v>Geboorteverlof (1 week)</v>
      </c>
      <c r="B184">
        <v>183</v>
      </c>
      <c r="C184" t="s">
        <v>401</v>
      </c>
      <c r="D184" t="s">
        <v>402</v>
      </c>
    </row>
    <row r="185" spans="1:4" x14ac:dyDescent="0.25">
      <c r="A185" t="str">
        <f>IF(Explanation!$P$2="Nederlands",Tabel3[[#This Row],[Dutch]],Tabel3[[#This Row],[English]])</f>
        <v>Aanvullende geboorteverlof (5 weken)</v>
      </c>
      <c r="B185">
        <v>184</v>
      </c>
      <c r="C185" t="s">
        <v>403</v>
      </c>
      <c r="D185" t="s">
        <v>404</v>
      </c>
    </row>
    <row r="186" spans="1:4" x14ac:dyDescent="0.25">
      <c r="A186" t="str">
        <f>IF(Explanation!$P$2="Nederlands",Tabel3[[#This Row],[Dutch]],Tabel3[[#This Row],[English]])</f>
        <v>Betaald ouderschapsverlof</v>
      </c>
      <c r="B186">
        <v>185</v>
      </c>
      <c r="C186" t="s">
        <v>405</v>
      </c>
      <c r="D186" t="s">
        <v>406</v>
      </c>
    </row>
    <row r="187" spans="1:4" x14ac:dyDescent="0.25">
      <c r="A187" t="str">
        <f>IF(Explanation!$P$2="Nederlands",Tabel3[[#This Row],[Dutch]],Tabel3[[#This Row],[English]])</f>
        <v>Onbetaald ouderschapsverlof</v>
      </c>
      <c r="B187">
        <v>186</v>
      </c>
      <c r="C187" t="s">
        <v>407</v>
      </c>
      <c r="D187" t="s">
        <v>408</v>
      </c>
    </row>
    <row r="188" spans="1:4" x14ac:dyDescent="0.25">
      <c r="A188" t="str">
        <f>IF(Explanation!$P$2="Nederlands",Tabel3[[#This Row],[Dutch]],Tabel3[[#This Row],[English]])</f>
        <v>Generatiepact</v>
      </c>
      <c r="B188">
        <v>187</v>
      </c>
      <c r="C188" t="s">
        <v>409</v>
      </c>
      <c r="D188" t="s">
        <v>409</v>
      </c>
    </row>
    <row r="189" spans="1:4" x14ac:dyDescent="0.25">
      <c r="A189" t="str">
        <f>IF(Explanation!$P$2="Nederlands",Tabel3[[#This Row],[Dutch]],Tabel3[[#This Row],[English]])</f>
        <v>Is er een generatiepact regeling?</v>
      </c>
      <c r="B189">
        <v>188</v>
      </c>
      <c r="C189" t="s">
        <v>410</v>
      </c>
      <c r="D189" t="s">
        <v>411</v>
      </c>
    </row>
    <row r="190" spans="1:4" x14ac:dyDescent="0.25">
      <c r="A190" t="str">
        <f>IF(Explanation!$P$2="Nederlands",Tabel3[[#This Row],[Dutch]],Tabel3[[#This Row],[English]])</f>
        <v>zo ja, wat zijn de percenages?</v>
      </c>
      <c r="B190">
        <v>189</v>
      </c>
      <c r="C190" t="s">
        <v>412</v>
      </c>
      <c r="D190" t="s">
        <v>413</v>
      </c>
    </row>
    <row r="191" spans="1:4" x14ac:dyDescent="0.25">
      <c r="A191" t="str">
        <f>IF(Explanation!$P$2="Nederlands",Tabel3[[#This Row],[Dutch]],Tabel3[[#This Row],[English]])</f>
        <v>Pensioen naar rato</v>
      </c>
      <c r="B191">
        <v>190</v>
      </c>
      <c r="C191" t="s">
        <v>414</v>
      </c>
      <c r="D191" t="s">
        <v>415</v>
      </c>
    </row>
    <row r="192" spans="1:4" x14ac:dyDescent="0.25">
      <c r="A192" t="str">
        <f>IF(Explanation!$P$2="Nederlands",Tabel3[[#This Row],[Dutch]],Tabel3[[#This Row],[English]])</f>
        <v>Vakakantiegeld naar rato</v>
      </c>
      <c r="B192">
        <v>191</v>
      </c>
      <c r="C192" t="s">
        <v>416</v>
      </c>
      <c r="D192" t="s">
        <v>417</v>
      </c>
    </row>
    <row r="193" spans="1:4" x14ac:dyDescent="0.25">
      <c r="A193" t="str">
        <f>IF(Explanation!$P$2="Nederlands",Tabel3[[#This Row],[Dutch]],Tabel3[[#This Row],[English]])</f>
        <v>aanvullen tot</v>
      </c>
      <c r="B193">
        <v>192</v>
      </c>
      <c r="C193" t="s">
        <v>418</v>
      </c>
      <c r="D193" t="s">
        <v>419</v>
      </c>
    </row>
    <row r="194" spans="1:4" x14ac:dyDescent="0.25">
      <c r="A194" t="str">
        <f>IF(Explanation!$P$2="Nederlands",Tabel3[[#This Row],[Dutch]],Tabel3[[#This Row],[English]])</f>
        <v>Loontijdvak</v>
      </c>
      <c r="B194">
        <v>193</v>
      </c>
      <c r="C194" t="s">
        <v>420</v>
      </c>
      <c r="D194" t="s">
        <v>186</v>
      </c>
    </row>
    <row r="195" spans="1:4" x14ac:dyDescent="0.25">
      <c r="A195" t="str">
        <f>IF(Explanation!$P$2="Nederlands",Tabel3[[#This Row],[Dutch]],Tabel3[[#This Row],[English]])</f>
        <v>welk %</v>
      </c>
      <c r="B195">
        <v>194</v>
      </c>
      <c r="C195" t="s">
        <v>421</v>
      </c>
      <c r="D195" t="s">
        <v>422</v>
      </c>
    </row>
    <row r="196" spans="1:4" x14ac:dyDescent="0.25">
      <c r="A196" t="str">
        <f>IF(Explanation!$P$2="Nederlands",Tabel3[[#This Row],[Dutch]],Tabel3[[#This Row],[English]])</f>
        <v>Split payroll</v>
      </c>
      <c r="B196">
        <v>195</v>
      </c>
      <c r="C196" t="s">
        <v>423</v>
      </c>
      <c r="D196" t="s">
        <v>423</v>
      </c>
    </row>
    <row r="197" spans="1:4" x14ac:dyDescent="0.25">
      <c r="A197" t="str">
        <f>IF(Explanation!$P$2="Nederlands",Tabel3[[#This Row],[Dutch]],Tabel3[[#This Row],[English]])</f>
        <v>Expats</v>
      </c>
      <c r="B197">
        <v>196</v>
      </c>
      <c r="C197" t="s">
        <v>424</v>
      </c>
      <c r="D197" t="s">
        <v>424</v>
      </c>
    </row>
    <row r="198" spans="1:4" x14ac:dyDescent="0.25">
      <c r="A198" t="str">
        <f>IF(Explanation!$P$2="Nederlands",Tabel3[[#This Row],[Dutch]],Tabel3[[#This Row],[English]])</f>
        <v>Uitkeringsgerechtigen</v>
      </c>
      <c r="B198">
        <v>197</v>
      </c>
      <c r="C198" t="s">
        <v>425</v>
      </c>
      <c r="D198" t="s">
        <v>426</v>
      </c>
    </row>
    <row r="199" spans="1:4" x14ac:dyDescent="0.25">
      <c r="A199" t="str">
        <f>IF(Explanation!$P$2="Nederlands",Tabel3[[#This Row],[Dutch]],Tabel3[[#This Row],[English]])</f>
        <v>Gepensioneerde</v>
      </c>
      <c r="B199">
        <v>198</v>
      </c>
      <c r="C199" t="s">
        <v>427</v>
      </c>
      <c r="D199" t="s">
        <v>428</v>
      </c>
    </row>
    <row r="200" spans="1:4" x14ac:dyDescent="0.25">
      <c r="A200" t="str">
        <f>IF(Explanation!$P$2="Nederlands",Tabel3[[#This Row],[Dutch]],Tabel3[[#This Row],[English]])</f>
        <v>Uurloonberekening</v>
      </c>
      <c r="B200">
        <v>199</v>
      </c>
      <c r="C200" t="s">
        <v>429</v>
      </c>
      <c r="D200" t="s">
        <v>430</v>
      </c>
    </row>
    <row r="201" spans="1:4" x14ac:dyDescent="0.25">
      <c r="A201" t="str">
        <f>IF(Explanation!$P$2="Nederlands",Tabel3[[#This Row],[Dutch]],Tabel3[[#This Row],[English]])</f>
        <v xml:space="preserve">Looncodes die meetellen </v>
      </c>
      <c r="B201">
        <v>200</v>
      </c>
      <c r="C201" t="s">
        <v>431</v>
      </c>
      <c r="D201" t="s">
        <v>432</v>
      </c>
    </row>
    <row r="202" spans="1:4" x14ac:dyDescent="0.25">
      <c r="A202" t="str">
        <f>IF(Explanation!$P$2="Nederlands",Tabel3[[#This Row],[Dutch]],Tabel3[[#This Row],[English]])</f>
        <v>voor de uurloonberekening</v>
      </c>
      <c r="B202">
        <v>201</v>
      </c>
      <c r="C202" t="s">
        <v>433</v>
      </c>
      <c r="D202" t="s">
        <v>434</v>
      </c>
    </row>
    <row r="203" spans="1:4" x14ac:dyDescent="0.25">
      <c r="A203" t="str">
        <f>IF(Explanation!$P$2="Nederlands",Tabel3[[#This Row],[Dutch]],Tabel3[[#This Row],[English]])</f>
        <v>WBSO subsidie</v>
      </c>
      <c r="B203">
        <v>202</v>
      </c>
      <c r="C203" t="s">
        <v>435</v>
      </c>
      <c r="D203" t="s">
        <v>436</v>
      </c>
    </row>
    <row r="204" spans="1:4" x14ac:dyDescent="0.25">
      <c r="A204" t="str">
        <f>IF(Explanation!$P$2="Nederlands",Tabel3[[#This Row],[Dutch]],Tabel3[[#This Row],[English]])</f>
        <v>Uitbetalen in periode/maand uitdienst</v>
      </c>
      <c r="B204">
        <v>203</v>
      </c>
      <c r="C204" t="s">
        <v>437</v>
      </c>
      <c r="D204" t="s">
        <v>438</v>
      </c>
    </row>
    <row r="205" spans="1:4" x14ac:dyDescent="0.25">
      <c r="A205" t="str">
        <f>IF(Explanation!$P$2="Nederlands",Tabel3[[#This Row],[Dutch]],Tabel3[[#This Row],[English]])</f>
        <v>Goedkeuring setup en schaduwverwerking</v>
      </c>
      <c r="B205">
        <v>204</v>
      </c>
      <c r="C205" t="s">
        <v>439</v>
      </c>
      <c r="D205" t="s">
        <v>440</v>
      </c>
    </row>
    <row r="206" spans="1:4" x14ac:dyDescent="0.25">
      <c r="A206" t="str">
        <f>IF(Explanation!$P$2="Nederlands",Tabel3[[#This Row],[Dutch]],Tabel3[[#This Row],[English]])</f>
        <v>Klant</v>
      </c>
      <c r="B206">
        <v>205</v>
      </c>
      <c r="C206" t="s">
        <v>441</v>
      </c>
      <c r="D206" t="s">
        <v>442</v>
      </c>
    </row>
    <row r="207" spans="1:4" x14ac:dyDescent="0.25">
      <c r="A207" t="str">
        <f>IF(Explanation!$P$2="Nederlands",Tabel3[[#This Row],[Dutch]],Tabel3[[#This Row],[English]])</f>
        <v>Hierbij verklaart ondergetekende dat de inrichting van Cobra conform opgave in dit inventarisatie document is uitgevoerd.</v>
      </c>
      <c r="B207">
        <v>206</v>
      </c>
      <c r="C207" t="s">
        <v>443</v>
      </c>
      <c r="D207" t="s">
        <v>444</v>
      </c>
    </row>
    <row r="208" spans="1:4" x14ac:dyDescent="0.25">
      <c r="A208" t="str">
        <f>IF(Explanation!$P$2="Nederlands",Tabel3[[#This Row],[Dutch]],Tabel3[[#This Row],[English]])</f>
        <v>Handtekening:</v>
      </c>
      <c r="B208">
        <v>207</v>
      </c>
      <c r="C208" t="s">
        <v>445</v>
      </c>
      <c r="D208" t="s">
        <v>446</v>
      </c>
    </row>
    <row r="209" spans="1:4" x14ac:dyDescent="0.25">
      <c r="A209" t="str">
        <f>IF(Explanation!$P$2="Nederlands",Tabel3[[#This Row],[Dutch]],Tabel3[[#This Row],[English]])</f>
        <v>Datum:</v>
      </c>
      <c r="B209">
        <v>208</v>
      </c>
      <c r="C209" t="s">
        <v>447</v>
      </c>
      <c r="D209" t="s">
        <v>448</v>
      </c>
    </row>
    <row r="210" spans="1:4" x14ac:dyDescent="0.25">
      <c r="A210" t="str">
        <f>IF(Explanation!$P$2="Nederlands",Tabel3[[#This Row],[Dutch]],Tabel3[[#This Row],[English]])</f>
        <v>Akkoord met de Cobra setup:</v>
      </c>
      <c r="B210">
        <v>209</v>
      </c>
      <c r="C210" t="s">
        <v>449</v>
      </c>
      <c r="D210" t="s">
        <v>450</v>
      </c>
    </row>
    <row r="211" spans="1:4" x14ac:dyDescent="0.25">
      <c r="A211" t="str">
        <f>IF(Explanation!$P$2="Nederlands",Tabel3[[#This Row],[Dutch]],Tabel3[[#This Row],[English]])</f>
        <v>Akkoord met de schaduwverwerking(en):</v>
      </c>
      <c r="B211">
        <v>210</v>
      </c>
      <c r="C211" t="s">
        <v>451</v>
      </c>
      <c r="D211" t="s">
        <v>452</v>
      </c>
    </row>
    <row r="212" spans="1:4" x14ac:dyDescent="0.25">
      <c r="A212">
        <f>IF(Explanation!$P$2="Nederlands",Tabel3[[#This Row],[Dutch]],Tabel3[[#This Row],[English]])</f>
        <v>0</v>
      </c>
      <c r="B212">
        <v>211</v>
      </c>
    </row>
    <row r="213" spans="1:4" x14ac:dyDescent="0.25">
      <c r="A213">
        <f>IF(Explanation!$P$2="Nederlands",Tabel3[[#This Row],[Dutch]],Tabel3[[#This Row],[English]])</f>
        <v>0</v>
      </c>
      <c r="B213">
        <v>212</v>
      </c>
    </row>
    <row r="214" spans="1:4" x14ac:dyDescent="0.25">
      <c r="A214">
        <f>IF(Explanation!$P$2="Nederlands",Tabel3[[#This Row],[Dutch]],Tabel3[[#This Row],[English]])</f>
        <v>0</v>
      </c>
      <c r="B214">
        <v>213</v>
      </c>
    </row>
    <row r="215" spans="1:4" x14ac:dyDescent="0.25">
      <c r="A215">
        <f>IF(Explanation!$P$2="Nederlands",Tabel3[[#This Row],[Dutch]],Tabel3[[#This Row],[English]])</f>
        <v>0</v>
      </c>
      <c r="B215">
        <v>214</v>
      </c>
    </row>
    <row r="216" spans="1:4" x14ac:dyDescent="0.25">
      <c r="A216">
        <f>IF(Explanation!$P$2="Nederlands",Tabel3[[#This Row],[Dutch]],Tabel3[[#This Row],[English]])</f>
        <v>0</v>
      </c>
      <c r="B216">
        <v>215</v>
      </c>
    </row>
    <row r="217" spans="1:4" x14ac:dyDescent="0.25">
      <c r="A217">
        <f>IF(Explanation!$P$2="Nederlands",Tabel3[[#This Row],[Dutch]],Tabel3[[#This Row],[English]])</f>
        <v>0</v>
      </c>
      <c r="B217">
        <v>216</v>
      </c>
    </row>
    <row r="218" spans="1:4" x14ac:dyDescent="0.25">
      <c r="A218">
        <f>IF(Explanation!$P$2="Nederlands",Tabel3[[#This Row],[Dutch]],Tabel3[[#This Row],[English]])</f>
        <v>0</v>
      </c>
      <c r="B218">
        <v>217</v>
      </c>
    </row>
    <row r="219" spans="1:4" x14ac:dyDescent="0.25">
      <c r="A219">
        <f>IF(Explanation!$P$2="Nederlands",Tabel3[[#This Row],[Dutch]],Tabel3[[#This Row],[English]])</f>
        <v>0</v>
      </c>
      <c r="B219">
        <v>218</v>
      </c>
    </row>
    <row r="220" spans="1:4" x14ac:dyDescent="0.25">
      <c r="A220">
        <f>IF(Explanation!$P$2="Nederlands",Tabel3[[#This Row],[Dutch]],Tabel3[[#This Row],[English]])</f>
        <v>0</v>
      </c>
      <c r="B220">
        <v>219</v>
      </c>
    </row>
    <row r="221" spans="1:4" x14ac:dyDescent="0.25">
      <c r="A221">
        <f>IF(Explanation!$P$2="Nederlands",Tabel3[[#This Row],[Dutch]],Tabel3[[#This Row],[English]])</f>
        <v>0</v>
      </c>
      <c r="B221">
        <v>220</v>
      </c>
    </row>
    <row r="222" spans="1:4" x14ac:dyDescent="0.25">
      <c r="A222">
        <f>IF(Explanation!$P$2="Nederlands",Tabel3[[#This Row],[Dutch]],Tabel3[[#This Row],[English]])</f>
        <v>0</v>
      </c>
      <c r="B222">
        <v>221</v>
      </c>
    </row>
    <row r="223" spans="1:4" x14ac:dyDescent="0.25">
      <c r="A223">
        <f>IF(Explanation!$P$2="Nederlands",Tabel3[[#This Row],[Dutch]],Tabel3[[#This Row],[English]])</f>
        <v>0</v>
      </c>
      <c r="B223">
        <v>222</v>
      </c>
    </row>
    <row r="224" spans="1:4" x14ac:dyDescent="0.25">
      <c r="A224">
        <f>IF(Explanation!$P$2="Nederlands",Tabel3[[#This Row],[Dutch]],Tabel3[[#This Row],[English]])</f>
        <v>0</v>
      </c>
      <c r="B224">
        <v>223</v>
      </c>
    </row>
    <row r="225" spans="1:2" x14ac:dyDescent="0.25">
      <c r="A225">
        <f>IF(Explanation!$P$2="Nederlands",Tabel3[[#This Row],[Dutch]],Tabel3[[#This Row],[English]])</f>
        <v>0</v>
      </c>
      <c r="B225">
        <v>224</v>
      </c>
    </row>
    <row r="226" spans="1:2" x14ac:dyDescent="0.25">
      <c r="A226">
        <f>IF(Explanation!$P$2="Nederlands",Tabel3[[#This Row],[Dutch]],Tabel3[[#This Row],[English]])</f>
        <v>0</v>
      </c>
      <c r="B226">
        <v>225</v>
      </c>
    </row>
    <row r="227" spans="1:2" x14ac:dyDescent="0.25">
      <c r="A227">
        <f>IF(Explanation!$P$2="Nederlands",Tabel3[[#This Row],[Dutch]],Tabel3[[#This Row],[English]])</f>
        <v>0</v>
      </c>
      <c r="B227">
        <v>226</v>
      </c>
    </row>
    <row r="228" spans="1:2" x14ac:dyDescent="0.25">
      <c r="A228">
        <f>IF(Explanation!$P$2="Nederlands",Tabel3[[#This Row],[Dutch]],Tabel3[[#This Row],[English]])</f>
        <v>0</v>
      </c>
      <c r="B228">
        <v>227</v>
      </c>
    </row>
    <row r="229" spans="1:2" x14ac:dyDescent="0.25">
      <c r="A229">
        <f>IF(Explanation!$P$2="Nederlands",Tabel3[[#This Row],[Dutch]],Tabel3[[#This Row],[English]])</f>
        <v>0</v>
      </c>
      <c r="B229">
        <v>228</v>
      </c>
    </row>
    <row r="230" spans="1:2" x14ac:dyDescent="0.25">
      <c r="A230">
        <f>IF(Explanation!$P$2="Nederlands",Tabel3[[#This Row],[Dutch]],Tabel3[[#This Row],[English]])</f>
        <v>0</v>
      </c>
      <c r="B230">
        <v>229</v>
      </c>
    </row>
    <row r="231" spans="1:2" x14ac:dyDescent="0.25">
      <c r="A231">
        <f>IF(Explanation!$P$2="Nederlands",Tabel3[[#This Row],[Dutch]],Tabel3[[#This Row],[English]])</f>
        <v>0</v>
      </c>
      <c r="B231">
        <v>230</v>
      </c>
    </row>
    <row r="232" spans="1:2" x14ac:dyDescent="0.25">
      <c r="A232">
        <f>IF(Explanation!$P$2="Nederlands",Tabel3[[#This Row],[Dutch]],Tabel3[[#This Row],[English]])</f>
        <v>0</v>
      </c>
      <c r="B232">
        <v>231</v>
      </c>
    </row>
    <row r="233" spans="1:2" x14ac:dyDescent="0.25">
      <c r="A233">
        <f>IF(Explanation!$P$2="Nederlands",Tabel3[[#This Row],[Dutch]],Tabel3[[#This Row],[English]])</f>
        <v>0</v>
      </c>
      <c r="B233">
        <v>232</v>
      </c>
    </row>
    <row r="234" spans="1:2" x14ac:dyDescent="0.25">
      <c r="A234">
        <f>IF(Explanation!$P$2="Nederlands",Tabel3[[#This Row],[Dutch]],Tabel3[[#This Row],[English]])</f>
        <v>0</v>
      </c>
      <c r="B234">
        <v>233</v>
      </c>
    </row>
    <row r="235" spans="1:2" x14ac:dyDescent="0.25">
      <c r="A235">
        <f>IF(Explanation!$P$2="Nederlands",Tabel3[[#This Row],[Dutch]],Tabel3[[#This Row],[English]])</f>
        <v>0</v>
      </c>
      <c r="B235">
        <v>234</v>
      </c>
    </row>
    <row r="236" spans="1:2" x14ac:dyDescent="0.25">
      <c r="A236">
        <f>IF(Explanation!$P$2="Nederlands",Tabel3[[#This Row],[Dutch]],Tabel3[[#This Row],[English]])</f>
        <v>0</v>
      </c>
      <c r="B236">
        <v>235</v>
      </c>
    </row>
    <row r="237" spans="1:2" x14ac:dyDescent="0.25">
      <c r="A237">
        <f>IF(Explanation!$P$2="Nederlands",Tabel3[[#This Row],[Dutch]],Tabel3[[#This Row],[English]])</f>
        <v>0</v>
      </c>
      <c r="B237">
        <v>236</v>
      </c>
    </row>
    <row r="238" spans="1:2" x14ac:dyDescent="0.25">
      <c r="A238">
        <f>IF(Explanation!$P$2="Nederlands",Tabel3[[#This Row],[Dutch]],Tabel3[[#This Row],[English]])</f>
        <v>0</v>
      </c>
      <c r="B238">
        <v>237</v>
      </c>
    </row>
    <row r="239" spans="1:2" x14ac:dyDescent="0.25">
      <c r="A239">
        <f>IF(Explanation!$P$2="Nederlands",Tabel3[[#This Row],[Dutch]],Tabel3[[#This Row],[English]])</f>
        <v>0</v>
      </c>
      <c r="B239">
        <v>238</v>
      </c>
    </row>
    <row r="240" spans="1:2" x14ac:dyDescent="0.25">
      <c r="A240">
        <f>IF(Explanation!$P$2="Nederlands",Tabel3[[#This Row],[Dutch]],Tabel3[[#This Row],[English]])</f>
        <v>0</v>
      </c>
      <c r="B240">
        <v>239</v>
      </c>
    </row>
    <row r="241" spans="1:2" x14ac:dyDescent="0.25">
      <c r="A241">
        <f>IF(Explanation!$P$2="Nederlands",Tabel3[[#This Row],[Dutch]],Tabel3[[#This Row],[English]])</f>
        <v>0</v>
      </c>
      <c r="B241">
        <v>240</v>
      </c>
    </row>
  </sheetData>
  <sheetProtection selectLockedCells="1" selectUnlockedCells="1"/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2731C-E972-4090-9C98-03ACF903B50B}">
  <sheetPr>
    <tabColor rgb="FFC00000"/>
  </sheetPr>
  <dimension ref="A1:E104"/>
  <sheetViews>
    <sheetView topLeftCell="A81" workbookViewId="0">
      <selection activeCell="B103" sqref="B103"/>
    </sheetView>
  </sheetViews>
  <sheetFormatPr defaultColWidth="14.75" defaultRowHeight="15.75" x14ac:dyDescent="0.25"/>
  <cols>
    <col min="1" max="3" width="30.75" style="124" customWidth="1"/>
    <col min="4" max="4" width="14.75" style="124"/>
    <col min="5" max="5" width="62.625" style="124" bestFit="1" customWidth="1"/>
    <col min="6" max="16384" width="14.75" style="124"/>
  </cols>
  <sheetData>
    <row r="1" spans="1:5" x14ac:dyDescent="0.25">
      <c r="A1" t="s">
        <v>190</v>
      </c>
      <c r="B1" s="123" t="s">
        <v>47</v>
      </c>
      <c r="C1" s="123" t="s">
        <v>48</v>
      </c>
      <c r="E1" s="124" t="s">
        <v>453</v>
      </c>
    </row>
    <row r="2" spans="1:5" x14ac:dyDescent="0.25">
      <c r="A2" s="125" t="str">
        <f>IF(Explanation!$P$2="Nederlands",Tabel2[[#This Row],[Dutch]],Tabel2[[#This Row],[English]])</f>
        <v>Nederlands</v>
      </c>
      <c r="B2" s="125" t="s">
        <v>0</v>
      </c>
      <c r="C2" s="125" t="s">
        <v>0</v>
      </c>
      <c r="E2" s="124" t="s">
        <v>454</v>
      </c>
    </row>
    <row r="3" spans="1:5" x14ac:dyDescent="0.25">
      <c r="A3" s="125" t="str">
        <f>IF(Explanation!$P$2="Nederlands",Tabel2[[#This Row],[Dutch]],Tabel2[[#This Row],[English]])</f>
        <v>English</v>
      </c>
      <c r="B3" s="125" t="s">
        <v>48</v>
      </c>
      <c r="C3" s="125" t="s">
        <v>48</v>
      </c>
      <c r="E3" s="124" t="s">
        <v>455</v>
      </c>
    </row>
    <row r="4" spans="1:5" x14ac:dyDescent="0.25">
      <c r="D4" s="125"/>
      <c r="E4" s="124" t="s">
        <v>456</v>
      </c>
    </row>
    <row r="5" spans="1:5" x14ac:dyDescent="0.25">
      <c r="A5" s="123" t="s">
        <v>457</v>
      </c>
      <c r="B5" s="123" t="s">
        <v>47</v>
      </c>
      <c r="C5" s="123" t="s">
        <v>48</v>
      </c>
      <c r="E5" s="124" t="s">
        <v>458</v>
      </c>
    </row>
    <row r="6" spans="1:5" x14ac:dyDescent="0.25">
      <c r="A6" s="125" t="str">
        <f>IF(Explanation!$P$2="Nederlands",Tabel25[[#This Row],[Dutch]],Tabel25[[#This Row],[English]])</f>
        <v>Ja</v>
      </c>
      <c r="B6" s="125" t="s">
        <v>1</v>
      </c>
      <c r="C6" s="125" t="s">
        <v>459</v>
      </c>
      <c r="E6" s="124" t="s">
        <v>460</v>
      </c>
    </row>
    <row r="7" spans="1:5" x14ac:dyDescent="0.25">
      <c r="A7" s="125" t="str">
        <f>IF(Explanation!$P$2="Nederlands",Tabel25[[#This Row],[Dutch]],Tabel25[[#This Row],[English]])</f>
        <v>Nee</v>
      </c>
      <c r="B7" s="125" t="s">
        <v>2</v>
      </c>
      <c r="C7" s="125" t="s">
        <v>461</v>
      </c>
      <c r="E7" s="124" t="s">
        <v>462</v>
      </c>
    </row>
    <row r="8" spans="1:5" x14ac:dyDescent="0.25">
      <c r="E8" s="124" t="s">
        <v>463</v>
      </c>
    </row>
    <row r="9" spans="1:5" x14ac:dyDescent="0.25">
      <c r="A9" t="s">
        <v>216</v>
      </c>
      <c r="B9" s="123" t="s">
        <v>47</v>
      </c>
      <c r="C9" s="123" t="s">
        <v>48</v>
      </c>
      <c r="E9" s="124" t="s">
        <v>464</v>
      </c>
    </row>
    <row r="10" spans="1:5" x14ac:dyDescent="0.25">
      <c r="A10" s="125" t="str">
        <f>IF(Explanation!$P$2="Nederlands",Tabel256[[#This Row],[Dutch]],Tabel256[[#This Row],[English]])</f>
        <v>Ja, met verplichting te komen</v>
      </c>
      <c r="B10" s="125" t="s">
        <v>465</v>
      </c>
      <c r="C10" s="124" t="s">
        <v>466</v>
      </c>
      <c r="E10" s="124" t="s">
        <v>467</v>
      </c>
    </row>
    <row r="11" spans="1:5" x14ac:dyDescent="0.25">
      <c r="A11" s="125" t="str">
        <f>IF(Explanation!$P$2="Nederlands",Tabel256[[#This Row],[Dutch]],Tabel256[[#This Row],[English]])</f>
        <v>Ja, zonder verplichting te komen</v>
      </c>
      <c r="B11" s="125" t="s">
        <v>468</v>
      </c>
      <c r="C11" s="124" t="s">
        <v>469</v>
      </c>
      <c r="E11" s="124" t="s">
        <v>470</v>
      </c>
    </row>
    <row r="12" spans="1:5" x14ac:dyDescent="0.25">
      <c r="A12" s="125" t="str">
        <f>IF(Explanation!$P$2="Nederlands",Tabel256[[#This Row],[Dutch]],Tabel256[[#This Row],[English]])</f>
        <v>Ja, beide</v>
      </c>
      <c r="B12" s="125" t="s">
        <v>471</v>
      </c>
      <c r="C12" s="124" t="s">
        <v>472</v>
      </c>
      <c r="E12" s="124" t="s">
        <v>473</v>
      </c>
    </row>
    <row r="13" spans="1:5" x14ac:dyDescent="0.25">
      <c r="A13" s="125" t="str">
        <f>IF(Explanation!$P$2="Nederlands",Tabel256[[#This Row],[Dutch]],Tabel256[[#This Row],[English]])</f>
        <v>Nee</v>
      </c>
      <c r="B13" s="125" t="s">
        <v>2</v>
      </c>
      <c r="C13" s="124" t="s">
        <v>461</v>
      </c>
      <c r="E13" s="124" t="s">
        <v>474</v>
      </c>
    </row>
    <row r="14" spans="1:5" x14ac:dyDescent="0.25">
      <c r="E14" s="124" t="s">
        <v>475</v>
      </c>
    </row>
    <row r="15" spans="1:5" x14ac:dyDescent="0.25">
      <c r="A15" t="s">
        <v>184</v>
      </c>
      <c r="B15" s="123" t="s">
        <v>47</v>
      </c>
      <c r="C15" s="123" t="s">
        <v>48</v>
      </c>
      <c r="E15" s="124" t="s">
        <v>476</v>
      </c>
    </row>
    <row r="16" spans="1:5" x14ac:dyDescent="0.25">
      <c r="A16" s="125" t="str">
        <f>IF(Explanation!$P$2="Nederlands",Tabel2567[[#This Row],[Dutch]],Tabel2567[[#This Row],[English]])</f>
        <v>Rooster dagen</v>
      </c>
      <c r="B16" s="125" t="s">
        <v>477</v>
      </c>
      <c r="C16" s="124" t="s">
        <v>478</v>
      </c>
      <c r="E16" s="124" t="s">
        <v>479</v>
      </c>
    </row>
    <row r="17" spans="1:5" x14ac:dyDescent="0.25">
      <c r="A17" s="125" t="str">
        <f>IF(Explanation!$P$2="Nederlands",Tabel2567[[#This Row],[Dutch]],Tabel2567[[#This Row],[English]])</f>
        <v>Gemiddelde dagen</v>
      </c>
      <c r="B17" s="125" t="s">
        <v>480</v>
      </c>
      <c r="C17" s="124" t="s">
        <v>481</v>
      </c>
      <c r="E17" s="124" t="s">
        <v>482</v>
      </c>
    </row>
    <row r="18" spans="1:5" x14ac:dyDescent="0.25">
      <c r="A18" s="125" t="str">
        <f>IF(Explanation!$P$2="Nederlands",Tabel2567[[#This Row],[Dutch]],Tabel2567[[#This Row],[English]])</f>
        <v>Kalender dagen</v>
      </c>
      <c r="B18" s="125" t="s">
        <v>6</v>
      </c>
      <c r="C18" s="124" t="s">
        <v>483</v>
      </c>
      <c r="E18" s="124" t="s">
        <v>484</v>
      </c>
    </row>
    <row r="19" spans="1:5" x14ac:dyDescent="0.25">
      <c r="A19" s="125"/>
      <c r="B19" s="125"/>
      <c r="E19" s="124" t="s">
        <v>485</v>
      </c>
    </row>
    <row r="20" spans="1:5" x14ac:dyDescent="0.25">
      <c r="A20" t="s">
        <v>186</v>
      </c>
      <c r="B20" s="123" t="s">
        <v>47</v>
      </c>
      <c r="C20" s="123" t="s">
        <v>48</v>
      </c>
      <c r="E20" s="124" t="s">
        <v>486</v>
      </c>
    </row>
    <row r="21" spans="1:5" x14ac:dyDescent="0.25">
      <c r="A21" s="125" t="str">
        <f>IF(Explanation!$P$2="Nederlands",Tabel25678[[#This Row],[Dutch]],Tabel25678[[#This Row],[English]])</f>
        <v>Week</v>
      </c>
      <c r="B21" s="125" t="s">
        <v>487</v>
      </c>
      <c r="C21" s="124" t="s">
        <v>487</v>
      </c>
      <c r="E21" s="124" t="s">
        <v>488</v>
      </c>
    </row>
    <row r="22" spans="1:5" x14ac:dyDescent="0.25">
      <c r="A22" s="125" t="str">
        <f>IF(Explanation!$P$2="Nederlands",Tabel25678[[#This Row],[Dutch]],Tabel25678[[#This Row],[English]])</f>
        <v>4 weken</v>
      </c>
      <c r="B22" s="125" t="s">
        <v>489</v>
      </c>
      <c r="C22" s="124" t="s">
        <v>490</v>
      </c>
      <c r="E22" s="124" t="s">
        <v>491</v>
      </c>
    </row>
    <row r="23" spans="1:5" x14ac:dyDescent="0.25">
      <c r="A23" s="125" t="str">
        <f>IF(Explanation!$P$2="Nederlands",Tabel25678[[#This Row],[Dutch]],Tabel25678[[#This Row],[English]])</f>
        <v>Maand</v>
      </c>
      <c r="B23" s="125" t="s">
        <v>8</v>
      </c>
      <c r="C23" s="124" t="s">
        <v>492</v>
      </c>
      <c r="E23" s="124" t="s">
        <v>493</v>
      </c>
    </row>
    <row r="24" spans="1:5" x14ac:dyDescent="0.25">
      <c r="E24" s="124" t="s">
        <v>494</v>
      </c>
    </row>
    <row r="25" spans="1:5" x14ac:dyDescent="0.25">
      <c r="A25" t="s">
        <v>495</v>
      </c>
      <c r="B25" s="123" t="s">
        <v>47</v>
      </c>
      <c r="C25" s="123" t="s">
        <v>48</v>
      </c>
      <c r="E25" s="124" t="s">
        <v>496</v>
      </c>
    </row>
    <row r="26" spans="1:5" x14ac:dyDescent="0.25">
      <c r="A26" s="125" t="str">
        <f>IF(Explanation!$P$2="Nederlands",Tabel29[[#This Row],[Dutch]],Tabel29[[#This Row],[English]])</f>
        <v>Nederlands</v>
      </c>
      <c r="B26" s="125" t="s">
        <v>0</v>
      </c>
      <c r="C26" s="124" t="s">
        <v>47</v>
      </c>
      <c r="E26" s="124" t="s">
        <v>497</v>
      </c>
    </row>
    <row r="27" spans="1:5" x14ac:dyDescent="0.25">
      <c r="A27" s="125" t="str">
        <f>IF(Explanation!$P$2="Nederlands",Tabel29[[#This Row],[Dutch]],Tabel29[[#This Row],[English]])</f>
        <v>Engels</v>
      </c>
      <c r="B27" s="125" t="s">
        <v>498</v>
      </c>
      <c r="C27" s="124" t="s">
        <v>48</v>
      </c>
      <c r="E27" s="124" t="s">
        <v>499</v>
      </c>
    </row>
    <row r="28" spans="1:5" x14ac:dyDescent="0.25">
      <c r="E28" s="124" t="s">
        <v>500</v>
      </c>
    </row>
    <row r="29" spans="1:5" x14ac:dyDescent="0.25">
      <c r="A29" t="s">
        <v>198</v>
      </c>
      <c r="B29" s="123" t="s">
        <v>47</v>
      </c>
      <c r="C29" s="123" t="s">
        <v>48</v>
      </c>
      <c r="E29" s="124" t="s">
        <v>501</v>
      </c>
    </row>
    <row r="30" spans="1:5" x14ac:dyDescent="0.25">
      <c r="A30" s="125" t="str">
        <f>IF(Explanation!$P$2="Nederlands",Tabel2910[[#This Row],[Dutch]],Tabel2910[[#This Row],[English]])</f>
        <v>Op de betaaldatum</v>
      </c>
      <c r="B30" s="125" t="s">
        <v>9</v>
      </c>
      <c r="C30" s="124" t="s">
        <v>502</v>
      </c>
      <c r="E30" s="124" t="s">
        <v>503</v>
      </c>
    </row>
    <row r="31" spans="1:5" x14ac:dyDescent="0.25">
      <c r="A31" s="125" t="str">
        <f>IF(Explanation!$P$2="Nederlands",Tabel2910[[#This Row],[Dutch]],Tabel2910[[#This Row],[English]])</f>
        <v># dagen na de betaaldatum</v>
      </c>
      <c r="B31" s="125" t="s">
        <v>199</v>
      </c>
      <c r="C31" s="124" t="s">
        <v>504</v>
      </c>
      <c r="E31" s="124" t="s">
        <v>505</v>
      </c>
    </row>
    <row r="32" spans="1:5" x14ac:dyDescent="0.25">
      <c r="E32" s="124" t="s">
        <v>506</v>
      </c>
    </row>
    <row r="33" spans="1:5" x14ac:dyDescent="0.25">
      <c r="A33" t="s">
        <v>232</v>
      </c>
      <c r="B33" s="123" t="s">
        <v>47</v>
      </c>
      <c r="C33" s="123" t="s">
        <v>48</v>
      </c>
      <c r="E33" s="124" t="s">
        <v>507</v>
      </c>
    </row>
    <row r="34" spans="1:5" x14ac:dyDescent="0.25">
      <c r="A34" s="125" t="str">
        <f>IF(Explanation!$P$2="Nederlands",Tabel291011[[#This Row],[Dutch]],Tabel291011[[#This Row],[English]])</f>
        <v>Klein</v>
      </c>
      <c r="B34" s="125" t="s">
        <v>12</v>
      </c>
      <c r="C34" s="124" t="s">
        <v>508</v>
      </c>
      <c r="E34" s="124" t="s">
        <v>509</v>
      </c>
    </row>
    <row r="35" spans="1:5" x14ac:dyDescent="0.25">
      <c r="A35" s="125" t="str">
        <f>IF(Explanation!$P$2="Nederlands",Tabel291011[[#This Row],[Dutch]],Tabel291011[[#This Row],[English]])</f>
        <v>Middel</v>
      </c>
      <c r="B35" s="125" t="s">
        <v>510</v>
      </c>
      <c r="C35" s="124" t="s">
        <v>511</v>
      </c>
      <c r="E35" s="124" t="s">
        <v>512</v>
      </c>
    </row>
    <row r="36" spans="1:5" x14ac:dyDescent="0.25">
      <c r="A36" s="125" t="str">
        <f>IF(Explanation!$P$2="Nederlands",Tabel291011[[#This Row],[Dutch]],Tabel291011[[#This Row],[English]])</f>
        <v>Groot</v>
      </c>
      <c r="B36" s="125" t="s">
        <v>513</v>
      </c>
      <c r="C36" s="124" t="s">
        <v>514</v>
      </c>
      <c r="E36" s="124" t="s">
        <v>515</v>
      </c>
    </row>
    <row r="37" spans="1:5" x14ac:dyDescent="0.25">
      <c r="E37" s="124" t="s">
        <v>516</v>
      </c>
    </row>
    <row r="38" spans="1:5" x14ac:dyDescent="0.25">
      <c r="A38" t="s">
        <v>517</v>
      </c>
      <c r="B38" s="123" t="s">
        <v>47</v>
      </c>
      <c r="C38" s="123" t="s">
        <v>48</v>
      </c>
      <c r="E38" s="124" t="s">
        <v>518</v>
      </c>
    </row>
    <row r="39" spans="1:5" x14ac:dyDescent="0.25">
      <c r="A39" s="125" t="str">
        <f>IF(Explanation!$P$2="Nederlands",Tabel29101112[[#This Row],[Dutch]],Tabel29101112[[#This Row],[English]])</f>
        <v>Nee</v>
      </c>
      <c r="B39" s="125" t="s">
        <v>2</v>
      </c>
      <c r="C39" s="124" t="s">
        <v>461</v>
      </c>
      <c r="E39" s="124" t="s">
        <v>519</v>
      </c>
    </row>
    <row r="40" spans="1:5" x14ac:dyDescent="0.25">
      <c r="A40" s="125" t="str">
        <f>IF(Explanation!$P$2="Nederlands",Tabel29101112[[#This Row],[Dutch]],Tabel29101112[[#This Row],[English]])</f>
        <v>WGA</v>
      </c>
      <c r="B40" s="124" t="s">
        <v>520</v>
      </c>
      <c r="C40" s="124" t="s">
        <v>520</v>
      </c>
      <c r="E40" s="124" t="s">
        <v>11</v>
      </c>
    </row>
    <row r="41" spans="1:5" x14ac:dyDescent="0.25">
      <c r="A41" s="125" t="str">
        <f>IF(Explanation!$P$2="Nederlands",Tabel29101112[[#This Row],[Dutch]],Tabel29101112[[#This Row],[English]])</f>
        <v>ZW</v>
      </c>
      <c r="B41" s="124" t="s">
        <v>521</v>
      </c>
      <c r="C41" s="124" t="s">
        <v>521</v>
      </c>
      <c r="E41" s="124" t="s">
        <v>522</v>
      </c>
    </row>
    <row r="42" spans="1:5" x14ac:dyDescent="0.25">
      <c r="A42" s="125" t="str">
        <f>IF(Explanation!$P$2="Nederlands",Tabel29101112[[#This Row],[Dutch]],Tabel29101112[[#This Row],[English]])</f>
        <v>WGA/ZW</v>
      </c>
      <c r="B42" s="124" t="s">
        <v>523</v>
      </c>
      <c r="C42" s="124" t="s">
        <v>523</v>
      </c>
      <c r="E42" s="124" t="s">
        <v>524</v>
      </c>
    </row>
    <row r="43" spans="1:5" x14ac:dyDescent="0.25">
      <c r="E43" s="124" t="s">
        <v>525</v>
      </c>
    </row>
    <row r="44" spans="1:5" x14ac:dyDescent="0.25">
      <c r="A44" t="s">
        <v>526</v>
      </c>
      <c r="B44" s="123" t="s">
        <v>47</v>
      </c>
      <c r="C44" s="123" t="s">
        <v>48</v>
      </c>
      <c r="E44" s="124" t="s">
        <v>527</v>
      </c>
    </row>
    <row r="45" spans="1:5" x14ac:dyDescent="0.25">
      <c r="A45" s="125" t="str">
        <f>IF(Explanation!$P$2="Nederlands",Tabel2910111213[[#This Row],[Dutch]],Tabel2910111213[[#This Row],[English]])</f>
        <v>Januari</v>
      </c>
      <c r="B45" s="125" t="s">
        <v>528</v>
      </c>
      <c r="C45" s="124" t="s">
        <v>529</v>
      </c>
      <c r="E45" s="124" t="s">
        <v>530</v>
      </c>
    </row>
    <row r="46" spans="1:5" x14ac:dyDescent="0.25">
      <c r="A46" s="125" t="str">
        <f>IF(Explanation!$P$2="Nederlands",Tabel2910111213[[#This Row],[Dutch]],Tabel2910111213[[#This Row],[English]])</f>
        <v>Februari</v>
      </c>
      <c r="B46" s="124" t="s">
        <v>531</v>
      </c>
      <c r="C46" s="124" t="s">
        <v>532</v>
      </c>
      <c r="E46" s="124" t="s">
        <v>533</v>
      </c>
    </row>
    <row r="47" spans="1:5" x14ac:dyDescent="0.25">
      <c r="A47" s="125" t="str">
        <f>IF(Explanation!$P$2="Nederlands",Tabel2910111213[[#This Row],[Dutch]],Tabel2910111213[[#This Row],[English]])</f>
        <v>Maart</v>
      </c>
      <c r="B47" s="124" t="s">
        <v>534</v>
      </c>
      <c r="C47" s="124" t="s">
        <v>535</v>
      </c>
      <c r="E47" s="124" t="s">
        <v>536</v>
      </c>
    </row>
    <row r="48" spans="1:5" x14ac:dyDescent="0.25">
      <c r="A48" s="125" t="str">
        <f>IF(Explanation!$P$2="Nederlands",Tabel2910111213[[#This Row],[Dutch]],Tabel2910111213[[#This Row],[English]])</f>
        <v>April</v>
      </c>
      <c r="B48" s="124" t="s">
        <v>537</v>
      </c>
      <c r="C48" s="124" t="s">
        <v>537</v>
      </c>
      <c r="E48" s="124" t="s">
        <v>538</v>
      </c>
    </row>
    <row r="49" spans="1:5" x14ac:dyDescent="0.25">
      <c r="A49" s="125" t="str">
        <f>IF(Explanation!$P$2="Nederlands",Tabel2910111213[[#This Row],[Dutch]],Tabel2910111213[[#This Row],[English]])</f>
        <v>Mei</v>
      </c>
      <c r="B49" s="125" t="s">
        <v>15</v>
      </c>
      <c r="C49" s="124" t="s">
        <v>539</v>
      </c>
      <c r="E49" s="124" t="s">
        <v>540</v>
      </c>
    </row>
    <row r="50" spans="1:5" x14ac:dyDescent="0.25">
      <c r="A50" s="125" t="str">
        <f>IF(Explanation!$P$2="Nederlands",Tabel2910111213[[#This Row],[Dutch]],Tabel2910111213[[#This Row],[English]])</f>
        <v>Juni</v>
      </c>
      <c r="B50" s="125" t="s">
        <v>14</v>
      </c>
      <c r="C50" s="124" t="s">
        <v>541</v>
      </c>
      <c r="E50" s="124" t="s">
        <v>542</v>
      </c>
    </row>
    <row r="51" spans="1:5" x14ac:dyDescent="0.25">
      <c r="A51" s="125" t="str">
        <f>IF(Explanation!$P$2="Nederlands",Tabel2910111213[[#This Row],[Dutch]],Tabel2910111213[[#This Row],[English]])</f>
        <v>Juli</v>
      </c>
      <c r="B51" s="125" t="s">
        <v>543</v>
      </c>
      <c r="C51" s="124" t="s">
        <v>544</v>
      </c>
      <c r="E51" s="124" t="s">
        <v>545</v>
      </c>
    </row>
    <row r="52" spans="1:5" x14ac:dyDescent="0.25">
      <c r="A52" s="125" t="str">
        <f>IF(Explanation!$P$2="Nederlands",Tabel2910111213[[#This Row],[Dutch]],Tabel2910111213[[#This Row],[English]])</f>
        <v>Augustus</v>
      </c>
      <c r="B52" s="125" t="s">
        <v>546</v>
      </c>
      <c r="C52" s="124" t="s">
        <v>547</v>
      </c>
      <c r="E52" s="124" t="s">
        <v>548</v>
      </c>
    </row>
    <row r="53" spans="1:5" x14ac:dyDescent="0.25">
      <c r="A53" s="125" t="str">
        <f>IF(Explanation!$P$2="Nederlands",Tabel2910111213[[#This Row],[Dutch]],Tabel2910111213[[#This Row],[English]])</f>
        <v>September</v>
      </c>
      <c r="B53" s="125" t="s">
        <v>549</v>
      </c>
      <c r="C53" s="124" t="s">
        <v>549</v>
      </c>
      <c r="E53" s="124" t="s">
        <v>550</v>
      </c>
    </row>
    <row r="54" spans="1:5" x14ac:dyDescent="0.25">
      <c r="A54" s="125" t="str">
        <f>IF(Explanation!$P$2="Nederlands",Tabel2910111213[[#This Row],[Dutch]],Tabel2910111213[[#This Row],[English]])</f>
        <v>Oktober</v>
      </c>
      <c r="B54" s="125" t="s">
        <v>551</v>
      </c>
      <c r="C54" s="124" t="s">
        <v>552</v>
      </c>
      <c r="E54" s="124" t="s">
        <v>553</v>
      </c>
    </row>
    <row r="55" spans="1:5" x14ac:dyDescent="0.25">
      <c r="A55" s="125" t="str">
        <f>IF(Explanation!$P$2="Nederlands",Tabel2910111213[[#This Row],[Dutch]],Tabel2910111213[[#This Row],[English]])</f>
        <v>November</v>
      </c>
      <c r="B55" s="125" t="s">
        <v>554</v>
      </c>
      <c r="C55" s="124" t="s">
        <v>554</v>
      </c>
      <c r="E55" s="124" t="s">
        <v>555</v>
      </c>
    </row>
    <row r="56" spans="1:5" x14ac:dyDescent="0.25">
      <c r="A56" s="125" t="str">
        <f>IF(Explanation!$P$2="Nederlands",Tabel2910111213[[#This Row],[Dutch]],Tabel2910111213[[#This Row],[English]])</f>
        <v>December</v>
      </c>
      <c r="B56" s="125" t="s">
        <v>556</v>
      </c>
      <c r="C56" s="124" t="s">
        <v>556</v>
      </c>
      <c r="E56" s="124" t="s">
        <v>557</v>
      </c>
    </row>
    <row r="57" spans="1:5" x14ac:dyDescent="0.25">
      <c r="A57" s="125" t="str">
        <f>IF(Explanation!$P$2="Nederlands",Tabel2910111213[[#This Row],[Dutch]],Tabel2910111213[[#This Row],[English]])</f>
        <v>Periode 1</v>
      </c>
      <c r="B57" s="125" t="s">
        <v>558</v>
      </c>
      <c r="C57" s="124" t="s">
        <v>559</v>
      </c>
      <c r="E57" s="124" t="s">
        <v>560</v>
      </c>
    </row>
    <row r="58" spans="1:5" x14ac:dyDescent="0.25">
      <c r="A58" s="125" t="str">
        <f>IF(Explanation!$P$2="Nederlands",Tabel2910111213[[#This Row],[Dutch]],Tabel2910111213[[#This Row],[English]])</f>
        <v>Periode 2</v>
      </c>
      <c r="B58" s="125" t="s">
        <v>561</v>
      </c>
      <c r="C58" s="124" t="s">
        <v>562</v>
      </c>
      <c r="E58" s="124" t="s">
        <v>563</v>
      </c>
    </row>
    <row r="59" spans="1:5" x14ac:dyDescent="0.25">
      <c r="A59" s="125" t="str">
        <f>IF(Explanation!$P$2="Nederlands",Tabel2910111213[[#This Row],[Dutch]],Tabel2910111213[[#This Row],[English]])</f>
        <v>Periode 3</v>
      </c>
      <c r="B59" s="125" t="s">
        <v>564</v>
      </c>
      <c r="C59" s="124" t="s">
        <v>565</v>
      </c>
      <c r="E59" s="124" t="s">
        <v>566</v>
      </c>
    </row>
    <row r="60" spans="1:5" x14ac:dyDescent="0.25">
      <c r="A60" s="125" t="str">
        <f>IF(Explanation!$P$2="Nederlands",Tabel2910111213[[#This Row],[Dutch]],Tabel2910111213[[#This Row],[English]])</f>
        <v>Periode 4</v>
      </c>
      <c r="B60" s="125" t="s">
        <v>567</v>
      </c>
      <c r="C60" s="124" t="s">
        <v>568</v>
      </c>
      <c r="E60" s="124" t="s">
        <v>569</v>
      </c>
    </row>
    <row r="61" spans="1:5" x14ac:dyDescent="0.25">
      <c r="A61" s="125" t="str">
        <f>IF(Explanation!$P$2="Nederlands",Tabel2910111213[[#This Row],[Dutch]],Tabel2910111213[[#This Row],[English]])</f>
        <v>Periode 5</v>
      </c>
      <c r="B61" s="125" t="s">
        <v>570</v>
      </c>
      <c r="C61" s="124" t="s">
        <v>571</v>
      </c>
      <c r="E61" s="124" t="s">
        <v>572</v>
      </c>
    </row>
    <row r="62" spans="1:5" x14ac:dyDescent="0.25">
      <c r="A62" s="125" t="str">
        <f>IF(Explanation!$P$2="Nederlands",Tabel2910111213[[#This Row],[Dutch]],Tabel2910111213[[#This Row],[English]])</f>
        <v>Periode 6</v>
      </c>
      <c r="B62" s="125" t="s">
        <v>573</v>
      </c>
      <c r="C62" s="124" t="s">
        <v>574</v>
      </c>
      <c r="E62" s="124" t="s">
        <v>575</v>
      </c>
    </row>
    <row r="63" spans="1:5" x14ac:dyDescent="0.25">
      <c r="A63" s="125" t="str">
        <f>IF(Explanation!$P$2="Nederlands",Tabel2910111213[[#This Row],[Dutch]],Tabel2910111213[[#This Row],[English]])</f>
        <v>Periode 7</v>
      </c>
      <c r="B63" s="125" t="s">
        <v>576</v>
      </c>
      <c r="C63" s="124" t="s">
        <v>577</v>
      </c>
      <c r="E63" s="124" t="s">
        <v>578</v>
      </c>
    </row>
    <row r="64" spans="1:5" x14ac:dyDescent="0.25">
      <c r="A64" s="125" t="str">
        <f>IF(Explanation!$P$2="Nederlands",Tabel2910111213[[#This Row],[Dutch]],Tabel2910111213[[#This Row],[English]])</f>
        <v>Periode 8</v>
      </c>
      <c r="B64" s="125" t="s">
        <v>579</v>
      </c>
      <c r="C64" s="124" t="s">
        <v>580</v>
      </c>
      <c r="E64" s="124" t="s">
        <v>581</v>
      </c>
    </row>
    <row r="65" spans="1:5" x14ac:dyDescent="0.25">
      <c r="A65" s="125" t="str">
        <f>IF(Explanation!$P$2="Nederlands",Tabel2910111213[[#This Row],[Dutch]],Tabel2910111213[[#This Row],[English]])</f>
        <v>Periode 9</v>
      </c>
      <c r="B65" s="125" t="s">
        <v>582</v>
      </c>
      <c r="C65" s="124" t="s">
        <v>583</v>
      </c>
      <c r="E65" s="124" t="s">
        <v>584</v>
      </c>
    </row>
    <row r="66" spans="1:5" x14ac:dyDescent="0.25">
      <c r="A66" s="125" t="str">
        <f>IF(Explanation!$P$2="Nederlands",Tabel2910111213[[#This Row],[Dutch]],Tabel2910111213[[#This Row],[English]])</f>
        <v>Periode 10</v>
      </c>
      <c r="B66" s="125" t="s">
        <v>585</v>
      </c>
      <c r="C66" s="124" t="s">
        <v>586</v>
      </c>
      <c r="E66" s="124" t="s">
        <v>587</v>
      </c>
    </row>
    <row r="67" spans="1:5" x14ac:dyDescent="0.25">
      <c r="A67" s="125" t="str">
        <f>IF(Explanation!$P$2="Nederlands",Tabel2910111213[[#This Row],[Dutch]],Tabel2910111213[[#This Row],[English]])</f>
        <v>Periode 11</v>
      </c>
      <c r="B67" s="125" t="s">
        <v>588</v>
      </c>
      <c r="C67" s="124" t="s">
        <v>589</v>
      </c>
      <c r="E67" s="124" t="s">
        <v>590</v>
      </c>
    </row>
    <row r="68" spans="1:5" x14ac:dyDescent="0.25">
      <c r="A68" s="125" t="str">
        <f>IF(Explanation!$P$2="Nederlands",Tabel2910111213[[#This Row],[Dutch]],Tabel2910111213[[#This Row],[English]])</f>
        <v>Periode 12</v>
      </c>
      <c r="B68" s="125" t="s">
        <v>591</v>
      </c>
      <c r="C68" s="124" t="s">
        <v>592</v>
      </c>
    </row>
    <row r="69" spans="1:5" x14ac:dyDescent="0.25">
      <c r="A69" s="125" t="str">
        <f>IF(Explanation!$P$2="Nederlands",Tabel2910111213[[#This Row],[Dutch]],Tabel2910111213[[#This Row],[English]])</f>
        <v>Periode 13</v>
      </c>
      <c r="B69" s="125" t="s">
        <v>593</v>
      </c>
      <c r="C69" s="124" t="s">
        <v>594</v>
      </c>
    </row>
    <row r="71" spans="1:5" x14ac:dyDescent="0.25">
      <c r="A71" s="123" t="s">
        <v>294</v>
      </c>
      <c r="B71" s="123" t="s">
        <v>47</v>
      </c>
      <c r="C71" s="123" t="s">
        <v>48</v>
      </c>
    </row>
    <row r="72" spans="1:5" x14ac:dyDescent="0.25">
      <c r="A72" s="125" t="str">
        <f>IF(Explanation!$P$2="Nederlands",Tabel29101114[[#This Row],[Dutch]],Tabel29101114[[#This Row],[English]])</f>
        <v>Begin periode</v>
      </c>
      <c r="B72" s="125" t="s">
        <v>595</v>
      </c>
      <c r="C72" s="124" t="s">
        <v>596</v>
      </c>
    </row>
    <row r="73" spans="1:5" x14ac:dyDescent="0.25">
      <c r="A73" s="125" t="str">
        <f>IF(Explanation!$P$2="Nederlands",Tabel29101114[[#This Row],[Dutch]],Tabel29101114[[#This Row],[English]])</f>
        <v>Einde periode</v>
      </c>
      <c r="B73" s="125" t="s">
        <v>597</v>
      </c>
      <c r="C73" s="124" t="s">
        <v>598</v>
      </c>
    </row>
    <row r="75" spans="1:5" x14ac:dyDescent="0.25">
      <c r="A75" s="123" t="s">
        <v>294</v>
      </c>
      <c r="B75" s="123" t="s">
        <v>47</v>
      </c>
      <c r="C75" s="123" t="s">
        <v>48</v>
      </c>
    </row>
    <row r="76" spans="1:5" x14ac:dyDescent="0.25">
      <c r="A76" s="125" t="str">
        <f>IF(Explanation!$P$2="Nederlands",Tabel2910111415[[#This Row],[Dutch]],Tabel2910111415[[#This Row],[English]])</f>
        <v>XML</v>
      </c>
      <c r="B76" s="124" t="s">
        <v>599</v>
      </c>
      <c r="C76" s="124" t="s">
        <v>599</v>
      </c>
    </row>
    <row r="77" spans="1:5" x14ac:dyDescent="0.25">
      <c r="A77" s="125" t="str">
        <f>IF(Explanation!$P$2="Nederlands",Tabel2910111415[[#This Row],[Dutch]],Tabel2910111415[[#This Row],[English]])</f>
        <v>Excel</v>
      </c>
      <c r="B77" s="124" t="s">
        <v>600</v>
      </c>
      <c r="C77" s="124" t="s">
        <v>600</v>
      </c>
    </row>
    <row r="78" spans="1:5" x14ac:dyDescent="0.25">
      <c r="A78" s="125" t="str">
        <f>IF(Explanation!$P$2="Nederlands",Tabel2910111415[[#This Row],[Dutch]],Tabel2910111415[[#This Row],[English]])</f>
        <v>CSV</v>
      </c>
      <c r="B78" s="124" t="s">
        <v>601</v>
      </c>
      <c r="C78" s="124" t="s">
        <v>601</v>
      </c>
    </row>
    <row r="79" spans="1:5" x14ac:dyDescent="0.25">
      <c r="A79" s="125" t="str">
        <f>IF(Explanation!$P$2="Nederlands",Tabel2910111415[[#This Row],[Dutch]],Tabel2910111415[[#This Row],[English]])</f>
        <v>TXT</v>
      </c>
      <c r="B79" s="124" t="s">
        <v>602</v>
      </c>
      <c r="C79" s="124" t="s">
        <v>602</v>
      </c>
    </row>
    <row r="80" spans="1:5" x14ac:dyDescent="0.25">
      <c r="A80" s="125" t="str">
        <f>IF(Explanation!$P$2="Nederlands",Tabel2910111415[[#This Row],[Dutch]],Tabel2910111415[[#This Row],[English]])</f>
        <v>Anders</v>
      </c>
      <c r="B80" s="124" t="s">
        <v>603</v>
      </c>
      <c r="C80" s="124" t="s">
        <v>604</v>
      </c>
    </row>
    <row r="82" spans="1:3" x14ac:dyDescent="0.25">
      <c r="A82" s="123" t="s">
        <v>258</v>
      </c>
      <c r="B82" s="123" t="s">
        <v>47</v>
      </c>
      <c r="C82" s="123" t="s">
        <v>48</v>
      </c>
    </row>
    <row r="83" spans="1:3" x14ac:dyDescent="0.25">
      <c r="A83" s="125" t="str">
        <f>IF(Explanation!$P$2="Nederlands",Tabel2910111416[[#This Row],[Dutch]],Tabel2910111416[[#This Row],[English]])</f>
        <v>Historisch loon</v>
      </c>
      <c r="B83" s="125" t="s">
        <v>16</v>
      </c>
      <c r="C83" s="124" t="s">
        <v>605</v>
      </c>
    </row>
    <row r="84" spans="1:3" x14ac:dyDescent="0.25">
      <c r="A84" s="125" t="str">
        <f>IF(Explanation!$P$2="Nederlands",Tabel2910111416[[#This Row],[Dutch]],Tabel2910111416[[#This Row],[English]])</f>
        <v>Peilperiode</v>
      </c>
      <c r="B84" s="125" t="s">
        <v>606</v>
      </c>
      <c r="C84" s="124" t="s">
        <v>607</v>
      </c>
    </row>
    <row r="86" spans="1:3" x14ac:dyDescent="0.25">
      <c r="A86" s="123" t="s">
        <v>608</v>
      </c>
      <c r="B86" s="123" t="s">
        <v>47</v>
      </c>
      <c r="C86" s="123" t="s">
        <v>48</v>
      </c>
    </row>
    <row r="87" spans="1:3" x14ac:dyDescent="0.25">
      <c r="A87" s="125" t="str">
        <f>IF(Explanation!$P$2="Nederlands",Tabel291011141617[[#This Row],[Dutch]],Tabel291011141617[[#This Row],[English]])</f>
        <v>In de periode</v>
      </c>
      <c r="B87" s="125" t="s">
        <v>609</v>
      </c>
      <c r="C87" s="125" t="s">
        <v>610</v>
      </c>
    </row>
    <row r="88" spans="1:3" x14ac:dyDescent="0.25">
      <c r="A88" s="125" t="str">
        <f>IF(Explanation!$P$2="Nederlands",Tabel291011141617[[#This Row],[Dutch]],Tabel291011141617[[#This Row],[English]])</f>
        <v>In de maand</v>
      </c>
      <c r="B88" s="125" t="s">
        <v>611</v>
      </c>
      <c r="C88" s="125" t="s">
        <v>612</v>
      </c>
    </row>
    <row r="89" spans="1:3" x14ac:dyDescent="0.25">
      <c r="A89" s="125" t="str">
        <f>IF(Explanation!$P$2="Nederlands",Tabel291011141617[[#This Row],[Dutch]],Tabel291011141617[[#This Row],[English]])</f>
        <v>Per 1 Januari</v>
      </c>
      <c r="B89" s="125" t="s">
        <v>613</v>
      </c>
      <c r="C89" s="125" t="s">
        <v>614</v>
      </c>
    </row>
    <row r="90" spans="1:3" x14ac:dyDescent="0.25">
      <c r="A90" s="125" t="str">
        <f>IF(Explanation!$P$2="Nederlands",Tabel291011141617[[#This Row],[Dutch]],Tabel291011141617[[#This Row],[English]])</f>
        <v>Per 31 December</v>
      </c>
      <c r="B90" s="125" t="s">
        <v>615</v>
      </c>
      <c r="C90" s="125" t="s">
        <v>616</v>
      </c>
    </row>
    <row r="91" spans="1:3" x14ac:dyDescent="0.25">
      <c r="A91" s="125" t="str">
        <f>IF(Explanation!$P$2="Nederlands",Tabel291011141617[[#This Row],[Dutch]],Tabel291011141617[[#This Row],[English]])</f>
        <v>Geboren voor</v>
      </c>
      <c r="B91" s="125" t="s">
        <v>617</v>
      </c>
      <c r="C91" s="125" t="s">
        <v>618</v>
      </c>
    </row>
    <row r="92" spans="1:3" x14ac:dyDescent="0.25">
      <c r="A92" s="125" t="str">
        <f>IF(Explanation!$P$2="Nederlands",Tabel291011141617[[#This Row],[Dutch]],Tabel291011141617[[#This Row],[English]])</f>
        <v>Geboren op of na</v>
      </c>
      <c r="B92" s="125" t="s">
        <v>619</v>
      </c>
      <c r="C92" s="125" t="s">
        <v>620</v>
      </c>
    </row>
    <row r="93" spans="1:3" x14ac:dyDescent="0.25">
      <c r="A93" s="125" t="str">
        <f>IF(Explanation!$P$2="Nederlands",Tabel291011141617[[#This Row],[Dutch]],Tabel291011141617[[#This Row],[English]])</f>
        <v>AOW Gerechtigd</v>
      </c>
      <c r="B93" s="125" t="s">
        <v>621</v>
      </c>
      <c r="C93" s="125" t="s">
        <v>622</v>
      </c>
    </row>
    <row r="94" spans="1:3" x14ac:dyDescent="0.25">
      <c r="A94" s="125" t="str">
        <f>IF(Explanation!$P$2="Nederlands",Tabel291011141617[[#This Row],[Dutch]],Tabel291011141617[[#This Row],[English]])</f>
        <v>AOW gerechtigd -/- maanden</v>
      </c>
      <c r="B94" s="125" t="s">
        <v>623</v>
      </c>
      <c r="C94" s="125" t="s">
        <v>624</v>
      </c>
    </row>
    <row r="95" spans="1:3" x14ac:dyDescent="0.25">
      <c r="A95" s="125" t="str">
        <f>IF(Explanation!$P$2="Nederlands",Tabel291011141617[[#This Row],[Dutch]],Tabel291011141617[[#This Row],[English]])</f>
        <v>Start leeftijd op basis van 4 weken</v>
      </c>
      <c r="B95" s="125" t="s">
        <v>625</v>
      </c>
      <c r="C95" s="125" t="s">
        <v>626</v>
      </c>
    </row>
    <row r="97" spans="1:3" x14ac:dyDescent="0.25">
      <c r="A97" s="123" t="s">
        <v>258</v>
      </c>
      <c r="B97" s="123" t="s">
        <v>47</v>
      </c>
      <c r="C97" s="123" t="s">
        <v>48</v>
      </c>
    </row>
    <row r="98" spans="1:3" x14ac:dyDescent="0.25">
      <c r="A98" s="125" t="str">
        <f>IF(Explanation!$P$2="Nederlands",Tabel291011141618[[#This Row],[Dutch]],Tabel291011141618[[#This Row],[English]])</f>
        <v>data entry</v>
      </c>
      <c r="B98" s="124" t="s">
        <v>627</v>
      </c>
      <c r="C98" s="124" t="s">
        <v>627</v>
      </c>
    </row>
    <row r="99" spans="1:3" x14ac:dyDescent="0.25">
      <c r="A99" s="125" t="str">
        <f>IF(Explanation!$P$2="Nederlands",Tabel291011141618[[#This Row],[Dutch]],Tabel291011141618[[#This Row],[English]])</f>
        <v>system calculated</v>
      </c>
      <c r="B99" s="124" t="s">
        <v>628</v>
      </c>
      <c r="C99" s="124" t="s">
        <v>628</v>
      </c>
    </row>
    <row r="101" spans="1:3" x14ac:dyDescent="0.25">
      <c r="A101" s="123" t="s">
        <v>258</v>
      </c>
      <c r="B101" s="123" t="s">
        <v>47</v>
      </c>
      <c r="C101" s="123" t="s">
        <v>48</v>
      </c>
    </row>
    <row r="102" spans="1:3" x14ac:dyDescent="0.25">
      <c r="A102" s="125" t="str">
        <f>IF(Explanation!$P$2="Nederlands",Tabel29101114161819[[#This Row],[Dutch]],Tabel29101114161819[[#This Row],[English]])</f>
        <v>amount</v>
      </c>
      <c r="B102" s="124" t="s">
        <v>629</v>
      </c>
      <c r="C102" s="124" t="s">
        <v>629</v>
      </c>
    </row>
    <row r="103" spans="1:3" x14ac:dyDescent="0.25">
      <c r="A103" s="125" t="str">
        <f>IF(Explanation!$P$2="Nederlands",Tabel29101114161819[[#This Row],[Dutch]],Tabel29101114161819[[#This Row],[English]])</f>
        <v>hours</v>
      </c>
      <c r="B103" s="124" t="s">
        <v>630</v>
      </c>
      <c r="C103" s="124" t="s">
        <v>630</v>
      </c>
    </row>
    <row r="104" spans="1:3" x14ac:dyDescent="0.25">
      <c r="A104" s="125" t="str">
        <f>IF(Explanation!$P$2="Nederlands",Tabel29101114161819[[#This Row],[Dutch]],Tabel29101114161819[[#This Row],[English]])</f>
        <v>number</v>
      </c>
      <c r="B104" s="125" t="s">
        <v>631</v>
      </c>
      <c r="C104" s="125" t="s">
        <v>631</v>
      </c>
    </row>
  </sheetData>
  <phoneticPr fontId="1" type="noConversion"/>
  <pageMargins left="0.7" right="0.7" top="0.75" bottom="0.75" header="0.3" footer="0.3"/>
  <pageSetup paperSize="9" orientation="portrait" r:id="rId1"/>
  <tableParts count="16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F1E1B25D7B864C8F723D16276C7290" ma:contentTypeVersion="3" ma:contentTypeDescription="Create a new document." ma:contentTypeScope="" ma:versionID="7ad64a5ab1f4d29dd8c84504b29007cf">
  <xsd:schema xmlns:xsd="http://www.w3.org/2001/XMLSchema" xmlns:xs="http://www.w3.org/2001/XMLSchema" xmlns:p="http://schemas.microsoft.com/office/2006/metadata/properties" xmlns:ns2="17dfc322-1745-4fc4-93b8-da4372e97605" targetNamespace="http://schemas.microsoft.com/office/2006/metadata/properties" ma:root="true" ma:fieldsID="50f2df5d28d9bf2a2c9e10c7803dcedb" ns2:_="">
    <xsd:import namespace="17dfc322-1745-4fc4-93b8-da4372e976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dfc322-1745-4fc4-93b8-da4372e976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6368A68-ADAA-4A2D-9CB1-B62C46FDB2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dfc322-1745-4fc4-93b8-da4372e976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90BA6B7-5E78-4796-8A8E-F3EFC7ECE2E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0BA2299-411C-43AC-A3C2-C11088AA169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10</vt:i4>
      </vt:variant>
    </vt:vector>
  </HeadingPairs>
  <TitlesOfParts>
    <vt:vector size="28" baseType="lpstr">
      <vt:lpstr>Explanation</vt:lpstr>
      <vt:lpstr>General Company Info</vt:lpstr>
      <vt:lpstr>Payroll settings</vt:lpstr>
      <vt:lpstr>Payroll tax data</vt:lpstr>
      <vt:lpstr>Accruals</vt:lpstr>
      <vt:lpstr>Accruals (2)</vt:lpstr>
      <vt:lpstr>Accruals (IKB)</vt:lpstr>
      <vt:lpstr>(Pension)Scheme</vt:lpstr>
      <vt:lpstr>(Pension)Scheme (2)</vt:lpstr>
      <vt:lpstr>(WGA_WIA)Scheme (3)</vt:lpstr>
      <vt:lpstr>(Other)Scheme (4)</vt:lpstr>
      <vt:lpstr>GL Legders &amp; Cost centers</vt:lpstr>
      <vt:lpstr>GL file export</vt:lpstr>
      <vt:lpstr>WAZO</vt:lpstr>
      <vt:lpstr>Wage codes</vt:lpstr>
      <vt:lpstr>Approval</vt:lpstr>
      <vt:lpstr>Languages</vt:lpstr>
      <vt:lpstr>Validation values</vt:lpstr>
      <vt:lpstr>Approval!Print_Area</vt:lpstr>
      <vt:lpstr>'General Company Info'!Print_Area</vt:lpstr>
      <vt:lpstr>'GL file export'!Print_Area</vt:lpstr>
      <vt:lpstr>'GL Legders &amp; Cost centers'!Print_Area</vt:lpstr>
      <vt:lpstr>'Payroll settings'!Print_Area</vt:lpstr>
      <vt:lpstr>'Payroll tax data'!Print_Area</vt:lpstr>
      <vt:lpstr>'Wage codes'!Print_Area</vt:lpstr>
      <vt:lpstr>Approval!Print_Titles</vt:lpstr>
      <vt:lpstr>'GL Legders &amp; Cost centers'!Print_Titles</vt:lpstr>
      <vt:lpstr>'Wage codes'!Print_Titles</vt:lpstr>
    </vt:vector>
  </TitlesOfParts>
  <Manager/>
  <Company>AltoAlto bvba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Gharbaran Prem</dc:creator>
  <cp:keywords/>
  <dc:description/>
  <cp:lastModifiedBy>Nick Schepel</cp:lastModifiedBy>
  <cp:revision/>
  <dcterms:created xsi:type="dcterms:W3CDTF">2016-01-06T11:18:26Z</dcterms:created>
  <dcterms:modified xsi:type="dcterms:W3CDTF">2025-05-26T11:44:48Z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0x0101000CF1E1B25D7B864C8F723D16276C7290</vt:lpwstr>
  </property>
</Properties>
</file>