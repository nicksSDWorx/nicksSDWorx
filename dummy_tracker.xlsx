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D569140\Downloads\"/>
    </mc:Choice>
  </mc:AlternateContent>
  <xr:revisionPtr revIDLastSave="0" documentId="13_ncr:1_{DB001635-36F9-48E1-A984-9549DE79B272}" xr6:coauthVersionLast="47" xr6:coauthVersionMax="47" xr10:uidLastSave="{00000000-0000-0000-0000-000000000000}"/>
  <bookViews>
    <workbookView xWindow="-108" yWindow="-108" windowWidth="23256" windowHeight="12456" tabRatio="932" activeTab="1" xr2:uid="{00000000-000D-0000-FFFF-FFFF00000000}"/>
  </bookViews>
  <sheets>
    <sheet name="draaitabel" sheetId="121" r:id="rId1"/>
    <sheet name="GENERAL" sheetId="161" r:id="rId2"/>
    <sheet name="941497" sheetId="427" r:id="rId3"/>
    <sheet name="941490" sheetId="426" r:id="rId4"/>
    <sheet name="941480" sheetId="423" r:id="rId5"/>
    <sheet name="941479" sheetId="422" r:id="rId6"/>
    <sheet name="941485" sheetId="421" r:id="rId7"/>
    <sheet name="941478" sheetId="420" r:id="rId8"/>
    <sheet name="Hegeman" sheetId="419" r:id="rId9"/>
  </sheets>
  <externalReferences>
    <externalReference r:id="rId10"/>
    <externalReference r:id="rId11"/>
  </externalReferences>
  <definedNames>
    <definedName name="_xlnm._FilterDatabase" localSheetId="1" hidden="1">GENERAL!$A$2:$AE$134</definedName>
    <definedName name="betalingen">'[1]drop down NL'!$A$25:$A$32</definedName>
    <definedName name="Betalingen1">'[2]drop down NL'!$A$23:$A$30</definedName>
    <definedName name="Z_043953A7_7555_4B96_A2A0_4C3E127F4525_.wvu.FilterData" localSheetId="1" hidden="1">GENERAL!$K$1:$K$1</definedName>
    <definedName name="Z_06232AFC_A02A_4416_96CE_115E05EFEE2B_.wvu.FilterData" localSheetId="1" hidden="1">GENERAL!$K$1:$K$1</definedName>
    <definedName name="Z_1BCF1B6B_DA44_41A7_9993_3431FB8B4B15_.wvu.FilterData" localSheetId="1" hidden="1">GENERAL!$K$1:$K$1</definedName>
    <definedName name="Z_38AD6FD7_3EF7_4BEE_81D0_2837EBADAFE3_.wvu.FilterData" localSheetId="1" hidden="1">GENERAL!$K$1:$K$1</definedName>
    <definedName name="Z_41E2A064_190B_4EB2_BB14_504916378030_.wvu.FilterData" localSheetId="1" hidden="1">GENERAL!$K$1:$K$1</definedName>
    <definedName name="Z_704E3DBB_088B_4104_94DE_D3C2613600AB_.wvu.FilterData" localSheetId="1" hidden="1">GENERAL!$K$1:$K$1</definedName>
    <definedName name="Z_71A27422_12A8_47E0_BBD7_F550A6B2B64F_.wvu.FilterData" localSheetId="1" hidden="1">GENERAL!$K$1:$K$1</definedName>
    <definedName name="Z_7D7B0D1F_D38A_4859_93F5_49B6780F283B_.wvu.FilterData" localSheetId="1" hidden="1">GENERAL!$K$1:$K$1</definedName>
    <definedName name="Z_7EDDEE7C_46ED_4E08_ABA2_52586740A666_.wvu.FilterData" localSheetId="1" hidden="1">GENERAL!$K$1:$K$1</definedName>
    <definedName name="Z_95C6933C_DDCE_4854_81A6_8EEE4F79C6F2_.wvu.FilterData" localSheetId="1" hidden="1">GENERAL!$K$1:$K$1</definedName>
    <definedName name="Z_9AC07C69_DF6E_4EC5_96E7_8E1E9DB92A63_.wvu.FilterData" localSheetId="1" hidden="1">GENERAL!$K$1:$K$1</definedName>
    <definedName name="Z_9B1836D0_1B29_475A_BA5F_090951992A66_.wvu.FilterData" localSheetId="1" hidden="1">GENERAL!$K$1:$K$1</definedName>
    <definedName name="Z_ADD4D5EF_8029_4977_93C8_7624E0A9891E_.wvu.FilterData" localSheetId="1" hidden="1">GENERAL!$K$1:$K$1</definedName>
    <definedName name="Z_CD39E675_EE85_45A2_BA08_59E7AA063A6E_.wvu.FilterData" localSheetId="1" hidden="1">GENERAL!$K$1:$K$1</definedName>
    <definedName name="Z_DEA9425A_3229_418A_9D7B_2FEC560C9ABA_.wvu.FilterData" localSheetId="1" hidden="1">GENERAL!$K$1:$K$1</definedName>
  </definedNames>
  <calcPr calcId="191028"/>
  <customWorkbookViews>
    <customWorkbookView name="Goetstouwers Edith - Persoonlijke weergave" guid="{1BCF1B6B-DA44-41A7-9993-3431FB8B4B15}" mergeInterval="0" personalView="1" maximized="1" xWindow="-1928" yWindow="-8" windowWidth="1936" windowHeight="1056" activeSheetId="2"/>
    <customWorkbookView name="Van Daele Kelly - Persoonlijke weergave" guid="{DEA9425A-3229-418A-9D7B-2FEC560C9ABA}" mergeInterval="0" personalView="1" maximized="1" xWindow="-9" yWindow="-9" windowWidth="1938" windowHeight="1048" activeSheetId="2"/>
    <customWorkbookView name="Schollaert Stephanie - Persoonlijke weergave" guid="{CCD85189-C8CB-4A51-A709-1F9E71FDEB14}" mergeInterval="0" personalView="1" maximized="1" xWindow="-9" yWindow="-9" windowWidth="1938" windowHeight="1048" activeSheetId="3"/>
    <customWorkbookView name="Liekens Merel - Persoonlijke weergave" guid="{368CD269-295E-42AD-A7C2-C6DA848078D6}" mergeInterval="0" personalView="1" maximized="1" xWindow="-1374" yWindow="-8" windowWidth="1382" windowHeight="744" activeSheetId="5"/>
    <customWorkbookView name="Deberdt Kim - Persoonlijke weergave" guid="{1BED64E1-050C-4C41-81C6-43679A3B3C9C}" mergeInterval="0" personalView="1" maximized="1" xWindow="-8" yWindow="-8" windowWidth="1382" windowHeight="744" activeSheetId="2"/>
    <customWorkbookView name="Janssens Lynn - Persoonlijke weergave" guid="{41E2A064-190B-4EB2-BB14-504916378030}" mergeInterval="0" personalView="1" maximized="1" xWindow="3278" yWindow="-8" windowWidth="1936" windowHeight="1176" activeSheetId="1"/>
  </customWorkbookViews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8" i="427" l="1"/>
  <c r="I138" i="427" s="1"/>
  <c r="J138" i="427"/>
  <c r="K130" i="427"/>
  <c r="I130" i="427" s="1"/>
  <c r="J130" i="427"/>
  <c r="J128" i="427"/>
  <c r="J127" i="427"/>
  <c r="J125" i="427"/>
  <c r="J124" i="427"/>
  <c r="J123" i="427"/>
  <c r="J122" i="427"/>
  <c r="J121" i="427"/>
  <c r="J120" i="427"/>
  <c r="K119" i="427"/>
  <c r="J119" i="427"/>
  <c r="I119" i="427"/>
  <c r="J117" i="427"/>
  <c r="J109" i="427" s="1"/>
  <c r="I109" i="427" s="1"/>
  <c r="Q9" i="427" s="1"/>
  <c r="J116" i="427"/>
  <c r="J115" i="427"/>
  <c r="J114" i="427"/>
  <c r="J113" i="427"/>
  <c r="J112" i="427"/>
  <c r="J111" i="427"/>
  <c r="J110" i="427"/>
  <c r="K109" i="427"/>
  <c r="J106" i="427"/>
  <c r="J104" i="427"/>
  <c r="J103" i="427"/>
  <c r="J102" i="427"/>
  <c r="J101" i="427"/>
  <c r="J100" i="427"/>
  <c r="K99" i="427"/>
  <c r="I99" i="427" s="1"/>
  <c r="U8" i="427" s="1"/>
  <c r="J99" i="427"/>
  <c r="J97" i="427"/>
  <c r="J96" i="427"/>
  <c r="J95" i="427"/>
  <c r="J94" i="427"/>
  <c r="J93" i="427" s="1"/>
  <c r="K93" i="427"/>
  <c r="I93" i="427" s="1"/>
  <c r="U7" i="427" s="1"/>
  <c r="J91" i="427"/>
  <c r="J90" i="427"/>
  <c r="J89" i="427"/>
  <c r="J88" i="427"/>
  <c r="K87" i="427"/>
  <c r="J87" i="427"/>
  <c r="I87" i="427"/>
  <c r="U6" i="427" s="1"/>
  <c r="J85" i="427"/>
  <c r="J84" i="427"/>
  <c r="J83" i="427"/>
  <c r="J82" i="427" s="1"/>
  <c r="K82" i="427"/>
  <c r="I82" i="427" s="1"/>
  <c r="U5" i="427" s="1"/>
  <c r="J77" i="427"/>
  <c r="K76" i="427"/>
  <c r="J76" i="427"/>
  <c r="I76" i="427"/>
  <c r="J74" i="427"/>
  <c r="J73" i="427"/>
  <c r="K72" i="427"/>
  <c r="J72" i="427"/>
  <c r="I72" i="427"/>
  <c r="W5" i="427" s="1"/>
  <c r="J69" i="427"/>
  <c r="J67" i="427"/>
  <c r="J64" i="427" s="1"/>
  <c r="I64" i="427" s="1"/>
  <c r="S11" i="427" s="1"/>
  <c r="J66" i="427"/>
  <c r="J65" i="427"/>
  <c r="K64" i="427"/>
  <c r="J62" i="427"/>
  <c r="J61" i="427"/>
  <c r="J60" i="427"/>
  <c r="J59" i="427"/>
  <c r="J58" i="427"/>
  <c r="J57" i="427" s="1"/>
  <c r="I57" i="427" s="1"/>
  <c r="S10" i="427" s="1"/>
  <c r="K57" i="427"/>
  <c r="J55" i="427"/>
  <c r="J54" i="427"/>
  <c r="K53" i="427"/>
  <c r="J53" i="427"/>
  <c r="I53" i="427"/>
  <c r="S9" i="427" s="1"/>
  <c r="J51" i="427"/>
  <c r="K50" i="427"/>
  <c r="J50" i="427"/>
  <c r="I50" i="427"/>
  <c r="S8" i="427" s="1"/>
  <c r="J48" i="427"/>
  <c r="K47" i="427"/>
  <c r="I47" i="427" s="1"/>
  <c r="S7" i="427" s="1"/>
  <c r="J47" i="427"/>
  <c r="J44" i="427"/>
  <c r="J43" i="427"/>
  <c r="J42" i="427"/>
  <c r="J41" i="427"/>
  <c r="J40" i="427"/>
  <c r="J39" i="427"/>
  <c r="K38" i="427"/>
  <c r="I38" i="427" s="1"/>
  <c r="S6" i="427" s="1"/>
  <c r="J38" i="427"/>
  <c r="J36" i="427"/>
  <c r="J34" i="427" s="1"/>
  <c r="I34" i="427" s="1"/>
  <c r="S5" i="427" s="1"/>
  <c r="K34" i="427"/>
  <c r="J31" i="427"/>
  <c r="J30" i="427"/>
  <c r="J29" i="427"/>
  <c r="J28" i="427"/>
  <c r="J27" i="427"/>
  <c r="K26" i="427"/>
  <c r="I26" i="427" s="1"/>
  <c r="Q6" i="427" s="1"/>
  <c r="J26" i="427"/>
  <c r="J23" i="427"/>
  <c r="J22" i="427"/>
  <c r="J20" i="427"/>
  <c r="J19" i="427"/>
  <c r="J18" i="427"/>
  <c r="J17" i="427"/>
  <c r="J16" i="427"/>
  <c r="J15" i="427"/>
  <c r="J14" i="427"/>
  <c r="K13" i="427"/>
  <c r="I13" i="427" s="1"/>
  <c r="Q5" i="427" s="1"/>
  <c r="J13" i="427"/>
  <c r="R11" i="427"/>
  <c r="R10" i="427"/>
  <c r="R9" i="427"/>
  <c r="R8" i="427"/>
  <c r="R7" i="427"/>
  <c r="R6" i="427"/>
  <c r="Q7" i="427" l="1"/>
  <c r="Q10" i="427" s="1"/>
  <c r="Q8" i="427"/>
  <c r="K138" i="426"/>
  <c r="J138" i="426"/>
  <c r="I138" i="426"/>
  <c r="K130" i="426"/>
  <c r="J130" i="426"/>
  <c r="I130" i="426"/>
  <c r="J128" i="426"/>
  <c r="J127" i="426"/>
  <c r="J125" i="426"/>
  <c r="J124" i="426"/>
  <c r="J123" i="426"/>
  <c r="J122" i="426"/>
  <c r="J121" i="426"/>
  <c r="J120" i="426"/>
  <c r="K119" i="426"/>
  <c r="J119" i="426"/>
  <c r="I119" i="426"/>
  <c r="J117" i="426"/>
  <c r="J116" i="426"/>
  <c r="J115" i="426"/>
  <c r="J114" i="426"/>
  <c r="J113" i="426"/>
  <c r="J112" i="426"/>
  <c r="J111" i="426"/>
  <c r="J110" i="426"/>
  <c r="K109" i="426"/>
  <c r="J109" i="426"/>
  <c r="I109" i="426"/>
  <c r="J106" i="426"/>
  <c r="J104" i="426"/>
  <c r="J103" i="426"/>
  <c r="J102" i="426"/>
  <c r="J101" i="426"/>
  <c r="J100" i="426"/>
  <c r="K99" i="426"/>
  <c r="J99" i="426"/>
  <c r="I99" i="426"/>
  <c r="J97" i="426"/>
  <c r="J96" i="426"/>
  <c r="J95" i="426"/>
  <c r="J94" i="426"/>
  <c r="K93" i="426"/>
  <c r="J93" i="426"/>
  <c r="I93" i="426"/>
  <c r="J91" i="426"/>
  <c r="J90" i="426"/>
  <c r="J89" i="426"/>
  <c r="J88" i="426"/>
  <c r="K87" i="426"/>
  <c r="J87" i="426"/>
  <c r="I87" i="426"/>
  <c r="J85" i="426"/>
  <c r="J84" i="426"/>
  <c r="J83" i="426"/>
  <c r="K82" i="426"/>
  <c r="J82" i="426"/>
  <c r="I82" i="426"/>
  <c r="J77" i="426"/>
  <c r="K76" i="426"/>
  <c r="J76" i="426"/>
  <c r="I76" i="426"/>
  <c r="J74" i="426"/>
  <c r="J73" i="426"/>
  <c r="K72" i="426"/>
  <c r="J72" i="426"/>
  <c r="I72" i="426"/>
  <c r="J69" i="426"/>
  <c r="J67" i="426"/>
  <c r="J66" i="426"/>
  <c r="J65" i="426"/>
  <c r="K64" i="426"/>
  <c r="J64" i="426"/>
  <c r="I64" i="426"/>
  <c r="J62" i="426"/>
  <c r="J61" i="426"/>
  <c r="J60" i="426"/>
  <c r="J59" i="426"/>
  <c r="J58" i="426"/>
  <c r="K57" i="426"/>
  <c r="J57" i="426"/>
  <c r="I57" i="426"/>
  <c r="J55" i="426"/>
  <c r="J54" i="426"/>
  <c r="K53" i="426"/>
  <c r="J53" i="426"/>
  <c r="I53" i="426"/>
  <c r="J51" i="426"/>
  <c r="K50" i="426"/>
  <c r="J50" i="426"/>
  <c r="I50" i="426"/>
  <c r="J48" i="426"/>
  <c r="K47" i="426"/>
  <c r="J47" i="426"/>
  <c r="I47" i="426"/>
  <c r="J44" i="426"/>
  <c r="J43" i="426"/>
  <c r="J42" i="426"/>
  <c r="J41" i="426"/>
  <c r="J40" i="426"/>
  <c r="J39" i="426"/>
  <c r="K38" i="426"/>
  <c r="J38" i="426"/>
  <c r="I38" i="426"/>
  <c r="J36" i="426"/>
  <c r="K34" i="426"/>
  <c r="J34" i="426"/>
  <c r="I34" i="426"/>
  <c r="J31" i="426"/>
  <c r="J30" i="426"/>
  <c r="J29" i="426"/>
  <c r="J28" i="426"/>
  <c r="J27" i="426"/>
  <c r="K26" i="426"/>
  <c r="J26" i="426"/>
  <c r="I26" i="426"/>
  <c r="J23" i="426"/>
  <c r="J22" i="426"/>
  <c r="J20" i="426"/>
  <c r="J19" i="426"/>
  <c r="J18" i="426"/>
  <c r="J17" i="426"/>
  <c r="J16" i="426"/>
  <c r="J15" i="426"/>
  <c r="J14" i="426"/>
  <c r="K13" i="426"/>
  <c r="J13" i="426"/>
  <c r="I13" i="426"/>
  <c r="S11" i="426"/>
  <c r="R11" i="426"/>
  <c r="S10" i="426"/>
  <c r="R10" i="426"/>
  <c r="S9" i="426"/>
  <c r="R9" i="426"/>
  <c r="Q9" i="426"/>
  <c r="U8" i="426"/>
  <c r="S8" i="426"/>
  <c r="R8" i="426"/>
  <c r="U7" i="426"/>
  <c r="S7" i="426"/>
  <c r="R7" i="426"/>
  <c r="U6" i="426"/>
  <c r="S6" i="426"/>
  <c r="R6" i="426"/>
  <c r="Q6" i="426"/>
  <c r="W5" i="426"/>
  <c r="U5" i="426"/>
  <c r="Q8" i="426" s="1"/>
  <c r="S5" i="426"/>
  <c r="Q7" i="426" s="1"/>
  <c r="Q5" i="426"/>
  <c r="Q10" i="426" s="1"/>
  <c r="K138" i="423"/>
  <c r="I138" i="423" s="1"/>
  <c r="J138" i="423"/>
  <c r="K130" i="423"/>
  <c r="J130" i="423"/>
  <c r="I130" i="423" s="1"/>
  <c r="J128" i="423"/>
  <c r="J127" i="423"/>
  <c r="J125" i="423"/>
  <c r="J124" i="423"/>
  <c r="J123" i="423"/>
  <c r="J122" i="423"/>
  <c r="J121" i="423"/>
  <c r="J120" i="423"/>
  <c r="J119" i="423" s="1"/>
  <c r="K119" i="423"/>
  <c r="I119" i="423" s="1"/>
  <c r="J117" i="423"/>
  <c r="J116" i="423"/>
  <c r="J115" i="423"/>
  <c r="J114" i="423"/>
  <c r="J113" i="423"/>
  <c r="J112" i="423"/>
  <c r="J111" i="423"/>
  <c r="J110" i="423"/>
  <c r="K109" i="423"/>
  <c r="J109" i="423"/>
  <c r="I109" i="423" s="1"/>
  <c r="Q9" i="423" s="1"/>
  <c r="J106" i="423"/>
  <c r="J104" i="423"/>
  <c r="J103" i="423"/>
  <c r="J102" i="423"/>
  <c r="J101" i="423"/>
  <c r="J100" i="423"/>
  <c r="J99" i="423" s="1"/>
  <c r="K99" i="423"/>
  <c r="I99" i="423" s="1"/>
  <c r="U8" i="423" s="1"/>
  <c r="J97" i="423"/>
  <c r="J96" i="423"/>
  <c r="J95" i="423"/>
  <c r="J94" i="423"/>
  <c r="J93" i="423" s="1"/>
  <c r="I93" i="423" s="1"/>
  <c r="U7" i="423" s="1"/>
  <c r="K93" i="423"/>
  <c r="J91" i="423"/>
  <c r="J90" i="423"/>
  <c r="J89" i="423"/>
  <c r="J88" i="423"/>
  <c r="J87" i="423" s="1"/>
  <c r="K87" i="423"/>
  <c r="I87" i="423" s="1"/>
  <c r="U6" i="423" s="1"/>
  <c r="J85" i="423"/>
  <c r="J84" i="423"/>
  <c r="J83" i="423"/>
  <c r="K82" i="423"/>
  <c r="I82" i="423" s="1"/>
  <c r="U5" i="423" s="1"/>
  <c r="Q8" i="423" s="1"/>
  <c r="J82" i="423"/>
  <c r="J77" i="423"/>
  <c r="K76" i="423"/>
  <c r="J76" i="423"/>
  <c r="I76" i="423"/>
  <c r="J74" i="423"/>
  <c r="J73" i="423"/>
  <c r="K72" i="423"/>
  <c r="I72" i="423" s="1"/>
  <c r="W5" i="423" s="1"/>
  <c r="J72" i="423"/>
  <c r="J69" i="423"/>
  <c r="J67" i="423"/>
  <c r="J66" i="423"/>
  <c r="J64" i="423" s="1"/>
  <c r="I64" i="423" s="1"/>
  <c r="S11" i="423" s="1"/>
  <c r="J65" i="423"/>
  <c r="K64" i="423"/>
  <c r="J62" i="423"/>
  <c r="J61" i="423"/>
  <c r="J60" i="423"/>
  <c r="J59" i="423"/>
  <c r="J58" i="423"/>
  <c r="K57" i="423"/>
  <c r="J57" i="423"/>
  <c r="I57" i="423" s="1"/>
  <c r="S10" i="423" s="1"/>
  <c r="J55" i="423"/>
  <c r="J54" i="423"/>
  <c r="K53" i="423"/>
  <c r="J53" i="423"/>
  <c r="I53" i="423" s="1"/>
  <c r="S9" i="423" s="1"/>
  <c r="J51" i="423"/>
  <c r="K50" i="423"/>
  <c r="I50" i="423" s="1"/>
  <c r="S8" i="423" s="1"/>
  <c r="J50" i="423"/>
  <c r="J48" i="423"/>
  <c r="K47" i="423"/>
  <c r="I47" i="423" s="1"/>
  <c r="S7" i="423" s="1"/>
  <c r="J47" i="423"/>
  <c r="J44" i="423"/>
  <c r="J43" i="423"/>
  <c r="J42" i="423"/>
  <c r="J41" i="423"/>
  <c r="J40" i="423"/>
  <c r="J39" i="423"/>
  <c r="J38" i="423" s="1"/>
  <c r="K38" i="423"/>
  <c r="J36" i="423"/>
  <c r="J34" i="423" s="1"/>
  <c r="K34" i="423"/>
  <c r="J31" i="423"/>
  <c r="J30" i="423"/>
  <c r="J29" i="423"/>
  <c r="J28" i="423"/>
  <c r="J27" i="423"/>
  <c r="J26" i="423" s="1"/>
  <c r="K26" i="423"/>
  <c r="I26" i="423" s="1"/>
  <c r="Q6" i="423" s="1"/>
  <c r="J23" i="423"/>
  <c r="J22" i="423"/>
  <c r="J20" i="423"/>
  <c r="J19" i="423"/>
  <c r="J18" i="423"/>
  <c r="J17" i="423"/>
  <c r="J16" i="423"/>
  <c r="J15" i="423"/>
  <c r="J14" i="423"/>
  <c r="J13" i="423" s="1"/>
  <c r="K13" i="423"/>
  <c r="I13" i="423" s="1"/>
  <c r="Q5" i="423" s="1"/>
  <c r="R11" i="423"/>
  <c r="R10" i="423"/>
  <c r="R9" i="423"/>
  <c r="R8" i="423"/>
  <c r="R7" i="423"/>
  <c r="R6" i="423"/>
  <c r="K138" i="422"/>
  <c r="I138" i="422" s="1"/>
  <c r="J138" i="422"/>
  <c r="K130" i="422"/>
  <c r="I130" i="422" s="1"/>
  <c r="J130" i="422"/>
  <c r="J128" i="422"/>
  <c r="J127" i="422"/>
  <c r="J125" i="422"/>
  <c r="J124" i="422"/>
  <c r="J123" i="422"/>
  <c r="J122" i="422"/>
  <c r="J121" i="422"/>
  <c r="J120" i="422"/>
  <c r="K119" i="422"/>
  <c r="J119" i="422"/>
  <c r="I119" i="422"/>
  <c r="J117" i="422"/>
  <c r="J109" i="422" s="1"/>
  <c r="I109" i="422" s="1"/>
  <c r="Q9" i="422" s="1"/>
  <c r="J116" i="422"/>
  <c r="J115" i="422"/>
  <c r="J114" i="422"/>
  <c r="J113" i="422"/>
  <c r="J112" i="422"/>
  <c r="J111" i="422"/>
  <c r="J110" i="422"/>
  <c r="K109" i="422"/>
  <c r="J106" i="422"/>
  <c r="J104" i="422"/>
  <c r="J103" i="422"/>
  <c r="J102" i="422"/>
  <c r="J101" i="422"/>
  <c r="J100" i="422"/>
  <c r="K99" i="422"/>
  <c r="J99" i="422"/>
  <c r="I99" i="422" s="1"/>
  <c r="U8" i="422" s="1"/>
  <c r="J97" i="422"/>
  <c r="J96" i="422"/>
  <c r="J95" i="422"/>
  <c r="J94" i="422"/>
  <c r="K93" i="422"/>
  <c r="I93" i="422" s="1"/>
  <c r="U7" i="422" s="1"/>
  <c r="J93" i="422"/>
  <c r="J91" i="422"/>
  <c r="J90" i="422"/>
  <c r="J89" i="422"/>
  <c r="J88" i="422"/>
  <c r="K87" i="422"/>
  <c r="J87" i="422"/>
  <c r="I87" i="422"/>
  <c r="U6" i="422" s="1"/>
  <c r="J85" i="422"/>
  <c r="J84" i="422"/>
  <c r="J83" i="422"/>
  <c r="J82" i="422" s="1"/>
  <c r="K82" i="422"/>
  <c r="J77" i="422"/>
  <c r="K76" i="422"/>
  <c r="J76" i="422"/>
  <c r="I76" i="422"/>
  <c r="J74" i="422"/>
  <c r="J73" i="422"/>
  <c r="K72" i="422"/>
  <c r="J72" i="422"/>
  <c r="I72" i="422"/>
  <c r="W5" i="422" s="1"/>
  <c r="J69" i="422"/>
  <c r="J67" i="422"/>
  <c r="J66" i="422"/>
  <c r="J64" i="422" s="1"/>
  <c r="I64" i="422" s="1"/>
  <c r="S11" i="422" s="1"/>
  <c r="J65" i="422"/>
  <c r="K64" i="422"/>
  <c r="J62" i="422"/>
  <c r="J61" i="422"/>
  <c r="J60" i="422"/>
  <c r="J59" i="422"/>
  <c r="J58" i="422"/>
  <c r="J57" i="422" s="1"/>
  <c r="K57" i="422"/>
  <c r="I57" i="422" s="1"/>
  <c r="S10" i="422" s="1"/>
  <c r="J55" i="422"/>
  <c r="J54" i="422"/>
  <c r="K53" i="422"/>
  <c r="J53" i="422"/>
  <c r="I53" i="422"/>
  <c r="S9" i="422" s="1"/>
  <c r="J51" i="422"/>
  <c r="K50" i="422"/>
  <c r="J50" i="422"/>
  <c r="I50" i="422"/>
  <c r="S8" i="422" s="1"/>
  <c r="J48" i="422"/>
  <c r="J47" i="422" s="1"/>
  <c r="K47" i="422"/>
  <c r="I47" i="422" s="1"/>
  <c r="S7" i="422" s="1"/>
  <c r="J44" i="422"/>
  <c r="J43" i="422"/>
  <c r="J42" i="422"/>
  <c r="J41" i="422"/>
  <c r="J40" i="422"/>
  <c r="J39" i="422"/>
  <c r="K38" i="422"/>
  <c r="J38" i="422"/>
  <c r="I38" i="422"/>
  <c r="S6" i="422" s="1"/>
  <c r="J36" i="422"/>
  <c r="J34" i="422" s="1"/>
  <c r="K34" i="422"/>
  <c r="I34" i="422" s="1"/>
  <c r="S5" i="422" s="1"/>
  <c r="Q7" i="422" s="1"/>
  <c r="J31" i="422"/>
  <c r="J30" i="422"/>
  <c r="J29" i="422"/>
  <c r="J28" i="422"/>
  <c r="J27" i="422"/>
  <c r="K26" i="422"/>
  <c r="J26" i="422"/>
  <c r="I26" i="422"/>
  <c r="Q6" i="422" s="1"/>
  <c r="J23" i="422"/>
  <c r="J22" i="422"/>
  <c r="J20" i="422"/>
  <c r="J19" i="422"/>
  <c r="J18" i="422"/>
  <c r="J17" i="422"/>
  <c r="J16" i="422"/>
  <c r="J15" i="422"/>
  <c r="J14" i="422"/>
  <c r="K13" i="422"/>
  <c r="J13" i="422"/>
  <c r="I13" i="422"/>
  <c r="R11" i="422"/>
  <c r="R10" i="422"/>
  <c r="R9" i="422"/>
  <c r="R8" i="422"/>
  <c r="R7" i="422"/>
  <c r="R6" i="422"/>
  <c r="Q5" i="422"/>
  <c r="K138" i="421"/>
  <c r="I138" i="421" s="1"/>
  <c r="J138" i="421"/>
  <c r="K130" i="421"/>
  <c r="I130" i="421" s="1"/>
  <c r="J130" i="421"/>
  <c r="J128" i="421"/>
  <c r="J127" i="421"/>
  <c r="J125" i="421"/>
  <c r="J124" i="421"/>
  <c r="J123" i="421"/>
  <c r="J122" i="421"/>
  <c r="J121" i="421"/>
  <c r="J119" i="421" s="1"/>
  <c r="I119" i="421" s="1"/>
  <c r="J120" i="421"/>
  <c r="K119" i="421"/>
  <c r="J117" i="421"/>
  <c r="J116" i="421"/>
  <c r="J115" i="421"/>
  <c r="J114" i="421"/>
  <c r="J113" i="421"/>
  <c r="J112" i="421"/>
  <c r="J111" i="421"/>
  <c r="J110" i="421"/>
  <c r="J109" i="421" s="1"/>
  <c r="I109" i="421" s="1"/>
  <c r="Q9" i="421" s="1"/>
  <c r="K109" i="421"/>
  <c r="J106" i="421"/>
  <c r="J104" i="421"/>
  <c r="J103" i="421"/>
  <c r="J102" i="421"/>
  <c r="J101" i="421"/>
  <c r="J100" i="421"/>
  <c r="K99" i="421"/>
  <c r="I99" i="421" s="1"/>
  <c r="U8" i="421" s="1"/>
  <c r="J99" i="421"/>
  <c r="J97" i="421"/>
  <c r="J96" i="421"/>
  <c r="J95" i="421"/>
  <c r="J94" i="421"/>
  <c r="K93" i="421"/>
  <c r="J93" i="421"/>
  <c r="I93" i="421"/>
  <c r="J91" i="421"/>
  <c r="J90" i="421"/>
  <c r="J89" i="421"/>
  <c r="J88" i="421"/>
  <c r="J87" i="421" s="1"/>
  <c r="K87" i="421"/>
  <c r="I87" i="421" s="1"/>
  <c r="U6" i="421" s="1"/>
  <c r="J85" i="421"/>
  <c r="J84" i="421"/>
  <c r="J83" i="421"/>
  <c r="K82" i="421"/>
  <c r="J82" i="421"/>
  <c r="I82" i="421"/>
  <c r="U5" i="421" s="1"/>
  <c r="Q8" i="421" s="1"/>
  <c r="J77" i="421"/>
  <c r="K76" i="421"/>
  <c r="I76" i="421" s="1"/>
  <c r="J76" i="421"/>
  <c r="J74" i="421"/>
  <c r="J73" i="421"/>
  <c r="K72" i="421"/>
  <c r="I72" i="421" s="1"/>
  <c r="W5" i="421" s="1"/>
  <c r="J72" i="421"/>
  <c r="J69" i="421"/>
  <c r="J67" i="421"/>
  <c r="J66" i="421"/>
  <c r="J65" i="421"/>
  <c r="K64" i="421"/>
  <c r="I64" i="421" s="1"/>
  <c r="S11" i="421" s="1"/>
  <c r="J64" i="421"/>
  <c r="J62" i="421"/>
  <c r="J61" i="421"/>
  <c r="J60" i="421"/>
  <c r="J59" i="421"/>
  <c r="J58" i="421"/>
  <c r="K57" i="421"/>
  <c r="J57" i="421"/>
  <c r="I57" i="421"/>
  <c r="J55" i="421"/>
  <c r="J54" i="421"/>
  <c r="J53" i="421" s="1"/>
  <c r="K53" i="421"/>
  <c r="I53" i="421" s="1"/>
  <c r="S9" i="421" s="1"/>
  <c r="J51" i="421"/>
  <c r="K50" i="421"/>
  <c r="I50" i="421" s="1"/>
  <c r="S8" i="421" s="1"/>
  <c r="J50" i="421"/>
  <c r="J48" i="421"/>
  <c r="K47" i="421"/>
  <c r="J47" i="421"/>
  <c r="I47" i="421"/>
  <c r="S7" i="421" s="1"/>
  <c r="J44" i="421"/>
  <c r="J43" i="421"/>
  <c r="J42" i="421"/>
  <c r="J41" i="421"/>
  <c r="J40" i="421"/>
  <c r="J39" i="421"/>
  <c r="J38" i="421" s="1"/>
  <c r="I38" i="421" s="1"/>
  <c r="S6" i="421" s="1"/>
  <c r="K38" i="421"/>
  <c r="J36" i="421"/>
  <c r="K34" i="421"/>
  <c r="J34" i="421"/>
  <c r="I34" i="421"/>
  <c r="S5" i="421" s="1"/>
  <c r="J31" i="421"/>
  <c r="J30" i="421"/>
  <c r="J29" i="421"/>
  <c r="J28" i="421"/>
  <c r="J27" i="421"/>
  <c r="J26" i="421" s="1"/>
  <c r="I26" i="421" s="1"/>
  <c r="Q6" i="421" s="1"/>
  <c r="K26" i="421"/>
  <c r="J23" i="421"/>
  <c r="J22" i="421"/>
  <c r="J20" i="421"/>
  <c r="J19" i="421"/>
  <c r="J18" i="421"/>
  <c r="J17" i="421"/>
  <c r="J16" i="421"/>
  <c r="J15" i="421"/>
  <c r="J14" i="421"/>
  <c r="J13" i="421" s="1"/>
  <c r="I13" i="421" s="1"/>
  <c r="Q5" i="421" s="1"/>
  <c r="K13" i="421"/>
  <c r="R11" i="421"/>
  <c r="S10" i="421"/>
  <c r="R10" i="421"/>
  <c r="R9" i="421"/>
  <c r="R8" i="421"/>
  <c r="U7" i="421"/>
  <c r="R7" i="421"/>
  <c r="R6" i="421"/>
  <c r="K138" i="420"/>
  <c r="I138" i="420" s="1"/>
  <c r="J138" i="420"/>
  <c r="K130" i="420"/>
  <c r="I130" i="420" s="1"/>
  <c r="J130" i="420"/>
  <c r="J128" i="420"/>
  <c r="J127" i="420"/>
  <c r="J125" i="420"/>
  <c r="J124" i="420"/>
  <c r="J123" i="420"/>
  <c r="J122" i="420"/>
  <c r="J121" i="420"/>
  <c r="J119" i="420" s="1"/>
  <c r="I119" i="420" s="1"/>
  <c r="J120" i="420"/>
  <c r="K119" i="420"/>
  <c r="J117" i="420"/>
  <c r="J116" i="420"/>
  <c r="J115" i="420"/>
  <c r="J114" i="420"/>
  <c r="J113" i="420"/>
  <c r="J112" i="420"/>
  <c r="J111" i="420"/>
  <c r="J110" i="420"/>
  <c r="J109" i="420" s="1"/>
  <c r="I109" i="420" s="1"/>
  <c r="Q9" i="420" s="1"/>
  <c r="K109" i="420"/>
  <c r="J106" i="420"/>
  <c r="J104" i="420"/>
  <c r="J99" i="420" s="1"/>
  <c r="I99" i="420" s="1"/>
  <c r="U8" i="420" s="1"/>
  <c r="J103" i="420"/>
  <c r="J102" i="420"/>
  <c r="J101" i="420"/>
  <c r="J100" i="420"/>
  <c r="K99" i="420"/>
  <c r="J97" i="420"/>
  <c r="J96" i="420"/>
  <c r="J95" i="420"/>
  <c r="J94" i="420"/>
  <c r="J93" i="420" s="1"/>
  <c r="K93" i="420"/>
  <c r="J91" i="420"/>
  <c r="J90" i="420"/>
  <c r="J89" i="420"/>
  <c r="J88" i="420"/>
  <c r="J87" i="420" s="1"/>
  <c r="K87" i="420"/>
  <c r="J85" i="420"/>
  <c r="J84" i="420"/>
  <c r="J83" i="420"/>
  <c r="K82" i="420"/>
  <c r="I82" i="420" s="1"/>
  <c r="U5" i="420" s="1"/>
  <c r="J82" i="420"/>
  <c r="J77" i="420"/>
  <c r="K76" i="420"/>
  <c r="J76" i="420"/>
  <c r="I76" i="420"/>
  <c r="J74" i="420"/>
  <c r="J73" i="420"/>
  <c r="K72" i="420"/>
  <c r="J72" i="420"/>
  <c r="I72" i="420"/>
  <c r="W5" i="420" s="1"/>
  <c r="J69" i="420"/>
  <c r="J67" i="420"/>
  <c r="J66" i="420"/>
  <c r="J64" i="420" s="1"/>
  <c r="I64" i="420" s="1"/>
  <c r="S11" i="420" s="1"/>
  <c r="J65" i="420"/>
  <c r="K64" i="420"/>
  <c r="J62" i="420"/>
  <c r="J61" i="420"/>
  <c r="J60" i="420"/>
  <c r="J59" i="420"/>
  <c r="J58" i="420"/>
  <c r="K57" i="420"/>
  <c r="J57" i="420"/>
  <c r="I57" i="420"/>
  <c r="S10" i="420" s="1"/>
  <c r="J55" i="420"/>
  <c r="J54" i="420"/>
  <c r="K53" i="420"/>
  <c r="I53" i="420" s="1"/>
  <c r="S9" i="420" s="1"/>
  <c r="J53" i="420"/>
  <c r="J51" i="420"/>
  <c r="K50" i="420"/>
  <c r="J50" i="420"/>
  <c r="I50" i="420"/>
  <c r="S8" i="420" s="1"/>
  <c r="J48" i="420"/>
  <c r="K47" i="420"/>
  <c r="I47" i="420" s="1"/>
  <c r="S7" i="420" s="1"/>
  <c r="J47" i="420"/>
  <c r="J44" i="420"/>
  <c r="J43" i="420"/>
  <c r="J42" i="420"/>
  <c r="J38" i="420" s="1"/>
  <c r="I38" i="420" s="1"/>
  <c r="S6" i="420" s="1"/>
  <c r="J41" i="420"/>
  <c r="J40" i="420"/>
  <c r="J39" i="420"/>
  <c r="K38" i="420"/>
  <c r="J36" i="420"/>
  <c r="J34" i="420" s="1"/>
  <c r="K34" i="420"/>
  <c r="J31" i="420"/>
  <c r="J30" i="420"/>
  <c r="J26" i="420" s="1"/>
  <c r="I26" i="420" s="1"/>
  <c r="Q6" i="420" s="1"/>
  <c r="J29" i="420"/>
  <c r="J28" i="420"/>
  <c r="J27" i="420"/>
  <c r="K26" i="420"/>
  <c r="J23" i="420"/>
  <c r="J22" i="420"/>
  <c r="J20" i="420"/>
  <c r="J19" i="420"/>
  <c r="J18" i="420"/>
  <c r="J17" i="420"/>
  <c r="J13" i="420" s="1"/>
  <c r="I13" i="420" s="1"/>
  <c r="Q5" i="420" s="1"/>
  <c r="J16" i="420"/>
  <c r="J15" i="420"/>
  <c r="J14" i="420"/>
  <c r="K13" i="420"/>
  <c r="R11" i="420"/>
  <c r="R10" i="420"/>
  <c r="R9" i="420"/>
  <c r="R8" i="420"/>
  <c r="R7" i="420"/>
  <c r="R6" i="420"/>
  <c r="K138" i="419"/>
  <c r="I138" i="419" s="1"/>
  <c r="J138" i="419"/>
  <c r="K130" i="419"/>
  <c r="I130" i="419" s="1"/>
  <c r="J130" i="419"/>
  <c r="J128" i="419"/>
  <c r="J127" i="419"/>
  <c r="J125" i="419"/>
  <c r="J124" i="419"/>
  <c r="J123" i="419"/>
  <c r="J122" i="419"/>
  <c r="J121" i="419"/>
  <c r="J120" i="419"/>
  <c r="K119" i="419"/>
  <c r="I119" i="419" s="1"/>
  <c r="J119" i="419"/>
  <c r="J117" i="419"/>
  <c r="J109" i="419" s="1"/>
  <c r="I109" i="419" s="1"/>
  <c r="Q9" i="419" s="1"/>
  <c r="J116" i="419"/>
  <c r="J115" i="419"/>
  <c r="J114" i="419"/>
  <c r="J113" i="419"/>
  <c r="J112" i="419"/>
  <c r="J111" i="419"/>
  <c r="J110" i="419"/>
  <c r="K109" i="419"/>
  <c r="J106" i="419"/>
  <c r="J104" i="419"/>
  <c r="J103" i="419"/>
  <c r="J102" i="419"/>
  <c r="J101" i="419"/>
  <c r="J100" i="419"/>
  <c r="J99" i="419" s="1"/>
  <c r="K99" i="419"/>
  <c r="I99" i="419" s="1"/>
  <c r="U8" i="419" s="1"/>
  <c r="J97" i="419"/>
  <c r="J96" i="419"/>
  <c r="J95" i="419"/>
  <c r="J94" i="419"/>
  <c r="J93" i="419" s="1"/>
  <c r="K93" i="419"/>
  <c r="I93" i="419" s="1"/>
  <c r="U7" i="419" s="1"/>
  <c r="J91" i="419"/>
  <c r="J90" i="419"/>
  <c r="J89" i="419"/>
  <c r="J88" i="419"/>
  <c r="J87" i="419" s="1"/>
  <c r="I87" i="419" s="1"/>
  <c r="U6" i="419" s="1"/>
  <c r="K87" i="419"/>
  <c r="J85" i="419"/>
  <c r="J84" i="419"/>
  <c r="J83" i="419"/>
  <c r="J82" i="419" s="1"/>
  <c r="K82" i="419"/>
  <c r="J77" i="419"/>
  <c r="K76" i="419"/>
  <c r="J76" i="419"/>
  <c r="I76" i="419" s="1"/>
  <c r="J74" i="419"/>
  <c r="J73" i="419"/>
  <c r="K72" i="419"/>
  <c r="J72" i="419"/>
  <c r="I72" i="419"/>
  <c r="W5" i="419" s="1"/>
  <c r="J69" i="419"/>
  <c r="J67" i="419"/>
  <c r="J66" i="419"/>
  <c r="J65" i="419"/>
  <c r="K64" i="419"/>
  <c r="J64" i="419"/>
  <c r="I64" i="419" s="1"/>
  <c r="S11" i="419" s="1"/>
  <c r="J62" i="419"/>
  <c r="J61" i="419"/>
  <c r="J60" i="419"/>
  <c r="J59" i="419"/>
  <c r="J58" i="419"/>
  <c r="J57" i="419" s="1"/>
  <c r="K57" i="419"/>
  <c r="I57" i="419" s="1"/>
  <c r="S10" i="419" s="1"/>
  <c r="J55" i="419"/>
  <c r="J54" i="419"/>
  <c r="K53" i="419"/>
  <c r="I53" i="419" s="1"/>
  <c r="S9" i="419" s="1"/>
  <c r="J53" i="419"/>
  <c r="J51" i="419"/>
  <c r="K50" i="419"/>
  <c r="J50" i="419"/>
  <c r="I50" i="419"/>
  <c r="S8" i="419" s="1"/>
  <c r="J48" i="419"/>
  <c r="J47" i="419" s="1"/>
  <c r="K47" i="419"/>
  <c r="I47" i="419" s="1"/>
  <c r="S7" i="419" s="1"/>
  <c r="J44" i="419"/>
  <c r="J43" i="419"/>
  <c r="J38" i="419" s="1"/>
  <c r="I38" i="419" s="1"/>
  <c r="S6" i="419" s="1"/>
  <c r="J42" i="419"/>
  <c r="J41" i="419"/>
  <c r="J40" i="419"/>
  <c r="J39" i="419"/>
  <c r="K38" i="419"/>
  <c r="J36" i="419"/>
  <c r="K34" i="419"/>
  <c r="I34" i="419" s="1"/>
  <c r="S5" i="419" s="1"/>
  <c r="J34" i="419"/>
  <c r="J31" i="419"/>
  <c r="J26" i="419" s="1"/>
  <c r="I26" i="419" s="1"/>
  <c r="Q6" i="419" s="1"/>
  <c r="J30" i="419"/>
  <c r="J29" i="419"/>
  <c r="J28" i="419"/>
  <c r="J27" i="419"/>
  <c r="K26" i="419"/>
  <c r="J23" i="419"/>
  <c r="J22" i="419"/>
  <c r="J20" i="419"/>
  <c r="J19" i="419"/>
  <c r="J18" i="419"/>
  <c r="J13" i="419" s="1"/>
  <c r="I13" i="419" s="1"/>
  <c r="Q5" i="419" s="1"/>
  <c r="J17" i="419"/>
  <c r="J16" i="419"/>
  <c r="J15" i="419"/>
  <c r="J14" i="419"/>
  <c r="K13" i="419"/>
  <c r="R11" i="419"/>
  <c r="R10" i="419"/>
  <c r="R9" i="419"/>
  <c r="R8" i="419"/>
  <c r="R7" i="419"/>
  <c r="R6" i="419"/>
  <c r="I34" i="423" l="1"/>
  <c r="S5" i="423" s="1"/>
  <c r="I38" i="423"/>
  <c r="S6" i="423" s="1"/>
  <c r="I82" i="422"/>
  <c r="U5" i="422" s="1"/>
  <c r="Q8" i="422" s="1"/>
  <c r="Q10" i="422" s="1"/>
  <c r="Q7" i="421"/>
  <c r="Q10" i="421" s="1"/>
  <c r="I87" i="420"/>
  <c r="U6" i="420" s="1"/>
  <c r="Q8" i="420" s="1"/>
  <c r="Q10" i="420" s="1"/>
  <c r="I34" i="420"/>
  <c r="S5" i="420" s="1"/>
  <c r="Q7" i="420" s="1"/>
  <c r="I93" i="420"/>
  <c r="U7" i="420" s="1"/>
  <c r="Q7" i="419"/>
  <c r="Q10" i="419" s="1"/>
  <c r="I82" i="419"/>
  <c r="U5" i="419" s="1"/>
  <c r="Q8" i="419" s="1"/>
  <c r="E3" i="161" a="1"/>
  <c r="E7" i="161" a="1"/>
  <c r="G3" i="161" a="1"/>
  <c r="D3" i="161" a="1"/>
  <c r="F3" i="161" a="1"/>
  <c r="D7" i="161" a="1"/>
  <c r="G7" i="161" a="1"/>
  <c r="F7" i="161" a="1"/>
  <c r="G7" i="161" l="1"/>
  <c r="E3" i="161"/>
  <c r="G3" i="161"/>
  <c r="F7" i="161"/>
  <c r="D7" i="161"/>
  <c r="F3" i="161"/>
  <c r="E7" i="161"/>
  <c r="D3" i="161"/>
  <c r="Q7" i="423"/>
  <c r="Q10" i="423" s="1"/>
  <c r="S30" i="161" a="1"/>
  <c r="Z116" i="161" a="1"/>
  <c r="V3" i="161" a="1"/>
  <c r="Z5" i="161" a="1"/>
  <c r="D30" i="161" a="1"/>
  <c r="S107" i="161" a="1"/>
  <c r="L90" i="161" a="1"/>
  <c r="B128" i="161" a="1"/>
  <c r="Q81" i="161" a="1"/>
  <c r="U82" i="161" a="1"/>
  <c r="M109" i="161" a="1"/>
  <c r="AA51" i="161" a="1"/>
  <c r="N7" i="161" a="1"/>
  <c r="X43" i="161" a="1"/>
  <c r="J60" i="161" a="1"/>
  <c r="Y108" i="161" a="1"/>
  <c r="AB134" i="161" a="1"/>
  <c r="Q103" i="161" a="1"/>
  <c r="F14" i="161" a="1"/>
  <c r="Q58" i="161" a="1"/>
  <c r="Y115" i="161" a="1"/>
  <c r="N104" i="161" a="1"/>
  <c r="AB40" i="161" a="1"/>
  <c r="Y60" i="161" a="1"/>
  <c r="O101" i="161" a="1"/>
  <c r="AE20" i="161" a="1"/>
  <c r="L123" i="161" a="1"/>
  <c r="Z35" i="161" a="1"/>
  <c r="AC44" i="161" a="1"/>
  <c r="J102" i="161" a="1"/>
  <c r="G120" i="161" a="1"/>
  <c r="AA101" i="161" a="1"/>
  <c r="J40" i="161" a="1"/>
  <c r="F36" i="161" a="1"/>
  <c r="H130" i="161" a="1"/>
  <c r="AC27" i="161" a="1"/>
  <c r="P34" i="161" a="1"/>
  <c r="Y96" i="161" a="1"/>
  <c r="L111" i="161" a="1"/>
  <c r="Y55" i="161" a="1"/>
  <c r="AB123" i="161" a="1"/>
  <c r="S93" i="161" a="1"/>
  <c r="AA53" i="161" a="1"/>
  <c r="G80" i="161" a="1"/>
  <c r="H73" i="161" a="1"/>
  <c r="F120" i="161" a="1"/>
  <c r="AD113" i="161" a="1"/>
  <c r="J74" i="161" a="1"/>
  <c r="J25" i="161" a="1"/>
  <c r="C100" i="161" a="1"/>
  <c r="J133" i="161" a="1"/>
  <c r="N98" i="161" a="1"/>
  <c r="H122" i="161" a="1"/>
  <c r="G56" i="161" a="1"/>
  <c r="H68" i="161" a="1"/>
  <c r="Z74" i="161" a="1"/>
  <c r="O125" i="161" a="1"/>
  <c r="Y40" i="161" a="1"/>
  <c r="R106" i="161" a="1"/>
  <c r="L5" i="161" a="1"/>
  <c r="W99" i="161" a="1"/>
  <c r="AC112" i="161" a="1"/>
  <c r="C41" i="161" a="1"/>
  <c r="D134" i="161" a="1"/>
  <c r="R94" i="161" a="1"/>
  <c r="AC14" i="161" a="1"/>
  <c r="Y6" i="161" a="1"/>
  <c r="F37" i="161" a="1"/>
  <c r="AE54" i="161" a="1"/>
  <c r="J80" i="161" a="1"/>
  <c r="G70" i="161" a="1"/>
  <c r="Z118" i="161" a="1"/>
  <c r="E92" i="161" a="1"/>
  <c r="C8" i="161" a="1"/>
  <c r="AE65" i="161" a="1"/>
  <c r="S129" i="161" a="1"/>
  <c r="AA91" i="161" a="1"/>
  <c r="K73" i="161" a="1"/>
  <c r="D52" i="161" a="1"/>
  <c r="N106" i="161" a="1"/>
  <c r="J52" i="161" a="1"/>
  <c r="W83" i="161" a="1"/>
  <c r="AC55" i="161" a="1"/>
  <c r="Y47" i="161" a="1"/>
  <c r="X110" i="161" a="1"/>
  <c r="P98" i="161" a="1"/>
  <c r="N25" i="161" a="1"/>
  <c r="R117" i="161" a="1"/>
  <c r="AC109" i="161" a="1"/>
  <c r="N24" i="161" a="1"/>
  <c r="U39" i="161" a="1"/>
  <c r="T94" i="161" a="1"/>
  <c r="L106" i="161" a="1"/>
  <c r="Z29" i="161" a="1"/>
  <c r="Y113" i="161" a="1"/>
  <c r="V89" i="161" a="1"/>
  <c r="G10" i="161" a="1"/>
  <c r="M60" i="161" a="1"/>
  <c r="D106" i="161" a="1"/>
  <c r="J30" i="161" a="1"/>
  <c r="X118" i="161" a="1"/>
  <c r="G71" i="161" a="1"/>
  <c r="P69" i="161" a="1"/>
  <c r="W29" i="161" a="1"/>
  <c r="P51" i="161" a="1"/>
  <c r="AA76" i="161" a="1"/>
  <c r="AD32" i="161" a="1"/>
  <c r="T104" i="161" a="1"/>
  <c r="L11" i="161" a="1"/>
  <c r="AA19" i="161" a="1"/>
  <c r="F95" i="161" a="1"/>
  <c r="K31" i="161" a="1"/>
  <c r="H121" i="161" a="1"/>
  <c r="AE58" i="161" a="1"/>
  <c r="E34" i="161" a="1"/>
  <c r="AE94" i="161" a="1"/>
  <c r="AE42" i="161" a="1"/>
  <c r="AE68" i="161" a="1"/>
  <c r="M42" i="161" a="1"/>
  <c r="U19" i="161" a="1"/>
  <c r="T56" i="161" a="1"/>
  <c r="AC58" i="161" a="1"/>
  <c r="N123" i="161" a="1"/>
  <c r="M121" i="161" a="1"/>
  <c r="I67" i="161" a="1"/>
  <c r="S23" i="161" a="1"/>
  <c r="R48" i="161" a="1"/>
  <c r="K51" i="161" a="1"/>
  <c r="R19" i="161" a="1"/>
  <c r="T71" i="161" a="1"/>
  <c r="J129" i="161" a="1"/>
  <c r="N115" i="161" a="1"/>
  <c r="R3" i="161" a="1"/>
  <c r="AD68" i="161" a="1"/>
  <c r="C52" i="161" a="1"/>
  <c r="M14" i="161" a="1"/>
  <c r="AA89" i="161" a="1"/>
  <c r="AE35" i="161" a="1"/>
  <c r="C30" i="161" a="1"/>
  <c r="E75" i="161" a="1"/>
  <c r="AE85" i="161" a="1"/>
  <c r="E109" i="161" a="1"/>
  <c r="N124" i="161" a="1"/>
  <c r="Y31" i="161" a="1"/>
  <c r="B71" i="161" a="1"/>
  <c r="Y75" i="161" a="1"/>
  <c r="G100" i="161" a="1"/>
  <c r="AC43" i="161" a="1"/>
  <c r="K126" i="161" a="1"/>
  <c r="F16" i="161" a="1"/>
  <c r="H60" i="161" a="1"/>
  <c r="H47" i="161" a="1"/>
  <c r="X105" i="161" a="1"/>
  <c r="S37" i="161" a="1"/>
  <c r="F123" i="161" a="1"/>
  <c r="AE122" i="161" a="1"/>
  <c r="T23" i="161" a="1"/>
  <c r="L13" i="161" a="1"/>
  <c r="AA116" i="161" a="1"/>
  <c r="T9" i="161" a="1"/>
  <c r="X72" i="161" a="1"/>
  <c r="C42" i="161" a="1"/>
  <c r="AD24" i="161" a="1"/>
  <c r="AE129" i="161" a="1"/>
  <c r="K14" i="161" a="1"/>
  <c r="X59" i="161" a="1"/>
  <c r="G131" i="161" a="1"/>
  <c r="AC96" i="161" a="1"/>
  <c r="AE13" i="161" a="1"/>
  <c r="AB47" i="161" a="1"/>
  <c r="N89" i="161" a="1"/>
  <c r="F94" i="161" a="1"/>
  <c r="U112" i="161" a="1"/>
  <c r="AC20" i="161" a="1"/>
  <c r="P126" i="161" a="1"/>
  <c r="V118" i="161" a="1"/>
  <c r="G37" i="161" a="1"/>
  <c r="AD102" i="161" a="1"/>
  <c r="E116" i="161" a="1"/>
  <c r="C101" i="161" a="1"/>
  <c r="G49" i="161" a="1"/>
  <c r="Y39" i="161" a="1"/>
  <c r="T93" i="161" a="1"/>
  <c r="AA75" i="161" a="1"/>
  <c r="B58" i="161" a="1"/>
  <c r="K7" i="161" a="1"/>
  <c r="Y46" i="161" a="1"/>
  <c r="R41" i="161" a="1"/>
  <c r="Q40" i="161" a="1"/>
  <c r="P12" i="161" a="1"/>
  <c r="J18" i="161" a="1"/>
  <c r="F85" i="161" a="1"/>
  <c r="K32" i="161" a="1"/>
  <c r="Q84" i="161" a="1"/>
  <c r="S94" i="161" a="1"/>
  <c r="L104" i="161" a="1"/>
  <c r="F27" i="161" a="1"/>
  <c r="H105" i="161" a="1"/>
  <c r="N113" i="161" a="1"/>
  <c r="T115" i="161" a="1"/>
  <c r="J127" i="161" a="1"/>
  <c r="B73" i="161" a="1"/>
  <c r="J54" i="161" a="1"/>
  <c r="E88" i="161" a="1"/>
  <c r="K3" i="161" a="1"/>
  <c r="W37" i="161" a="1"/>
  <c r="E105" i="161" a="1"/>
  <c r="AC116" i="161" a="1"/>
  <c r="AD73" i="161" a="1"/>
  <c r="G35" i="161" a="1"/>
  <c r="AB60" i="161" a="1"/>
  <c r="H79" i="161" a="1"/>
  <c r="Y70" i="161" a="1"/>
  <c r="AC97" i="161" a="1"/>
  <c r="F116" i="161" a="1"/>
  <c r="J42" i="161" a="1"/>
  <c r="W3" i="161" a="1"/>
  <c r="C130" i="161" a="1"/>
  <c r="C37" i="161" a="1"/>
  <c r="R73" i="161" a="1"/>
  <c r="Z68" i="161" a="1"/>
  <c r="O72" i="161" a="1"/>
  <c r="D123" i="161" a="1"/>
  <c r="O109" i="161" a="1"/>
  <c r="AA5" i="161" a="1"/>
  <c r="G97" i="161" a="1"/>
  <c r="Z78" i="161" a="1"/>
  <c r="T4" i="161" a="1"/>
  <c r="Y104" i="161" a="1"/>
  <c r="G51" i="161" a="1"/>
  <c r="R108" i="161" a="1"/>
  <c r="O60" i="161" a="1"/>
  <c r="X120" i="161" a="1"/>
  <c r="P44" i="161" a="1"/>
  <c r="B20" i="161" a="1"/>
  <c r="X70" i="161" a="1"/>
  <c r="F15" i="161" a="1"/>
  <c r="AC86" i="161" a="1"/>
  <c r="S10" i="161" a="1"/>
  <c r="P76" i="161" a="1"/>
  <c r="B108" i="161" a="1"/>
  <c r="N118" i="161" a="1"/>
  <c r="G73" i="161" a="1"/>
  <c r="O87" i="161" a="1"/>
  <c r="P54" i="161" a="1"/>
  <c r="Z38" i="161" a="1"/>
  <c r="AD125" i="161" a="1"/>
  <c r="T65" i="161" a="1"/>
  <c r="V45" i="161" a="1"/>
  <c r="AA50" i="161" a="1"/>
  <c r="S122" i="161" a="1"/>
  <c r="L20" i="161" a="1"/>
  <c r="V77" i="161" a="1"/>
  <c r="D51" i="161" a="1"/>
  <c r="AC4" i="161" a="1"/>
  <c r="AE81" i="161" a="1"/>
  <c r="U27" i="161" a="1"/>
  <c r="O63" i="161" a="1"/>
  <c r="W92" i="161" a="1"/>
  <c r="S53" i="161" a="1"/>
  <c r="I34" i="161" a="1"/>
  <c r="Z84" i="161" a="1"/>
  <c r="AD16" i="161" a="1"/>
  <c r="AE66" i="161" a="1"/>
  <c r="G63" i="161" a="1"/>
  <c r="M52" i="161" a="1"/>
  <c r="Z52" i="161" a="1"/>
  <c r="R130" i="161" a="1"/>
  <c r="Z57" i="161" a="1"/>
  <c r="P24" i="161" a="1"/>
  <c r="E94" i="161" a="1"/>
  <c r="C3" i="161" a="1"/>
  <c r="AC32" i="161" a="1"/>
  <c r="N33" i="161" a="1"/>
  <c r="K43" i="161" a="1"/>
  <c r="P22" i="161" a="1"/>
  <c r="J55" i="161" a="1"/>
  <c r="AD105" i="161" a="1"/>
  <c r="V124" i="161" a="1"/>
  <c r="U6" i="161" a="1"/>
  <c r="Q66" i="161" a="1"/>
  <c r="J46" i="161" a="1"/>
  <c r="AD43" i="161" a="1"/>
  <c r="P124" i="161" a="1"/>
  <c r="E100" i="161" a="1"/>
  <c r="AA121" i="161" a="1"/>
  <c r="R31" i="161" a="1"/>
  <c r="N52" i="161" a="1"/>
  <c r="R46" i="161" a="1"/>
  <c r="AE26" i="161" a="1"/>
  <c r="Y79" i="161" a="1"/>
  <c r="N81" i="161" a="1"/>
  <c r="AE55" i="161" a="1"/>
  <c r="AD112" i="161" a="1"/>
  <c r="W108" i="161" a="1"/>
  <c r="H23" i="161" a="1"/>
  <c r="I128" i="161" a="1"/>
  <c r="T123" i="161" a="1"/>
  <c r="Q119" i="161" a="1"/>
  <c r="M69" i="161" a="1"/>
  <c r="AE3" i="161" a="1"/>
  <c r="O81" i="161" a="1"/>
  <c r="E112" i="161" a="1"/>
  <c r="F82" i="161" a="1"/>
  <c r="E115" i="161" a="1"/>
  <c r="R125" i="161" a="1"/>
  <c r="Y16" i="161" a="1"/>
  <c r="M78" i="161" a="1"/>
  <c r="L55" i="161" a="1"/>
  <c r="Y42" i="161" a="1"/>
  <c r="Q107" i="161" a="1"/>
  <c r="Q104" i="161" a="1"/>
  <c r="M16" i="161" a="1"/>
  <c r="O61" i="161" a="1"/>
  <c r="AD96" i="161" a="1"/>
  <c r="S22" i="161" a="1"/>
  <c r="T79" i="161" a="1"/>
  <c r="H129" i="161" a="1"/>
  <c r="AD91" i="161" a="1"/>
  <c r="T133" i="161" a="1"/>
  <c r="E46" i="161" a="1"/>
  <c r="D71" i="161" a="1"/>
  <c r="AE130" i="161" a="1"/>
  <c r="Y26" i="161" a="1"/>
  <c r="AA25" i="161" a="1"/>
  <c r="Q98" i="161" a="1"/>
  <c r="S120" i="161" a="1"/>
  <c r="F35" i="161" a="1"/>
  <c r="Z54" i="161" a="1"/>
  <c r="O92" i="161" a="1"/>
  <c r="AE41" i="161" a="1"/>
  <c r="V73" i="161" a="1"/>
  <c r="V21" i="161" a="1"/>
  <c r="Z50" i="161" a="1"/>
  <c r="B114" i="161" a="1"/>
  <c r="X84" i="161" a="1"/>
  <c r="AE80" i="161" a="1"/>
  <c r="G40" i="161" a="1"/>
  <c r="AE56" i="161" a="1"/>
  <c r="E39" i="161" a="1"/>
  <c r="Z13" i="161" a="1"/>
  <c r="I21" i="161" a="1"/>
  <c r="N28" i="161" a="1"/>
  <c r="Q117" i="161" a="1"/>
  <c r="AE4" i="161" a="1"/>
  <c r="R111" i="161" a="1"/>
  <c r="AE12" i="161" a="1"/>
  <c r="L32" i="161" a="1"/>
  <c r="H12" i="161" a="1"/>
  <c r="I25" i="161" a="1"/>
  <c r="I112" i="161" a="1"/>
  <c r="W97" i="161" a="1"/>
  <c r="P131" i="161" a="1"/>
  <c r="R36" i="161" a="1"/>
  <c r="S110" i="161" a="1"/>
  <c r="X80" i="161" a="1"/>
  <c r="K19" i="161" a="1"/>
  <c r="M6" i="161" a="1"/>
  <c r="F99" i="161" a="1"/>
  <c r="AB100" i="161" a="1"/>
  <c r="S50" i="161" a="1"/>
  <c r="AD123" i="161" a="1"/>
  <c r="W125" i="161" a="1"/>
  <c r="M58" i="161" a="1"/>
  <c r="X30" i="161" a="1"/>
  <c r="N125" i="161" a="1"/>
  <c r="S127" i="161" a="1"/>
  <c r="E81" i="161" a="1"/>
  <c r="R82" i="161" a="1"/>
  <c r="H33" i="161" a="1"/>
  <c r="AD28" i="161" a="1"/>
  <c r="V69" i="161" a="1"/>
  <c r="E128" i="161" a="1"/>
  <c r="P61" i="161" a="1"/>
  <c r="E62" i="161" a="1"/>
  <c r="AC76" i="161" a="1"/>
  <c r="K80" i="161" a="1"/>
  <c r="W73" i="161" a="1"/>
  <c r="S40" i="161" a="1"/>
  <c r="K130" i="161" a="1"/>
  <c r="S13" i="161" a="1"/>
  <c r="E12" i="161" a="1"/>
  <c r="AC68" i="161" a="1"/>
  <c r="H18" i="161" a="1"/>
  <c r="K22" i="161" a="1"/>
  <c r="Y28" i="161" a="1"/>
  <c r="X4" i="161" a="1"/>
  <c r="J20" i="161" a="1"/>
  <c r="G107" i="161" a="1"/>
  <c r="K96" i="161" a="1"/>
  <c r="F114" i="161" a="1"/>
  <c r="D58" i="161" a="1"/>
  <c r="T82" i="161" a="1"/>
  <c r="N68" i="161" a="1"/>
  <c r="X29" i="161" a="1"/>
  <c r="AE118" i="161" a="1"/>
  <c r="P7" i="161" a="1"/>
  <c r="E20" i="161" a="1"/>
  <c r="T73" i="161" a="1"/>
  <c r="C15" i="161" a="1"/>
  <c r="I49" i="161" a="1"/>
  <c r="Y100" i="161" a="1"/>
  <c r="V104" i="161" a="1"/>
  <c r="AA87" i="161" a="1"/>
  <c r="U26" i="161" a="1"/>
  <c r="W77" i="161" a="1"/>
  <c r="U60" i="161" a="1"/>
  <c r="AE48" i="161" a="1"/>
  <c r="H116" i="161" a="1"/>
  <c r="J111" i="161" a="1"/>
  <c r="AB3" i="161" a="1"/>
  <c r="J35" i="161" a="1"/>
  <c r="C80" i="161" a="1"/>
  <c r="AB35" i="161" a="1"/>
  <c r="F61" i="161" a="1"/>
  <c r="AA22" i="161" a="1"/>
  <c r="O133" i="161" a="1"/>
  <c r="T80" i="161" a="1"/>
  <c r="C19" i="161" a="1"/>
  <c r="F20" i="161" a="1"/>
  <c r="T131" i="161" a="1"/>
  <c r="Y45" i="161" a="1"/>
  <c r="S66" i="161" a="1"/>
  <c r="P88" i="161" a="1"/>
  <c r="L91" i="161" a="1"/>
  <c r="Z61" i="161" a="1"/>
  <c r="Z56" i="161" a="1"/>
  <c r="N94" i="161" a="1"/>
  <c r="K49" i="161" a="1"/>
  <c r="W86" i="161" a="1"/>
  <c r="B89" i="161" a="1"/>
  <c r="F91" i="161" a="1"/>
  <c r="E43" i="161" a="1"/>
  <c r="P36" i="161" a="1"/>
  <c r="W116" i="161" a="1"/>
  <c r="F4" i="161" a="1"/>
  <c r="N78" i="161" a="1"/>
  <c r="C21" i="161" a="1"/>
  <c r="O64" i="161" a="1"/>
  <c r="AA56" i="161" a="1"/>
  <c r="M10" i="161" a="1"/>
  <c r="M22" i="161" a="1"/>
  <c r="G103" i="161" a="1"/>
  <c r="X128" i="161" a="1"/>
  <c r="K44" i="161" a="1"/>
  <c r="AD40" i="161" a="1"/>
  <c r="AE45" i="161" a="1"/>
  <c r="B66" i="161" a="1"/>
  <c r="C34" i="161" a="1"/>
  <c r="I33" i="161" a="1"/>
  <c r="M7" i="161" a="1"/>
  <c r="Z90" i="161" a="1"/>
  <c r="U32" i="161" a="1"/>
  <c r="AC78" i="161" a="1"/>
  <c r="AC105" i="161" a="1"/>
  <c r="P83" i="161" a="1"/>
  <c r="AC46" i="161" a="1"/>
  <c r="W55" i="161" a="1"/>
  <c r="Z91" i="161" a="1"/>
  <c r="G61" i="161" a="1"/>
  <c r="T5" i="161" a="1"/>
  <c r="U45" i="161" a="1"/>
  <c r="V14" i="161" a="1"/>
  <c r="Y99" i="161" a="1"/>
  <c r="B88" i="161" a="1"/>
  <c r="AA94" i="161" a="1"/>
  <c r="AE59" i="161" a="1"/>
  <c r="T46" i="161" a="1"/>
  <c r="P32" i="161" a="1"/>
  <c r="L77" i="161" a="1"/>
  <c r="D49" i="161" a="1"/>
  <c r="H54" i="161" a="1"/>
  <c r="K10" i="161" a="1"/>
  <c r="AB97" i="161" a="1"/>
  <c r="AB107" i="161" a="1"/>
  <c r="D80" i="161" a="1"/>
  <c r="T108" i="161" a="1"/>
  <c r="O76" i="161" a="1"/>
  <c r="J33" i="161" a="1"/>
  <c r="AD114" i="161" a="1"/>
  <c r="AB56" i="161" a="1"/>
  <c r="K45" i="161" a="1"/>
  <c r="U133" i="161" a="1"/>
  <c r="AE113" i="161" a="1"/>
  <c r="AE72" i="161" a="1"/>
  <c r="AE117" i="161" a="1"/>
  <c r="W61" i="161" a="1"/>
  <c r="P133" i="161" a="1"/>
  <c r="AD109" i="161" a="1"/>
  <c r="O20" i="161" a="1"/>
  <c r="E41" i="161" a="1"/>
  <c r="D39" i="161" a="1"/>
  <c r="D76" i="161" a="1"/>
  <c r="X81" i="161" a="1"/>
  <c r="X58" i="161" a="1"/>
  <c r="J114" i="161" a="1"/>
  <c r="M102" i="161" a="1"/>
  <c r="Z131" i="161" a="1"/>
  <c r="Y53" i="161" a="1"/>
  <c r="M3" i="161" a="1"/>
  <c r="V56" i="161" a="1"/>
  <c r="S68" i="161" a="1"/>
  <c r="AE27" i="161" a="1"/>
  <c r="H24" i="161" a="1"/>
  <c r="B14" i="161" a="1"/>
  <c r="J28" i="161" a="1"/>
  <c r="D115" i="161" a="1"/>
  <c r="L17" i="161" a="1"/>
  <c r="E119" i="161" a="1"/>
  <c r="R67" i="161" a="1"/>
  <c r="D125" i="161" a="1"/>
  <c r="N13" i="161" a="1"/>
  <c r="T84" i="161" a="1"/>
  <c r="AE69" i="161" a="1"/>
  <c r="B78" i="161" a="1"/>
  <c r="F83" i="161" a="1"/>
  <c r="AA24" i="161" a="1"/>
  <c r="E124" i="161" a="1"/>
  <c r="G74" i="161" a="1"/>
  <c r="I68" i="161" a="1"/>
  <c r="Z109" i="161" a="1"/>
  <c r="K50" i="161" a="1"/>
  <c r="AA129" i="161" a="1"/>
  <c r="N73" i="161" a="1"/>
  <c r="H126" i="161" a="1"/>
  <c r="R114" i="161" a="1"/>
  <c r="W82" i="161" a="1"/>
  <c r="M29" i="161" a="1"/>
  <c r="AA63" i="161" a="1"/>
  <c r="AA58" i="161" a="1"/>
  <c r="O31" i="161" a="1"/>
  <c r="K5" i="161" a="1"/>
  <c r="Q132" i="161" a="1"/>
  <c r="AE78" i="161" a="1"/>
  <c r="V117" i="161" a="1"/>
  <c r="K101" i="161" a="1"/>
  <c r="V95" i="161" a="1"/>
  <c r="AB75" i="161" a="1"/>
  <c r="AC62" i="161" a="1"/>
  <c r="J31" i="161" a="1"/>
  <c r="V125" i="161" a="1"/>
  <c r="B87" i="161" a="1"/>
  <c r="C134" i="161" a="1"/>
  <c r="G78" i="161" a="1"/>
  <c r="N71" i="161" a="1"/>
  <c r="L110" i="161" a="1"/>
  <c r="Y51" i="161" a="1"/>
  <c r="C115" i="161" a="1"/>
  <c r="AD12" i="161" a="1"/>
  <c r="U43" i="161" a="1"/>
  <c r="G62" i="161" a="1"/>
  <c r="AD42" i="161" a="1"/>
  <c r="X3" i="161" a="1"/>
  <c r="V86" i="161" a="1"/>
  <c r="AC42" i="161" a="1"/>
  <c r="Q86" i="161" a="1"/>
  <c r="B57" i="161" a="1"/>
  <c r="W101" i="161" a="1"/>
  <c r="AE32" i="161" a="1"/>
  <c r="W39" i="161" a="1"/>
  <c r="AC31" i="161" a="1"/>
  <c r="V60" i="161" a="1"/>
  <c r="W24" i="161" a="1"/>
  <c r="O18" i="161" a="1"/>
  <c r="S131" i="161" a="1"/>
  <c r="T3" i="161" a="1"/>
  <c r="L74" i="161" a="1"/>
  <c r="B45" i="161" a="1"/>
  <c r="K55" i="161" a="1"/>
  <c r="AA59" i="161" a="1"/>
  <c r="K9" i="161" a="1"/>
  <c r="AE79" i="161" a="1"/>
  <c r="AC131" i="161" a="1"/>
  <c r="B83" i="161" a="1"/>
  <c r="N72" i="161" a="1"/>
  <c r="K59" i="161" a="1"/>
  <c r="Z58" i="161" a="1"/>
  <c r="D70" i="161" a="1"/>
  <c r="AD8" i="161" a="1"/>
  <c r="C98" i="161" a="1"/>
  <c r="F86" i="161" a="1"/>
  <c r="U20" i="161" a="1"/>
  <c r="Q29" i="161" a="1"/>
  <c r="I56" i="161" a="1"/>
  <c r="F39" i="161" a="1"/>
  <c r="O41" i="161" a="1"/>
  <c r="M94" i="161" a="1"/>
  <c r="AE97" i="161" a="1"/>
  <c r="R61" i="161" a="1"/>
  <c r="O28" i="161" a="1"/>
  <c r="S117" i="161" a="1"/>
  <c r="X7" i="161" a="1"/>
  <c r="C9" i="161" a="1"/>
  <c r="T74" i="161" a="1"/>
  <c r="F113" i="161" a="1"/>
  <c r="C17" i="161" a="1"/>
  <c r="U67" i="161" a="1"/>
  <c r="H106" i="161" a="1"/>
  <c r="V109" i="161" a="1"/>
  <c r="U93" i="161" a="1"/>
  <c r="T53" i="161" a="1"/>
  <c r="C40" i="161" a="1"/>
  <c r="L40" i="161" a="1"/>
  <c r="AA68" i="161" a="1"/>
  <c r="AB95" i="161" a="1"/>
  <c r="H96" i="161" a="1"/>
  <c r="W123" i="161" a="1"/>
  <c r="G59" i="161" a="1"/>
  <c r="AE53" i="161" a="1"/>
  <c r="N112" i="161" a="1"/>
  <c r="B55" i="161" a="1"/>
  <c r="AA106" i="161" a="1"/>
  <c r="Z83" i="161" a="1"/>
  <c r="V94" i="161" a="1"/>
  <c r="T132" i="161" a="1"/>
  <c r="Z49" i="161" a="1"/>
  <c r="G117" i="161" a="1"/>
  <c r="F118" i="161" a="1"/>
  <c r="J4" i="161" a="1"/>
  <c r="C69" i="161" a="1"/>
  <c r="P79" i="161" a="1"/>
  <c r="W74" i="161" a="1"/>
  <c r="J78" i="161" a="1"/>
  <c r="AA46" i="161" a="1"/>
  <c r="E107" i="161" a="1"/>
  <c r="AB90" i="161" a="1"/>
  <c r="AD46" i="161" a="1"/>
  <c r="O10" i="161" a="1"/>
  <c r="D126" i="161" a="1"/>
  <c r="F52" i="161" a="1"/>
  <c r="O85" i="161" a="1"/>
  <c r="T37" i="161" a="1"/>
  <c r="Z100" i="161" a="1"/>
  <c r="N100" i="161" a="1"/>
  <c r="M47" i="161" a="1"/>
  <c r="Y61" i="161" a="1"/>
  <c r="W113" i="161" a="1"/>
  <c r="M37" i="161" a="1"/>
  <c r="AD29" i="161" a="1"/>
  <c r="S31" i="161" a="1"/>
  <c r="B8" i="161" a="1"/>
  <c r="K97" i="161" a="1"/>
  <c r="Q85" i="161" a="1"/>
  <c r="I44" i="161" a="1"/>
  <c r="AB16" i="161" a="1"/>
  <c r="R68" i="161" a="1"/>
  <c r="L45" i="161" a="1"/>
  <c r="D95" i="161" a="1"/>
  <c r="K74" i="161" a="1"/>
  <c r="B94" i="161" a="1"/>
  <c r="D13" i="161" a="1"/>
  <c r="H88" i="161" a="1"/>
  <c r="J51" i="161" a="1"/>
  <c r="F71" i="161" a="1"/>
  <c r="AA10" i="161" a="1"/>
  <c r="AD115" i="161" a="1"/>
  <c r="L117" i="161" a="1"/>
  <c r="S104" i="161" a="1"/>
  <c r="C58" i="161" a="1"/>
  <c r="T24" i="161" a="1"/>
  <c r="V25" i="161" a="1"/>
  <c r="D99" i="161" a="1"/>
  <c r="AA90" i="161" a="1"/>
  <c r="AE10" i="161" a="1"/>
  <c r="D107" i="161" a="1"/>
  <c r="X52" i="161" a="1"/>
  <c r="AB5" i="161" a="1"/>
  <c r="AB78" i="161" a="1"/>
  <c r="AC122" i="161" a="1"/>
  <c r="T13" i="161" a="1"/>
  <c r="W64" i="161" a="1"/>
  <c r="T67" i="161" a="1"/>
  <c r="AE83" i="161" a="1"/>
  <c r="V41" i="161" a="1"/>
  <c r="I129" i="161" a="1"/>
  <c r="AA85" i="161" a="1"/>
  <c r="AC80" i="161" a="1"/>
  <c r="P87" i="161" a="1"/>
  <c r="E56" i="161" a="1"/>
  <c r="AB51" i="161" a="1"/>
  <c r="Y10" i="161" a="1"/>
  <c r="R118" i="161" a="1"/>
  <c r="O22" i="161" a="1"/>
  <c r="S67" i="161" a="1"/>
  <c r="F81" i="161" a="1"/>
  <c r="I45" i="161" a="1"/>
  <c r="AC38" i="161" a="1"/>
  <c r="J92" i="161" a="1"/>
  <c r="AE119" i="161" a="1"/>
  <c r="K76" i="161" a="1"/>
  <c r="AB122" i="161" a="1"/>
  <c r="L66" i="161" a="1"/>
  <c r="O52" i="161" a="1"/>
  <c r="U105" i="161" a="1"/>
  <c r="B77" i="161" a="1"/>
  <c r="L68" i="161" a="1"/>
  <c r="I122" i="161" a="1"/>
  <c r="H61" i="161" a="1"/>
  <c r="I111" i="161" a="1"/>
  <c r="M119" i="161" a="1"/>
  <c r="N108" i="161" a="1"/>
  <c r="G64" i="161" a="1"/>
  <c r="D20" i="161" a="1"/>
  <c r="D84" i="161" a="1"/>
  <c r="Y38" i="161" a="1"/>
  <c r="J41" i="161" a="1"/>
  <c r="AE9" i="161" a="1"/>
  <c r="S19" i="161" a="1"/>
  <c r="AB50" i="161" a="1"/>
  <c r="U99" i="161" a="1"/>
  <c r="I125" i="161" a="1"/>
  <c r="M59" i="161" a="1"/>
  <c r="AB85" i="161" a="1"/>
  <c r="R93" i="161" a="1"/>
  <c r="W81" i="161" a="1"/>
  <c r="M87" i="161" a="1"/>
  <c r="AA102" i="161" a="1"/>
  <c r="S130" i="161" a="1"/>
  <c r="B9" i="161" a="1"/>
  <c r="N131" i="161" a="1"/>
  <c r="G11" i="161" a="1"/>
  <c r="L101" i="161" a="1"/>
  <c r="D130" i="161" a="1"/>
  <c r="Q125" i="161" a="1"/>
  <c r="M56" i="161" a="1"/>
  <c r="U71" i="161" a="1"/>
  <c r="X77" i="161" a="1"/>
  <c r="I19" i="161" a="1"/>
  <c r="AC21" i="161" a="1"/>
  <c r="Z86" i="161" a="1"/>
  <c r="Q96" i="161" a="1"/>
  <c r="H109" i="161" a="1"/>
  <c r="F75" i="161" a="1"/>
  <c r="K71" i="161" a="1"/>
  <c r="H67" i="161" a="1"/>
  <c r="AD22" i="161" a="1"/>
  <c r="K120" i="161" a="1"/>
  <c r="P39" i="161" a="1"/>
  <c r="L24" i="161" a="1"/>
  <c r="Z79" i="161" a="1"/>
  <c r="K108" i="161" a="1"/>
  <c r="N96" i="161" a="1"/>
  <c r="O103" i="161" a="1"/>
  <c r="P14" i="161" a="1"/>
  <c r="B102" i="161" a="1"/>
  <c r="Q57" i="161" a="1"/>
  <c r="N27" i="161" a="1"/>
  <c r="AA65" i="161" a="1"/>
  <c r="V47" i="161" a="1"/>
  <c r="Q33" i="161" a="1"/>
  <c r="J8" i="161" a="1"/>
  <c r="H4" i="161" a="1"/>
  <c r="AC128" i="161" a="1"/>
  <c r="Z132" i="161" a="1"/>
  <c r="S14" i="161" a="1"/>
  <c r="Q39" i="161" a="1"/>
  <c r="AC110" i="161" a="1"/>
  <c r="AA12" i="161" a="1"/>
  <c r="V54" i="161" a="1"/>
  <c r="M127" i="161" a="1"/>
  <c r="D45" i="161" a="1"/>
  <c r="C5" i="161" a="1"/>
  <c r="AA130" i="161" a="1"/>
  <c r="U51" i="161" a="1"/>
  <c r="F119" i="161" a="1"/>
  <c r="O6" i="161" a="1"/>
  <c r="N54" i="161" a="1"/>
  <c r="AA62" i="161" a="1"/>
  <c r="AB58" i="161" a="1"/>
  <c r="AB111" i="161" a="1"/>
  <c r="C119" i="161" a="1"/>
  <c r="D54" i="161" a="1"/>
  <c r="Q83" i="161" a="1"/>
  <c r="AC49" i="161" a="1"/>
  <c r="AE127" i="161" a="1"/>
  <c r="AD87" i="161" a="1"/>
  <c r="H42" i="161" a="1"/>
  <c r="O14" i="161" a="1"/>
  <c r="X109" i="161" a="1"/>
  <c r="I28" i="161" a="1"/>
  <c r="H74" i="161" a="1"/>
  <c r="O104" i="161" a="1"/>
  <c r="Z60" i="161" a="1"/>
  <c r="H45" i="161" a="1"/>
  <c r="O83" i="161" a="1"/>
  <c r="X123" i="161" a="1"/>
  <c r="F80" i="161" a="1"/>
  <c r="W23" i="161" a="1"/>
  <c r="M96" i="161" a="1"/>
  <c r="I115" i="161" a="1"/>
  <c r="I36" i="161" a="1"/>
  <c r="I82" i="161" a="1"/>
  <c r="AB8" i="161" a="1"/>
  <c r="X27" i="161" a="1"/>
  <c r="E84" i="161" a="1"/>
  <c r="V76" i="161" a="1"/>
  <c r="P42" i="161" a="1"/>
  <c r="AA44" i="161" a="1"/>
  <c r="X65" i="161" a="1"/>
  <c r="I123" i="161" a="1"/>
  <c r="G5" i="161" a="1"/>
  <c r="J21" i="161" a="1"/>
  <c r="H120" i="161" a="1"/>
  <c r="G67" i="161" a="1"/>
  <c r="R123" i="161" a="1"/>
  <c r="P60" i="161" a="1"/>
  <c r="R50" i="161" a="1"/>
  <c r="X53" i="161" a="1"/>
  <c r="B93" i="161" a="1"/>
  <c r="Z16" i="161" a="1"/>
  <c r="C85" i="161" a="1"/>
  <c r="K38" i="161" a="1"/>
  <c r="Z26" i="161" a="1"/>
  <c r="AB27" i="161" a="1"/>
  <c r="H94" i="161" a="1"/>
  <c r="F93" i="161" a="1"/>
  <c r="K111" i="161" a="1"/>
  <c r="Y65" i="161" a="1"/>
  <c r="E79" i="161" a="1"/>
  <c r="P86" i="161" a="1"/>
  <c r="Y128" i="161" a="1"/>
  <c r="T49" i="161" a="1"/>
  <c r="N102" i="161" a="1"/>
  <c r="AC17" i="161" a="1"/>
  <c r="F21" i="161" a="1"/>
  <c r="S119" i="161" a="1"/>
  <c r="Q17" i="161" a="1"/>
  <c r="X69" i="161" a="1"/>
  <c r="Y15" i="161" a="1"/>
  <c r="T102" i="161" a="1"/>
  <c r="N8" i="161" a="1"/>
  <c r="V34" i="161" a="1"/>
  <c r="AD100" i="161" a="1"/>
  <c r="W5" i="161" a="1"/>
  <c r="U94" i="161" a="1"/>
  <c r="Z113" i="161" a="1"/>
  <c r="D72" i="161" a="1"/>
  <c r="R34" i="161" a="1"/>
  <c r="U35" i="161" a="1"/>
  <c r="M15" i="161" a="1"/>
  <c r="K18" i="161" a="1"/>
  <c r="L133" i="161" a="1"/>
  <c r="E11" i="161" a="1"/>
  <c r="B41" i="161" a="1"/>
  <c r="N10" i="161" a="1"/>
  <c r="M81" i="161" a="1"/>
  <c r="G87" i="161" a="1"/>
  <c r="J38" i="161" a="1"/>
  <c r="O25" i="161" a="1"/>
  <c r="K91" i="161" a="1"/>
  <c r="S98" i="161" a="1"/>
  <c r="Z9" i="161" a="1"/>
  <c r="B111" i="161" a="1"/>
  <c r="H71" i="161" a="1"/>
  <c r="J22" i="161" a="1"/>
  <c r="L113" i="161" a="1"/>
  <c r="L63" i="161" a="1"/>
  <c r="O13" i="161" a="1"/>
  <c r="M65" i="161" a="1"/>
  <c r="AC103" i="161" a="1"/>
  <c r="AD36" i="161" a="1"/>
  <c r="X63" i="161" a="1"/>
  <c r="B54" i="161" a="1"/>
  <c r="N82" i="161" a="1"/>
  <c r="N30" i="161" a="1"/>
  <c r="V20" i="161" a="1"/>
  <c r="D22" i="161" a="1"/>
  <c r="Z14" i="161" a="1"/>
  <c r="O129" i="161" a="1"/>
  <c r="N97" i="161" a="1"/>
  <c r="Y49" i="161" a="1"/>
  <c r="S79" i="161" a="1"/>
  <c r="J125" i="161" a="1"/>
  <c r="C29" i="161" a="1"/>
  <c r="AA60" i="161" a="1"/>
  <c r="G133" i="161" a="1"/>
  <c r="Y63" i="161" a="1"/>
  <c r="AE46" i="161" a="1"/>
  <c r="B21" i="161" a="1"/>
  <c r="W44" i="161" a="1"/>
  <c r="Q122" i="161" a="1"/>
  <c r="K114" i="161" a="1"/>
  <c r="H8" i="161" a="1"/>
  <c r="Z65" i="161" a="1"/>
  <c r="H36" i="161" a="1"/>
  <c r="K40" i="161" a="1"/>
  <c r="G22" i="161" a="1"/>
  <c r="AC94" i="161" a="1"/>
  <c r="AE15" i="161" a="1"/>
  <c r="E90" i="161" a="1"/>
  <c r="J110" i="161" a="1"/>
  <c r="R109" i="161" a="1"/>
  <c r="H26" i="161" a="1"/>
  <c r="N44" i="161" a="1"/>
  <c r="P72" i="161" a="1"/>
  <c r="Z119" i="161" a="1"/>
  <c r="B79" i="161" a="1"/>
  <c r="F57" i="161" a="1"/>
  <c r="AD106" i="161" a="1"/>
  <c r="Z123" i="161" a="1"/>
  <c r="C97" i="161" a="1"/>
  <c r="S42" i="161" a="1"/>
  <c r="B129" i="161" a="1"/>
  <c r="J113" i="161" a="1"/>
  <c r="Y85" i="161" a="1"/>
  <c r="E67" i="161" a="1"/>
  <c r="AB126" i="161" a="1"/>
  <c r="F26" i="161" a="1"/>
  <c r="D108" i="161" a="1"/>
  <c r="AE5" i="161" a="1"/>
  <c r="U22" i="161" a="1"/>
  <c r="H84" i="161" a="1"/>
  <c r="G77" i="161" a="1"/>
  <c r="AD110" i="161" a="1"/>
  <c r="G110" i="161" a="1"/>
  <c r="F54" i="161" a="1"/>
  <c r="D129" i="161" a="1"/>
  <c r="AB117" i="161" a="1"/>
  <c r="AD64" i="161" a="1"/>
  <c r="AC126" i="161" a="1"/>
  <c r="P121" i="161" a="1"/>
  <c r="AD56" i="161" a="1"/>
  <c r="C64" i="161" a="1"/>
  <c r="AB21" i="161" a="1"/>
  <c r="X36" i="161" a="1"/>
  <c r="X18" i="161" a="1"/>
  <c r="AB67" i="161" a="1"/>
  <c r="AE107" i="161" a="1"/>
  <c r="G105" i="161" a="1"/>
  <c r="R98" i="161" a="1"/>
  <c r="AC101" i="161" a="1"/>
  <c r="AA15" i="161" a="1"/>
  <c r="C77" i="161" a="1"/>
  <c r="Z45" i="161" a="1"/>
  <c r="I76" i="161" a="1"/>
  <c r="AE40" i="161" a="1"/>
  <c r="K103" i="161" a="1"/>
  <c r="AD83" i="161" a="1"/>
  <c r="U78" i="161" a="1"/>
  <c r="Z12" i="161" a="1"/>
  <c r="R56" i="161" a="1"/>
  <c r="I14" i="161" a="1"/>
  <c r="Y90" i="161" a="1"/>
  <c r="AB70" i="161" a="1"/>
  <c r="Z73" i="161" a="1"/>
  <c r="AB63" i="161" a="1"/>
  <c r="R7" i="161" a="1"/>
  <c r="AD120" i="161" a="1"/>
  <c r="AA47" i="161" a="1"/>
  <c r="D60" i="161" a="1"/>
  <c r="H123" i="161" a="1"/>
  <c r="AA35" i="161" a="1"/>
  <c r="G113" i="161" a="1"/>
  <c r="Q54" i="161" a="1"/>
  <c r="Z24" i="161" a="1"/>
  <c r="L65" i="161" a="1"/>
  <c r="X6" i="161" a="1"/>
  <c r="Q71" i="161" a="1"/>
  <c r="C70" i="161" a="1"/>
  <c r="Y14" i="161" a="1"/>
  <c r="AD126" i="161" a="1"/>
  <c r="T75" i="161" a="1"/>
  <c r="U14" i="161" a="1"/>
  <c r="AB106" i="161" a="1"/>
  <c r="N53" i="161" a="1"/>
  <c r="N99" i="161" a="1"/>
  <c r="X33" i="161" a="1"/>
  <c r="Q113" i="161" a="1"/>
  <c r="H20" i="161" a="1"/>
  <c r="J7" i="161" a="1"/>
  <c r="M12" i="161" a="1"/>
  <c r="N12" i="161" a="1"/>
  <c r="S60" i="161" a="1"/>
  <c r="H110" i="161" a="1"/>
  <c r="X28" i="161" a="1"/>
  <c r="AC108" i="161" a="1"/>
  <c r="W48" i="161" a="1"/>
  <c r="S69" i="161" a="1"/>
  <c r="I93" i="161" a="1"/>
  <c r="P53" i="161" a="1"/>
  <c r="Z44" i="161" a="1"/>
  <c r="M23" i="161" a="1"/>
  <c r="AD58" i="161" a="1"/>
  <c r="AE77" i="161" a="1"/>
  <c r="L100" i="161" a="1"/>
  <c r="C123" i="161" a="1"/>
  <c r="D131" i="161" a="1"/>
  <c r="D112" i="161" a="1"/>
  <c r="AB89" i="161" a="1"/>
  <c r="L25" i="161" a="1"/>
  <c r="E72" i="161" a="1"/>
  <c r="AA82" i="161" a="1"/>
  <c r="L88" i="161" a="1"/>
  <c r="L94" i="161" a="1"/>
  <c r="G85" i="161" a="1"/>
  <c r="AC74" i="161" a="1"/>
  <c r="Q88" i="161" a="1"/>
  <c r="G116" i="161" a="1"/>
  <c r="U12" i="161" a="1"/>
  <c r="AE95" i="161" a="1"/>
  <c r="N119" i="161" a="1"/>
  <c r="G79" i="161" a="1"/>
  <c r="AA14" i="161" a="1"/>
  <c r="Y52" i="161" a="1"/>
  <c r="Q34" i="161" a="1"/>
  <c r="G28" i="161" a="1"/>
  <c r="Z10" i="161" a="1"/>
  <c r="AD133" i="161" a="1"/>
  <c r="V57" i="161" a="1"/>
  <c r="D65" i="161" a="1"/>
  <c r="N22" i="161" a="1"/>
  <c r="K90" i="161" a="1"/>
  <c r="T66" i="161" a="1"/>
  <c r="B6" i="161" a="1"/>
  <c r="V52" i="161" a="1"/>
  <c r="J23" i="161" a="1"/>
  <c r="J95" i="161" a="1"/>
  <c r="AB30" i="161" a="1"/>
  <c r="AB37" i="161" a="1"/>
  <c r="L22" i="161" a="1"/>
  <c r="AC11" i="161" a="1"/>
  <c r="D53" i="161" a="1"/>
  <c r="X79" i="161" a="1"/>
  <c r="U56" i="161" a="1"/>
  <c r="J105" i="161" a="1"/>
  <c r="W90" i="161" a="1"/>
  <c r="X82" i="161" a="1"/>
  <c r="AB29" i="161" a="1"/>
  <c r="N58" i="161" a="1"/>
  <c r="AD107" i="161" a="1"/>
  <c r="F88" i="161" a="1"/>
  <c r="Q134" i="161" a="1"/>
  <c r="Y25" i="161" a="1"/>
  <c r="AA108" i="161" a="1"/>
  <c r="J6" i="161" a="1"/>
  <c r="T48" i="161" a="1"/>
  <c r="M131" i="161" a="1"/>
  <c r="AD97" i="161" a="1"/>
  <c r="O37" i="161" a="1"/>
  <c r="D4" i="161" a="1"/>
  <c r="I118" i="161" a="1"/>
  <c r="N114" i="161" a="1"/>
  <c r="U109" i="161" a="1"/>
  <c r="Y93" i="161" a="1"/>
  <c r="I55" i="161" a="1"/>
  <c r="F107" i="161" a="1"/>
  <c r="U61" i="161" a="1"/>
  <c r="I37" i="161" a="1"/>
  <c r="Q49" i="161" a="1"/>
  <c r="S52" i="161" a="1"/>
  <c r="S5" i="161" a="1"/>
  <c r="AA77" i="161" a="1"/>
  <c r="Q14" i="161" a="1"/>
  <c r="Z20" i="161" a="1"/>
  <c r="Q61" i="161" a="1"/>
  <c r="AE114" i="161" a="1"/>
  <c r="N11" i="161" a="1"/>
  <c r="AE44" i="161" a="1"/>
  <c r="H16" i="161" a="1"/>
  <c r="P107" i="161" a="1"/>
  <c r="C90" i="161" a="1"/>
  <c r="D43" i="161" a="1"/>
  <c r="H102" i="161" a="1"/>
  <c r="K110" i="161" a="1"/>
  <c r="P37" i="161" a="1"/>
  <c r="AD118" i="161" a="1"/>
  <c r="J24" i="161" a="1"/>
  <c r="AD26" i="161" a="1"/>
  <c r="J39" i="161" a="1"/>
  <c r="E93" i="161" a="1"/>
  <c r="I23" i="161" a="1"/>
  <c r="V111" i="161" a="1"/>
  <c r="J81" i="161" a="1"/>
  <c r="N17" i="161" a="1"/>
  <c r="P129" i="161" a="1"/>
  <c r="O128" i="161" a="1"/>
  <c r="P106" i="161" a="1"/>
  <c r="I79" i="161" a="1"/>
  <c r="R66" i="161" a="1"/>
  <c r="Z72" i="161" a="1"/>
  <c r="Z30" i="161" a="1"/>
  <c r="AB62" i="161" a="1"/>
  <c r="AB127" i="161" a="1"/>
  <c r="H86" i="161" a="1"/>
  <c r="B12" i="161" a="1"/>
  <c r="Z6" i="161" a="1"/>
  <c r="M44" i="161" a="1"/>
  <c r="N133" i="161" a="1"/>
  <c r="N91" i="161" a="1"/>
  <c r="C102" i="161" a="1"/>
  <c r="AE62" i="161" a="1"/>
  <c r="D57" i="161" a="1"/>
  <c r="Y9" i="161" a="1"/>
  <c r="C106" i="161" a="1"/>
  <c r="AA3" i="161" a="1"/>
  <c r="J85" i="161" a="1"/>
  <c r="K64" i="161" a="1"/>
  <c r="W66" i="161" a="1"/>
  <c r="AE91" i="161" a="1"/>
  <c r="Q80" i="161" a="1"/>
  <c r="F12" i="161" a="1"/>
  <c r="AA31" i="161" a="1"/>
  <c r="V106" i="161" a="1"/>
  <c r="AC83" i="161" a="1"/>
  <c r="I81" i="161" a="1"/>
  <c r="AB54" i="161" a="1"/>
  <c r="N101" i="161" a="1"/>
  <c r="AD62" i="161" a="1"/>
  <c r="Y106" i="161" a="1"/>
  <c r="AA11" i="161" a="1"/>
  <c r="R32" i="161" a="1"/>
  <c r="W122" i="161" a="1"/>
  <c r="S100" i="161" a="1"/>
  <c r="Y62" i="161" a="1"/>
  <c r="Q28" i="161" a="1"/>
  <c r="S116" i="161" a="1"/>
  <c r="S75" i="161" a="1"/>
  <c r="L105" i="161" a="1"/>
  <c r="W7" i="161" a="1"/>
  <c r="Z17" i="161" a="1"/>
  <c r="V9" i="161" a="1"/>
  <c r="N65" i="161" a="1"/>
  <c r="B64" i="161" a="1"/>
  <c r="Q43" i="161" a="1"/>
  <c r="P62" i="161" a="1"/>
  <c r="AE63" i="161" a="1"/>
  <c r="Z41" i="161" a="1"/>
  <c r="T122" i="161" a="1"/>
  <c r="P46" i="161" a="1"/>
  <c r="U46" i="161" a="1"/>
  <c r="Y74" i="161" a="1"/>
  <c r="R102" i="161" a="1"/>
  <c r="L116" i="161" a="1"/>
  <c r="Z23" i="161" a="1"/>
  <c r="AE33" i="161" a="1"/>
  <c r="M40" i="161" a="1"/>
  <c r="L36" i="161" a="1"/>
  <c r="G41" i="161" a="1"/>
  <c r="AA26" i="161" a="1"/>
  <c r="V127" i="161" a="1"/>
  <c r="K89" i="161" a="1"/>
  <c r="I40" i="161" a="1"/>
  <c r="AB53" i="161" a="1"/>
  <c r="F48" i="161" a="1"/>
  <c r="E126" i="161" a="1"/>
  <c r="F29" i="161" a="1"/>
  <c r="O5" i="161" a="1"/>
  <c r="L71" i="161" a="1"/>
  <c r="C6" i="161" a="1"/>
  <c r="R77" i="161" a="1"/>
  <c r="T45" i="161" a="1"/>
  <c r="AA117" i="161" a="1"/>
  <c r="V61" i="161" a="1"/>
  <c r="G13" i="161" a="1"/>
  <c r="F6" i="161" a="1"/>
  <c r="B75" i="161" a="1"/>
  <c r="K20" i="161" a="1"/>
  <c r="Q36" i="161" a="1"/>
  <c r="AC69" i="161" a="1"/>
  <c r="AD78" i="161" a="1"/>
  <c r="L129" i="161" a="1"/>
  <c r="W71" i="161" a="1"/>
  <c r="D34" i="161" a="1"/>
  <c r="J69" i="161" a="1"/>
  <c r="H115" i="161" a="1"/>
  <c r="W28" i="161" a="1"/>
  <c r="M49" i="161" a="1"/>
  <c r="I35" i="161" a="1"/>
  <c r="B60" i="161" a="1"/>
  <c r="I114" i="161" a="1"/>
  <c r="AE22" i="161" a="1"/>
  <c r="Y17" i="161" a="1"/>
  <c r="M122" i="161" a="1"/>
  <c r="G128" i="161" a="1"/>
  <c r="D19" i="161" a="1"/>
  <c r="O56" i="161" a="1"/>
  <c r="X20" i="161" a="1"/>
  <c r="O112" i="161" a="1"/>
  <c r="E35" i="161" a="1"/>
  <c r="G121" i="161" a="1"/>
  <c r="W65" i="161" a="1"/>
  <c r="W31" i="161" a="1"/>
  <c r="D92" i="161" a="1"/>
  <c r="W124" i="161" a="1"/>
  <c r="V71" i="161" a="1"/>
  <c r="AD51" i="161" a="1"/>
  <c r="K57" i="161" a="1"/>
  <c r="AB57" i="161" a="1"/>
  <c r="U111" i="161" a="1"/>
  <c r="H6" i="161" a="1"/>
  <c r="N14" i="161" a="1"/>
  <c r="N18" i="161" a="1"/>
  <c r="M61" i="161" a="1"/>
  <c r="I65" i="161" a="1"/>
  <c r="S15" i="161" a="1"/>
  <c r="U65" i="161" a="1"/>
  <c r="O66" i="161" a="1"/>
  <c r="J36" i="161" a="1"/>
  <c r="I132" i="161" a="1"/>
  <c r="K94" i="161" a="1"/>
  <c r="W127" i="161" a="1"/>
  <c r="AC60" i="161" a="1"/>
  <c r="J97" i="161" a="1"/>
  <c r="AE28" i="161" a="1"/>
  <c r="S70" i="161" a="1"/>
  <c r="B29" i="161" a="1"/>
  <c r="I39" i="161" a="1"/>
  <c r="X101" i="161" a="1"/>
  <c r="AE89" i="161" a="1"/>
  <c r="X103" i="161" a="1"/>
  <c r="Y91" i="161" a="1"/>
  <c r="U8" i="161" a="1"/>
  <c r="B76" i="161" a="1"/>
  <c r="O96" i="161" a="1"/>
  <c r="L4" i="161" a="1"/>
  <c r="S17" i="161" a="1"/>
  <c r="J72" i="161" a="1"/>
  <c r="AA103" i="161" a="1"/>
  <c r="B90" i="161" a="1"/>
  <c r="L96" i="161" a="1"/>
  <c r="O30" i="161" a="1"/>
  <c r="I107" i="161" a="1"/>
  <c r="D89" i="161" a="1"/>
  <c r="Q124" i="161" a="1"/>
  <c r="V75" i="161" a="1"/>
  <c r="R5" i="161" a="1"/>
  <c r="R72" i="161" a="1"/>
  <c r="P105" i="161" a="1"/>
  <c r="H22" i="161" a="1"/>
  <c r="I31" i="161" a="1"/>
  <c r="H25" i="161" a="1"/>
  <c r="T72" i="161" a="1"/>
  <c r="Z22" i="161" a="1"/>
  <c r="AC30" i="161" a="1"/>
  <c r="P65" i="161" a="1"/>
  <c r="I110" i="161" a="1"/>
  <c r="V132" i="161" a="1"/>
  <c r="G91" i="161" a="1"/>
  <c r="K118" i="161" a="1"/>
  <c r="I7" i="161" a="1"/>
  <c r="N117" i="161" a="1"/>
  <c r="S90" i="161" a="1"/>
  <c r="V114" i="161" a="1"/>
  <c r="I70" i="161" a="1"/>
  <c r="R84" i="161" a="1"/>
  <c r="Y117" i="161" a="1"/>
  <c r="C118" i="161" a="1"/>
  <c r="Y97" i="161" a="1"/>
  <c r="G27" i="161" a="1"/>
  <c r="Z40" i="161" a="1"/>
  <c r="S80" i="161" a="1"/>
  <c r="O99" i="161" a="1"/>
  <c r="K104" i="161" a="1"/>
  <c r="W85" i="161" a="1"/>
  <c r="T11" i="161" a="1"/>
  <c r="C39" i="161" a="1"/>
  <c r="S91" i="161" a="1"/>
  <c r="S133" i="161" a="1"/>
  <c r="E17" i="161" a="1"/>
  <c r="I13" i="161" a="1"/>
  <c r="J119" i="161" a="1"/>
  <c r="AA21" i="161" a="1"/>
  <c r="O69" i="161" a="1"/>
  <c r="W49" i="161" a="1"/>
  <c r="U114" i="161" a="1"/>
  <c r="E28" i="161" a="1"/>
  <c r="V42" i="161" a="1"/>
  <c r="D28" i="161" a="1"/>
  <c r="Q65" i="161" a="1"/>
  <c r="R107" i="161" a="1"/>
  <c r="AC98" i="161" a="1"/>
  <c r="B96" i="161" a="1"/>
  <c r="AA84" i="161" a="1"/>
  <c r="AA118" i="161" a="1"/>
  <c r="J27" i="161" a="1"/>
  <c r="D63" i="161" a="1"/>
  <c r="D17" i="161" a="1"/>
  <c r="U34" i="161" a="1"/>
  <c r="AB38" i="161" a="1"/>
  <c r="X113" i="161" a="1"/>
  <c r="B119" i="161" a="1"/>
  <c r="U95" i="161" a="1"/>
  <c r="AB84" i="161" a="1"/>
  <c r="N130" i="161" a="1"/>
  <c r="N56" i="161" a="1"/>
  <c r="G96" i="161" a="1"/>
  <c r="N46" i="161" a="1"/>
  <c r="G25" i="161" a="1"/>
  <c r="Y77" i="161" a="1"/>
  <c r="O82" i="161" a="1"/>
  <c r="D6" i="161" a="1"/>
  <c r="U74" i="161" a="1"/>
  <c r="J131" i="161" a="1"/>
  <c r="J115" i="161" a="1"/>
  <c r="D111" i="161" a="1"/>
  <c r="S82" i="161" a="1"/>
  <c r="B13" i="161" a="1"/>
  <c r="G23" i="161" a="1"/>
  <c r="D127" i="161" a="1"/>
  <c r="X132" i="161" a="1"/>
  <c r="W100" i="161" a="1"/>
  <c r="P82" i="161" a="1"/>
  <c r="G43" i="161" a="1"/>
  <c r="W120" i="161" a="1"/>
  <c r="K79" i="161" a="1"/>
  <c r="U10" i="161" a="1"/>
  <c r="Y72" i="161" a="1"/>
  <c r="W68" i="161" a="1"/>
  <c r="H44" i="161" a="1"/>
  <c r="T17" i="161" a="1"/>
  <c r="AE23" i="161" a="1"/>
  <c r="Z120" i="161" a="1"/>
  <c r="N107" i="161" a="1"/>
  <c r="K69" i="161" a="1"/>
  <c r="F19" i="161" a="1"/>
  <c r="K112" i="161" a="1"/>
  <c r="Z96" i="161" a="1"/>
  <c r="U102" i="161" a="1"/>
  <c r="AB133" i="161" a="1"/>
  <c r="AA67" i="161" a="1"/>
  <c r="AC114" i="161" a="1"/>
  <c r="AD98" i="161" a="1"/>
  <c r="C73" i="161" a="1"/>
  <c r="H66" i="161" a="1"/>
  <c r="W35" i="161" a="1"/>
  <c r="V6" i="161" a="1"/>
  <c r="P29" i="161" a="1"/>
  <c r="O105" i="161" a="1"/>
  <c r="V53" i="161" a="1"/>
  <c r="C43" i="161" a="1"/>
  <c r="V7" i="161" a="1"/>
  <c r="F11" i="161" a="1"/>
  <c r="AA110" i="161" a="1"/>
  <c r="J86" i="161" a="1"/>
  <c r="W57" i="161" a="1"/>
  <c r="V19" i="161" a="1"/>
  <c r="S101" i="161" a="1"/>
  <c r="Q72" i="161" a="1"/>
  <c r="I126" i="161" a="1"/>
  <c r="R90" i="161" a="1"/>
  <c r="X56" i="161" a="1"/>
  <c r="T25" i="161" a="1"/>
  <c r="V70" i="161" a="1"/>
  <c r="L12" i="161" a="1"/>
  <c r="V103" i="161" a="1"/>
  <c r="E101" i="161" a="1"/>
  <c r="I50" i="161" a="1"/>
  <c r="AA125" i="161" a="1"/>
  <c r="O108" i="161" a="1"/>
  <c r="N103" i="161" a="1"/>
  <c r="X75" i="161" a="1"/>
  <c r="AD19" i="161" a="1"/>
  <c r="K117" i="161" a="1"/>
  <c r="J98" i="161" a="1"/>
  <c r="W13" i="161" a="1"/>
  <c r="Z101" i="161" a="1"/>
  <c r="O11" i="161" a="1"/>
  <c r="B53" i="161" a="1"/>
  <c r="E96" i="161" a="1"/>
  <c r="I134" i="161" a="1"/>
  <c r="J45" i="161" a="1"/>
  <c r="Q59" i="161" a="1"/>
  <c r="W60" i="161" a="1"/>
  <c r="D40" i="161" a="1"/>
  <c r="O114" i="161" a="1"/>
  <c r="M114" i="161" a="1"/>
  <c r="C53" i="161" a="1"/>
  <c r="R27" i="161" a="1"/>
  <c r="C116" i="161" a="1"/>
  <c r="F46" i="161" a="1"/>
  <c r="N80" i="161" a="1"/>
  <c r="D62" i="161" a="1"/>
  <c r="M57" i="161" a="1"/>
  <c r="O116" i="161" a="1"/>
  <c r="C22" i="161" a="1"/>
  <c r="AB81" i="161" a="1"/>
  <c r="AA32" i="161" a="1"/>
  <c r="D82" i="161" a="1"/>
  <c r="W9" i="161" a="1"/>
  <c r="Z28" i="161" a="1"/>
  <c r="Q90" i="161" a="1"/>
  <c r="Y36" i="161" a="1"/>
  <c r="AE21" i="161" a="1"/>
  <c r="M31" i="161" a="1"/>
  <c r="S71" i="161" a="1"/>
  <c r="E106" i="161" a="1"/>
  <c r="J29" i="161" a="1"/>
  <c r="L28" i="161" a="1"/>
  <c r="C36" i="161" a="1"/>
  <c r="H99" i="161" a="1"/>
  <c r="H93" i="161" a="1"/>
  <c r="I54" i="161" a="1"/>
  <c r="T101" i="161" a="1"/>
  <c r="R113" i="161" a="1"/>
  <c r="I94" i="161" a="1"/>
  <c r="W75" i="161" a="1"/>
  <c r="E49" i="161" a="1"/>
  <c r="O132" i="161" a="1"/>
  <c r="E60" i="161" a="1"/>
  <c r="O120" i="161" a="1"/>
  <c r="AE47" i="161" a="1"/>
  <c r="L79" i="161" a="1"/>
  <c r="G95" i="161" a="1"/>
  <c r="U88" i="161" a="1"/>
  <c r="AE34" i="161" a="1"/>
  <c r="L81" i="161" a="1"/>
  <c r="O12" i="161" a="1"/>
  <c r="R92" i="161" a="1"/>
  <c r="W25" i="161" a="1"/>
  <c r="U49" i="161" a="1"/>
  <c r="P27" i="161" a="1"/>
  <c r="M30" i="161" a="1"/>
  <c r="V30" i="161" a="1"/>
  <c r="AA28" i="161" a="1"/>
  <c r="K115" i="161" a="1"/>
  <c r="Z93" i="161" a="1"/>
  <c r="O106" i="161" a="1"/>
  <c r="N43" i="161" a="1"/>
  <c r="AC130" i="161" a="1"/>
  <c r="P33" i="161" a="1"/>
  <c r="AD103" i="161" a="1"/>
  <c r="I104" i="161" a="1"/>
  <c r="X17" i="161" a="1"/>
  <c r="O38" i="161" a="1"/>
  <c r="AC87" i="161" a="1"/>
  <c r="T88" i="161" a="1"/>
  <c r="B134" i="161" a="1"/>
  <c r="AD94" i="161" a="1"/>
  <c r="C75" i="161" a="1"/>
  <c r="O50" i="161" a="1"/>
  <c r="H34" i="161" a="1"/>
  <c r="T27" i="161" a="1"/>
  <c r="J9" i="161" a="1"/>
  <c r="L80" i="161" a="1"/>
  <c r="T90" i="161" a="1"/>
  <c r="N15" i="161" a="1"/>
  <c r="G134" i="161" a="1"/>
  <c r="Z18" i="161" a="1"/>
  <c r="AD55" i="161" a="1"/>
  <c r="AC40" i="161" a="1"/>
  <c r="G132" i="161" a="1"/>
  <c r="G102" i="161" a="1"/>
  <c r="U59" i="161" a="1"/>
  <c r="AB92" i="161" a="1"/>
  <c r="G109" i="161" a="1"/>
  <c r="P103" i="161" a="1"/>
  <c r="U3" i="161" a="1"/>
  <c r="J62" i="161" a="1"/>
  <c r="J88" i="161" a="1"/>
  <c r="T52" i="161" a="1"/>
  <c r="U33" i="161" a="1"/>
  <c r="Q93" i="161" a="1"/>
  <c r="K102" i="161" a="1"/>
  <c r="U131" i="161" a="1"/>
  <c r="AA36" i="161" a="1"/>
  <c r="W89" i="161" a="1"/>
  <c r="Z42" i="161" a="1"/>
  <c r="X73" i="161" a="1"/>
  <c r="R60" i="161" a="1"/>
  <c r="D90" i="161" a="1"/>
  <c r="L70" i="161" a="1"/>
  <c r="S124" i="161" a="1"/>
  <c r="AD59" i="161" a="1"/>
  <c r="AD33" i="161" a="1"/>
  <c r="Z81" i="161" a="1"/>
  <c r="AE11" i="161" a="1"/>
  <c r="F117" i="161" a="1"/>
  <c r="AE25" i="161" a="1"/>
  <c r="N51" i="161" a="1"/>
  <c r="Z59" i="161" a="1"/>
  <c r="T69" i="161" a="1"/>
  <c r="X134" i="161" a="1"/>
  <c r="AC88" i="161" a="1"/>
  <c r="H10" i="161" a="1"/>
  <c r="S86" i="161" a="1"/>
  <c r="AD10" i="161" a="1"/>
  <c r="R74" i="161" a="1"/>
  <c r="M111" i="161" a="1"/>
  <c r="F51" i="161" a="1"/>
  <c r="E64" i="161" a="1"/>
  <c r="O118" i="161" a="1"/>
  <c r="AA61" i="161" a="1"/>
  <c r="AC53" i="161" a="1"/>
  <c r="N23" i="161" a="1"/>
  <c r="J91" i="161" a="1"/>
  <c r="J112" i="161" a="1"/>
  <c r="AD75" i="161" a="1"/>
  <c r="I57" i="161" a="1"/>
  <c r="C128" i="161" a="1"/>
  <c r="S89" i="161" a="1"/>
  <c r="E108" i="161" a="1"/>
  <c r="W107" i="161" a="1"/>
  <c r="X34" i="161" a="1"/>
  <c r="AC93" i="161" a="1"/>
  <c r="AD48" i="161" a="1"/>
  <c r="AA66" i="161" a="1"/>
  <c r="I22" i="161" a="1"/>
  <c r="Y110" i="161" a="1"/>
  <c r="Z112" i="161" a="1"/>
  <c r="AE88" i="161" a="1"/>
  <c r="E57" i="161" a="1"/>
  <c r="H103" i="161" a="1"/>
  <c r="J53" i="161" a="1"/>
  <c r="N69" i="161" a="1"/>
  <c r="Y81" i="161" a="1"/>
  <c r="AA79" i="161" a="1"/>
  <c r="Z134" i="161" a="1"/>
  <c r="B61" i="161" a="1"/>
  <c r="AD128" i="161" a="1"/>
  <c r="AB76" i="161" a="1"/>
  <c r="Q131" i="161" a="1"/>
  <c r="K27" i="161" a="1"/>
  <c r="W84" i="161" a="1"/>
  <c r="T15" i="161" a="1"/>
  <c r="X100" i="161" a="1"/>
  <c r="M118" i="161" a="1"/>
  <c r="S126" i="161" a="1"/>
  <c r="E50" i="161" a="1"/>
  <c r="Y67" i="161" a="1"/>
  <c r="I96" i="161" a="1"/>
  <c r="F55" i="161" a="1"/>
  <c r="AB109" i="161" a="1"/>
  <c r="M34" i="161" a="1"/>
  <c r="AC28" i="161" a="1"/>
  <c r="Q70" i="161" a="1"/>
  <c r="AC54" i="161" a="1"/>
  <c r="AD30" i="161" a="1"/>
  <c r="X93" i="161" a="1"/>
  <c r="S8" i="161" a="1"/>
  <c r="Q110" i="161" a="1"/>
  <c r="H72" i="161" a="1"/>
  <c r="L130" i="161" a="1"/>
  <c r="Y102" i="161" a="1"/>
  <c r="F5" i="161" a="1"/>
  <c r="B109" i="161" a="1"/>
  <c r="R43" i="161" a="1"/>
  <c r="Y112" i="161" a="1"/>
  <c r="N120" i="161" a="1"/>
  <c r="U83" i="161" a="1"/>
  <c r="E26" i="161" a="1"/>
  <c r="V35" i="161" a="1"/>
  <c r="S9" i="161" a="1"/>
  <c r="B98" i="161" a="1"/>
  <c r="Q133" i="161" a="1"/>
  <c r="D67" i="161" a="1"/>
  <c r="O111" i="161" a="1"/>
  <c r="L52" i="161" a="1"/>
  <c r="M105" i="161" a="1"/>
  <c r="N32" i="161" a="1"/>
  <c r="AB88" i="161" a="1"/>
  <c r="D87" i="161" a="1"/>
  <c r="C7" i="161" a="1"/>
  <c r="M113" i="161" a="1"/>
  <c r="Y3" i="161" a="1"/>
  <c r="O68" i="161" a="1"/>
  <c r="I18" i="161" a="1"/>
  <c r="K34" i="161" a="1"/>
  <c r="P35" i="161" a="1"/>
  <c r="Z47" i="161" a="1"/>
  <c r="P20" i="161" a="1"/>
  <c r="D69" i="161" a="1"/>
  <c r="AB72" i="161" a="1"/>
  <c r="AA41" i="161" a="1"/>
  <c r="N41" i="161" a="1"/>
  <c r="Q41" i="161" a="1"/>
  <c r="O124" i="161" a="1"/>
  <c r="K16" i="161" a="1"/>
  <c r="Z53" i="161" a="1"/>
  <c r="U72" i="161" a="1"/>
  <c r="AC118" i="161" a="1"/>
  <c r="AA122" i="161" a="1"/>
  <c r="O110" i="161" a="1"/>
  <c r="B23" i="161" a="1"/>
  <c r="X107" i="161" a="1"/>
  <c r="M38" i="161" a="1"/>
  <c r="J126" i="161" a="1"/>
  <c r="F78" i="161" a="1"/>
  <c r="D44" i="161" a="1"/>
  <c r="L92" i="161" a="1"/>
  <c r="G9" i="161" a="1"/>
  <c r="V55" i="161" a="1"/>
  <c r="Z63" i="161" a="1"/>
  <c r="AD88" i="161" a="1"/>
  <c r="AC107" i="161" a="1"/>
  <c r="U121" i="161" a="1"/>
  <c r="H40" i="161" a="1"/>
  <c r="V90" i="161" a="1"/>
  <c r="E65" i="161" a="1"/>
  <c r="Z92" i="161" a="1"/>
  <c r="J70" i="161" a="1"/>
  <c r="G92" i="161" a="1"/>
  <c r="M8" i="161" a="1"/>
  <c r="L97" i="161" a="1"/>
  <c r="R29" i="161" a="1"/>
  <c r="U81" i="161" a="1"/>
  <c r="I108" i="161" a="1"/>
  <c r="S48" i="161" a="1"/>
  <c r="M55" i="161" a="1"/>
  <c r="Z21" i="161" a="1"/>
  <c r="AB116" i="161" a="1"/>
  <c r="K107" i="161" a="1"/>
  <c r="Q108" i="161" a="1"/>
  <c r="M43" i="161" a="1"/>
  <c r="X15" i="161" a="1"/>
  <c r="H46" i="161" a="1"/>
  <c r="AE84" i="161" a="1"/>
  <c r="B86" i="161" a="1"/>
  <c r="N92" i="161" a="1"/>
  <c r="J100" i="161" a="1"/>
  <c r="L15" i="161" a="1"/>
  <c r="Z48" i="161" a="1"/>
  <c r="L98" i="161" a="1"/>
  <c r="R49" i="161" a="1"/>
  <c r="AD63" i="161" a="1"/>
  <c r="J3" i="161" a="1"/>
  <c r="Y29" i="161" a="1"/>
  <c r="E73" i="161" a="1"/>
  <c r="AE71" i="161" a="1"/>
  <c r="AE104" i="161" a="1"/>
  <c r="E127" i="161" a="1"/>
  <c r="U130" i="161" a="1"/>
  <c r="Z11" i="161" a="1"/>
  <c r="U18" i="161" a="1"/>
  <c r="H64" i="161" a="1"/>
  <c r="Y12" i="161" a="1"/>
  <c r="S3" i="161" a="1"/>
  <c r="G86" i="161" a="1"/>
  <c r="G44" i="161" a="1"/>
  <c r="Z39" i="161" a="1"/>
  <c r="Q128" i="161" a="1"/>
  <c r="AE75" i="161" a="1"/>
  <c r="K105" i="161" a="1"/>
  <c r="H11" i="161" a="1"/>
  <c r="L85" i="161" a="1"/>
  <c r="K8" i="161" a="1"/>
  <c r="E27" i="161" a="1"/>
  <c r="V36" i="161" a="1"/>
  <c r="Q22" i="161" a="1"/>
  <c r="I72" i="161" a="1"/>
  <c r="I73" i="161" a="1"/>
  <c r="N31" i="161" a="1"/>
  <c r="L89" i="161" a="1"/>
  <c r="L124" i="161" a="1"/>
  <c r="T40" i="161" a="1"/>
  <c r="E29" i="161" a="1"/>
  <c r="B56" i="161" a="1"/>
  <c r="X119" i="161" a="1"/>
  <c r="R69" i="161" a="1"/>
  <c r="E114" i="161" a="1"/>
  <c r="AB71" i="161" a="1"/>
  <c r="Q64" i="161" a="1"/>
  <c r="AD124" i="161" a="1"/>
  <c r="AC48" i="161" a="1"/>
  <c r="AA123" i="161" a="1"/>
  <c r="R9" i="161" a="1"/>
  <c r="L54" i="161" a="1"/>
  <c r="K65" i="161" a="1"/>
  <c r="M116" i="161" a="1"/>
  <c r="B26" i="161" a="1"/>
  <c r="E5" i="161" a="1"/>
  <c r="AC57" i="161" a="1"/>
  <c r="AD77" i="161" a="1"/>
  <c r="V46" i="161" a="1"/>
  <c r="B16" i="161" a="1"/>
  <c r="X89" i="161" a="1"/>
  <c r="S11" i="161" a="1"/>
  <c r="H112" i="161" a="1"/>
  <c r="F62" i="161" a="1"/>
  <c r="X115" i="161" a="1"/>
  <c r="P68" i="161" a="1"/>
  <c r="Q114" i="161" a="1"/>
  <c r="I103" i="161" a="1"/>
  <c r="Y103" i="161" a="1"/>
  <c r="Z8" i="161" a="1"/>
  <c r="K127" i="161" a="1"/>
  <c r="T50" i="161" a="1"/>
  <c r="C23" i="161" a="1"/>
  <c r="V102" i="161" a="1"/>
  <c r="O53" i="161" a="1"/>
  <c r="W110" i="161" a="1"/>
  <c r="Z127" i="161" a="1"/>
  <c r="P80" i="161" a="1"/>
  <c r="L119" i="161" a="1"/>
  <c r="P128" i="161" a="1"/>
  <c r="G42" i="161" a="1"/>
  <c r="C99" i="161" a="1"/>
  <c r="V29" i="161" a="1"/>
  <c r="L21" i="161" a="1"/>
  <c r="U117" i="161" a="1"/>
  <c r="C61" i="161" a="1"/>
  <c r="F104" i="161" a="1"/>
  <c r="R129" i="161" a="1"/>
  <c r="Z19" i="161" a="1"/>
  <c r="E47" i="161" a="1"/>
  <c r="S76" i="161" a="1"/>
  <c r="H3" i="161" a="1"/>
  <c r="N40" i="161" a="1"/>
  <c r="AB132" i="161" a="1"/>
  <c r="I42" i="161" a="1"/>
  <c r="P115" i="161" a="1"/>
  <c r="H85" i="161" a="1"/>
  <c r="C66" i="161" a="1"/>
  <c r="G45" i="161" a="1"/>
  <c r="N4" i="161" a="1"/>
  <c r="E132" i="161" a="1"/>
  <c r="T14" i="161" a="1"/>
  <c r="U128" i="161" a="1"/>
  <c r="W19" i="161" a="1"/>
  <c r="W22" i="161" a="1"/>
  <c r="O80" i="161" a="1"/>
  <c r="W14" i="161" a="1"/>
  <c r="M89" i="161" a="1"/>
  <c r="M4" i="161" a="1"/>
  <c r="S45" i="161" a="1"/>
  <c r="J101" i="161" a="1"/>
  <c r="AD18" i="161" a="1"/>
  <c r="Q38" i="161" a="1"/>
  <c r="Q111" i="161" a="1"/>
  <c r="G122" i="161" a="1"/>
  <c r="H51" i="161" a="1"/>
  <c r="F101" i="161" a="1"/>
  <c r="J61" i="161" a="1"/>
  <c r="H69" i="161" a="1"/>
  <c r="Z124" i="161" a="1"/>
  <c r="E77" i="161" a="1"/>
  <c r="J109" i="161" a="1"/>
  <c r="I69" i="161" a="1"/>
  <c r="D101" i="161" a="1"/>
  <c r="AB93" i="161" a="1"/>
  <c r="AD79" i="161" a="1"/>
  <c r="F84" i="161" a="1"/>
  <c r="R71" i="161" a="1"/>
  <c r="S63" i="161" a="1"/>
  <c r="E89" i="161" a="1"/>
  <c r="AC39" i="161" a="1"/>
  <c r="V82" i="161" a="1"/>
  <c r="M100" i="161" a="1"/>
  <c r="M110" i="161" a="1"/>
  <c r="T44" i="161" a="1"/>
  <c r="U28" i="161" a="1"/>
  <c r="AC134" i="161" a="1"/>
  <c r="M93" i="161" a="1"/>
  <c r="J66" i="161" a="1"/>
  <c r="X10" i="161" a="1"/>
  <c r="E37" i="161" a="1"/>
  <c r="P58" i="161" a="1"/>
  <c r="W133" i="161" a="1"/>
  <c r="K123" i="161" a="1"/>
  <c r="Y98" i="161" a="1"/>
  <c r="X37" i="161" a="1"/>
  <c r="P104" i="161" a="1"/>
  <c r="J76" i="161" a="1"/>
  <c r="D117" i="161" a="1"/>
  <c r="X22" i="161" a="1"/>
  <c r="D81" i="161" a="1"/>
  <c r="AD130" i="161" a="1"/>
  <c r="V43" i="161" a="1"/>
  <c r="X51" i="161" a="1"/>
  <c r="O77" i="161" a="1"/>
  <c r="F129" i="161" a="1"/>
  <c r="N75" i="161" a="1"/>
  <c r="AB36" i="161" a="1"/>
  <c r="L47" i="161" a="1"/>
  <c r="AD80" i="161" a="1"/>
  <c r="AD45" i="161" a="1"/>
  <c r="S132" i="161" a="1"/>
  <c r="AB61" i="161" a="1"/>
  <c r="D61" i="161" a="1"/>
  <c r="X57" i="161" a="1"/>
  <c r="G21" i="161" a="1"/>
  <c r="S25" i="161" a="1"/>
  <c r="U115" i="161" a="1"/>
  <c r="AD3" i="161" a="1"/>
  <c r="M120" i="161" a="1"/>
  <c r="R8" i="161" a="1"/>
  <c r="Y94" i="161" a="1"/>
  <c r="V68" i="161" a="1"/>
  <c r="W43" i="161" a="1"/>
  <c r="N6" i="161" a="1"/>
  <c r="I78" i="161" a="1"/>
  <c r="O70" i="161" a="1"/>
  <c r="AE98" i="161" a="1"/>
  <c r="C27" i="161" a="1"/>
  <c r="L86" i="161" a="1"/>
  <c r="U84" i="161" a="1"/>
  <c r="C112" i="161" a="1"/>
  <c r="AD49" i="161" a="1"/>
  <c r="W79" i="161" a="1"/>
  <c r="C46" i="161" a="1"/>
  <c r="G76" i="161" a="1"/>
  <c r="B37" i="161" a="1"/>
  <c r="G82" i="161" a="1"/>
  <c r="T18" i="161" a="1"/>
  <c r="AC133" i="161" a="1"/>
  <c r="Q106" i="161" a="1"/>
  <c r="J116" i="161" a="1"/>
  <c r="Y69" i="161" a="1"/>
  <c r="V13" i="161" a="1"/>
  <c r="K53" i="161" a="1"/>
  <c r="H56" i="161" a="1"/>
  <c r="P64" i="161" a="1"/>
  <c r="W4" i="161" a="1"/>
  <c r="I109" i="161" a="1"/>
  <c r="U55" i="161" a="1"/>
  <c r="T77" i="161" a="1"/>
  <c r="AD67" i="161" a="1"/>
  <c r="M33" i="161" a="1"/>
  <c r="AA55" i="161" a="1"/>
  <c r="U124" i="161" a="1"/>
  <c r="R51" i="161" a="1"/>
  <c r="T70" i="161" a="1"/>
  <c r="R15" i="161" a="1"/>
  <c r="D21" i="161" a="1"/>
  <c r="O90" i="161" a="1"/>
  <c r="L35" i="161" a="1"/>
  <c r="U100" i="161" a="1"/>
  <c r="Y127" i="161" a="1"/>
  <c r="Z77" i="161" a="1"/>
  <c r="D75" i="161" a="1"/>
  <c r="Z33" i="161" a="1"/>
  <c r="AD41" i="161" a="1"/>
  <c r="R63" i="161" a="1"/>
  <c r="AC125" i="161" a="1"/>
  <c r="F73" i="161" a="1"/>
  <c r="F134" i="161" a="1"/>
  <c r="T83" i="161" a="1"/>
  <c r="J17" i="161" a="1"/>
  <c r="D37" i="161" a="1"/>
  <c r="AE116" i="161" a="1"/>
  <c r="T6" i="161" a="1"/>
  <c r="X94" i="161" a="1"/>
  <c r="AD31" i="161" a="1"/>
  <c r="T42" i="161" a="1"/>
  <c r="D110" i="161" a="1"/>
  <c r="B132" i="161" a="1"/>
  <c r="C49" i="161" a="1"/>
  <c r="J83" i="161" a="1"/>
  <c r="B44" i="161" a="1"/>
  <c r="M82" i="161" a="1"/>
  <c r="R127" i="161" a="1"/>
  <c r="AE30" i="161" a="1"/>
  <c r="T134" i="161" a="1"/>
  <c r="N79" i="161" a="1"/>
  <c r="X19" i="161" a="1"/>
  <c r="AE90" i="161" a="1"/>
  <c r="AC71" i="161" a="1"/>
  <c r="AB66" i="161" a="1"/>
  <c r="I119" i="161" a="1"/>
  <c r="AC99" i="161" a="1"/>
  <c r="P85" i="161" a="1"/>
  <c r="Q102" i="161" a="1"/>
  <c r="L121" i="161" a="1"/>
  <c r="E74" i="161" a="1"/>
  <c r="N64" i="161" a="1"/>
  <c r="O44" i="161" a="1"/>
  <c r="B115" i="161" a="1"/>
  <c r="U91" i="161" a="1"/>
  <c r="U42" i="161" a="1"/>
  <c r="F124" i="161" a="1"/>
  <c r="D12" i="161" a="1"/>
  <c r="M91" i="161" a="1"/>
  <c r="J79" i="161" a="1"/>
  <c r="C111" i="161" a="1"/>
  <c r="D102" i="161" a="1"/>
  <c r="L73" i="161" a="1"/>
  <c r="Q91" i="161" a="1"/>
  <c r="T51" i="161" a="1"/>
  <c r="E10" i="161" a="1"/>
  <c r="Z111" i="161" a="1"/>
  <c r="AB24" i="161" a="1"/>
  <c r="H133" i="161" a="1"/>
  <c r="X104" i="161" a="1"/>
  <c r="V44" i="161" a="1"/>
  <c r="F28" i="161" a="1"/>
  <c r="K63" i="161" a="1"/>
  <c r="E76" i="161" a="1"/>
  <c r="P59" i="161" a="1"/>
  <c r="L127" i="161" a="1"/>
  <c r="K132" i="161" a="1"/>
  <c r="V51" i="161" a="1"/>
  <c r="X41" i="161" a="1"/>
  <c r="R18" i="161" a="1"/>
  <c r="K134" i="161" a="1"/>
  <c r="O8" i="161" a="1"/>
  <c r="B121" i="161" a="1"/>
  <c r="AB131" i="161" a="1"/>
  <c r="J107" i="161" a="1"/>
  <c r="N128" i="161" a="1"/>
  <c r="AA74" i="161" a="1"/>
  <c r="T105" i="161" a="1"/>
  <c r="V79" i="161" a="1"/>
  <c r="G123" i="161" a="1"/>
  <c r="C127" i="161" a="1"/>
  <c r="M123" i="161" a="1"/>
  <c r="N129" i="161" a="1"/>
  <c r="M125" i="161" a="1"/>
  <c r="P96" i="161" a="1"/>
  <c r="I92" i="161" a="1"/>
  <c r="W20" i="161" a="1"/>
  <c r="E66" i="161" a="1"/>
  <c r="U79" i="161" a="1"/>
  <c r="D121" i="161" a="1"/>
  <c r="J34" i="161" a="1"/>
  <c r="U31" i="161" a="1"/>
  <c r="T21" i="161" a="1"/>
  <c r="J122" i="161" a="1"/>
  <c r="H59" i="161" a="1"/>
  <c r="E83" i="161" a="1"/>
  <c r="AB9" i="161" a="1"/>
  <c r="J64" i="161" a="1"/>
  <c r="H107" i="161" a="1"/>
  <c r="E30" i="161" a="1"/>
  <c r="O55" i="161" a="1"/>
  <c r="G55" i="161" a="1"/>
  <c r="C45" i="161" a="1"/>
  <c r="O62" i="161" a="1"/>
  <c r="G8" i="161" a="1"/>
  <c r="C44" i="161" a="1"/>
  <c r="N122" i="161" a="1"/>
  <c r="Z117" i="161" a="1"/>
  <c r="O73" i="161" a="1"/>
  <c r="M64" i="161" a="1"/>
  <c r="U87" i="161" a="1"/>
  <c r="H7" i="161" a="1"/>
  <c r="X87" i="161" a="1"/>
  <c r="C38" i="161" a="1"/>
  <c r="H132" i="161" a="1"/>
  <c r="K52" i="161" a="1"/>
  <c r="R21" i="161" a="1"/>
  <c r="N50" i="161" a="1"/>
  <c r="E133" i="161" a="1"/>
  <c r="U101" i="161" a="1"/>
  <c r="F133" i="161" a="1"/>
  <c r="Z126" i="161" a="1"/>
  <c r="P19" i="161" a="1"/>
  <c r="J5" i="161" a="1"/>
  <c r="I133" i="161" a="1"/>
  <c r="H80" i="161" a="1"/>
  <c r="Z75" i="161" a="1"/>
  <c r="Q15" i="161" a="1"/>
  <c r="E23" i="161" a="1"/>
  <c r="R13" i="161" a="1"/>
  <c r="R24" i="161" a="1"/>
  <c r="P18" i="161" a="1"/>
  <c r="Q6" i="161" a="1"/>
  <c r="W102" i="161" a="1"/>
  <c r="O97" i="161" a="1"/>
  <c r="V26" i="161" a="1"/>
  <c r="B50" i="161" a="1"/>
  <c r="AC7" i="161" a="1"/>
  <c r="F18" i="161" a="1"/>
  <c r="L134" i="161" a="1"/>
  <c r="U48" i="161" a="1"/>
  <c r="I20" i="161" a="1"/>
  <c r="AC3" i="161" a="1"/>
  <c r="O48" i="161" a="1"/>
  <c r="AA86" i="161" a="1"/>
  <c r="AC6" i="161" a="1"/>
  <c r="C86" i="161" a="1"/>
  <c r="AD50" i="161" a="1"/>
  <c r="AA93" i="161" a="1"/>
  <c r="B35" i="161" a="1"/>
  <c r="AC104" i="161" a="1"/>
  <c r="O86" i="161" a="1"/>
  <c r="Z102" i="161" a="1"/>
  <c r="AC25" i="161" a="1"/>
  <c r="AD15" i="161" a="1"/>
  <c r="O23" i="161" a="1"/>
  <c r="S29" i="161" a="1"/>
  <c r="U30" i="161" a="1"/>
  <c r="R86" i="161" a="1"/>
  <c r="B92" i="161" a="1"/>
  <c r="T22" i="161" a="1"/>
  <c r="H53" i="161" a="1"/>
  <c r="W109" i="161" a="1"/>
  <c r="O100" i="161" a="1"/>
  <c r="S4" i="161" a="1"/>
  <c r="G108" i="161" a="1"/>
  <c r="B99" i="161" a="1"/>
  <c r="I121" i="161" a="1"/>
  <c r="Y89" i="161" a="1"/>
  <c r="P38" i="161" a="1"/>
  <c r="E125" i="161" a="1"/>
  <c r="AC41" i="161" a="1"/>
  <c r="U47" i="161" a="1"/>
  <c r="Y114" i="161" a="1"/>
  <c r="E6" i="161" a="1"/>
  <c r="W72" i="161" a="1"/>
  <c r="AB22" i="161" a="1"/>
  <c r="X88" i="161" a="1"/>
  <c r="I46" i="161" a="1"/>
  <c r="AD66" i="161" a="1"/>
  <c r="N16" i="161" a="1"/>
  <c r="V101" i="161" a="1"/>
  <c r="G94" i="161" a="1"/>
  <c r="I47" i="161" a="1"/>
  <c r="P71" i="161" a="1"/>
  <c r="Z3" i="161" a="1"/>
  <c r="H19" i="161" a="1"/>
  <c r="Y5" i="161" a="1"/>
  <c r="E80" i="161" a="1"/>
  <c r="S20" i="161" a="1"/>
  <c r="H90" i="161" a="1"/>
  <c r="O130" i="161" a="1"/>
  <c r="V59" i="161" a="1"/>
  <c r="X16" i="161" a="1"/>
  <c r="AC75" i="161" a="1"/>
  <c r="AA52" i="161" a="1"/>
  <c r="J121" i="161" a="1"/>
  <c r="T35" i="161" a="1"/>
  <c r="Q35" i="161" a="1"/>
  <c r="J16" i="161" a="1"/>
  <c r="B130" i="161" a="1"/>
  <c r="I48" i="161" a="1"/>
  <c r="AB119" i="161" a="1"/>
  <c r="T92" i="161" a="1"/>
  <c r="O79" i="161" a="1"/>
  <c r="AE74" i="161" a="1"/>
  <c r="Z82" i="161" a="1"/>
  <c r="D35" i="161" a="1"/>
  <c r="X117" i="161" a="1"/>
  <c r="L56" i="161" a="1"/>
  <c r="L75" i="161" a="1"/>
  <c r="V62" i="161" a="1"/>
  <c r="I83" i="161" a="1"/>
  <c r="D15" i="161" a="1"/>
  <c r="AE18" i="161" a="1"/>
  <c r="S108" i="161" a="1"/>
  <c r="V15" i="161" a="1"/>
  <c r="V131" i="161" a="1"/>
  <c r="R16" i="161" a="1"/>
  <c r="L115" i="161" a="1"/>
  <c r="G38" i="161" a="1"/>
  <c r="AA23" i="161" a="1"/>
  <c r="C25" i="161" a="1"/>
  <c r="R33" i="161" a="1"/>
  <c r="Z104" i="161" a="1"/>
  <c r="M133" i="161" a="1"/>
  <c r="S84" i="161" a="1"/>
  <c r="M134" i="161" a="1"/>
  <c r="P15" i="161" a="1"/>
  <c r="L126" i="161" a="1"/>
  <c r="T20" i="161" a="1"/>
  <c r="B82" i="161" a="1"/>
  <c r="N59" i="161" a="1"/>
  <c r="AC10" i="161" a="1"/>
  <c r="W12" i="161" a="1"/>
  <c r="T121" i="161" a="1"/>
  <c r="Q121" i="161" a="1"/>
  <c r="B80" i="161" a="1"/>
  <c r="L107" i="161" a="1"/>
  <c r="I59" i="161" a="1"/>
  <c r="Y32" i="161" a="1"/>
  <c r="AE24" i="161" a="1"/>
  <c r="P50" i="161" a="1"/>
  <c r="X47" i="161" a="1"/>
  <c r="AD92" i="161" a="1"/>
  <c r="P30" i="161" a="1"/>
  <c r="D77" i="161" a="1"/>
  <c r="I24" i="161" a="1"/>
  <c r="C120" i="161" a="1"/>
  <c r="Y122" i="161" a="1"/>
  <c r="AD53" i="161" a="1"/>
  <c r="U53" i="161" a="1"/>
  <c r="P26" i="161" a="1"/>
  <c r="N45" i="161" a="1"/>
  <c r="X95" i="161" a="1"/>
  <c r="AB26" i="161" a="1"/>
  <c r="U52" i="161" a="1"/>
  <c r="S43" i="161" a="1"/>
  <c r="AC120" i="161" a="1"/>
  <c r="O113" i="161" a="1"/>
  <c r="J48" i="161" a="1"/>
  <c r="W58" i="161" a="1"/>
  <c r="AC16" i="161" a="1"/>
  <c r="O16" i="161" a="1"/>
  <c r="W112" i="161" a="1"/>
  <c r="AE38" i="161" a="1"/>
  <c r="R91" i="161" a="1"/>
  <c r="J89" i="161" a="1"/>
  <c r="Z32" i="161" a="1"/>
  <c r="V28" i="161" a="1"/>
  <c r="C57" i="161" a="1"/>
  <c r="D124" i="161" a="1"/>
  <c r="F31" i="161" a="1"/>
  <c r="AB105" i="161" a="1"/>
  <c r="L38" i="161" a="1"/>
  <c r="L118" i="161" a="1"/>
  <c r="K60" i="161" a="1"/>
  <c r="Z130" i="161" a="1"/>
  <c r="AB101" i="161" a="1"/>
  <c r="J104" i="161" a="1"/>
  <c r="AB96" i="161" a="1"/>
  <c r="W104" i="161" a="1"/>
  <c r="T29" i="161" a="1"/>
  <c r="AD131" i="161" a="1"/>
  <c r="I124" i="161" a="1"/>
  <c r="F96" i="161" a="1"/>
  <c r="C59" i="161" a="1"/>
  <c r="Z55" i="161" a="1"/>
  <c r="M106" i="161" a="1"/>
  <c r="K121" i="161" a="1"/>
  <c r="G39" i="161" a="1"/>
  <c r="C20" i="161" a="1"/>
  <c r="O45" i="161" a="1"/>
  <c r="AA97" i="161" a="1"/>
  <c r="D113" i="161" a="1"/>
  <c r="AE133" i="161" a="1"/>
  <c r="Y66" i="161" a="1"/>
  <c r="AE31" i="161" a="1"/>
  <c r="G58" i="161" a="1"/>
  <c r="AA114" i="161" a="1"/>
  <c r="AC51" i="161" a="1"/>
  <c r="Q115" i="161" a="1"/>
  <c r="R105" i="161" a="1"/>
  <c r="B72" i="161" a="1"/>
  <c r="B24" i="161" a="1"/>
  <c r="W103" i="161" a="1"/>
  <c r="O93" i="161" a="1"/>
  <c r="AE17" i="161" a="1"/>
  <c r="Y59" i="161" a="1"/>
  <c r="Z4" i="161" a="1"/>
  <c r="AD84" i="161" a="1"/>
  <c r="U36" i="161" a="1"/>
  <c r="W50" i="161" a="1"/>
  <c r="D56" i="161" a="1"/>
  <c r="D14" i="161" a="1"/>
  <c r="P81" i="161" a="1"/>
  <c r="AB64" i="161" a="1"/>
  <c r="AB104" i="161" a="1"/>
  <c r="P75" i="161" a="1"/>
  <c r="AC111" i="161" a="1"/>
  <c r="AD134" i="161" a="1"/>
  <c r="M129" i="161" a="1"/>
  <c r="Y109" i="161" a="1"/>
  <c r="Q74" i="161" a="1"/>
  <c r="I89" i="161" a="1"/>
  <c r="C82" i="161" a="1"/>
  <c r="D105" i="161" a="1"/>
  <c r="AA115" i="161" a="1"/>
  <c r="X91" i="161" a="1"/>
  <c r="Z95" i="161" a="1"/>
  <c r="R89" i="161" a="1"/>
  <c r="I8" i="161" a="1"/>
  <c r="N48" i="161" a="1"/>
  <c r="AD89" i="161" a="1"/>
  <c r="G69" i="161" a="1"/>
  <c r="Q69" i="161" a="1"/>
  <c r="D50" i="161" a="1"/>
  <c r="R47" i="161" a="1"/>
  <c r="AD34" i="161" a="1"/>
  <c r="K12" i="161" a="1"/>
  <c r="AC12" i="161" a="1"/>
  <c r="L83" i="161" a="1"/>
  <c r="N36" i="161" a="1"/>
  <c r="L61" i="161" a="1"/>
  <c r="X112" i="161" a="1"/>
  <c r="W54" i="161" a="1"/>
  <c r="E98" i="161" a="1"/>
  <c r="G4" i="161" a="1"/>
  <c r="J99" i="161" a="1"/>
  <c r="U50" i="161" a="1"/>
  <c r="G129" i="161" a="1"/>
  <c r="U92" i="161" a="1"/>
  <c r="C124" i="161" a="1"/>
  <c r="W21" i="161" a="1"/>
  <c r="J77" i="161" a="1"/>
  <c r="AA43" i="161" a="1"/>
  <c r="Z107" i="161" a="1"/>
  <c r="H101" i="161" a="1"/>
  <c r="C105" i="161" a="1"/>
  <c r="AC85" i="161" a="1"/>
  <c r="G12" i="161" a="1"/>
  <c r="Z15" i="161" a="1"/>
  <c r="U62" i="161" a="1"/>
  <c r="C104" i="161" a="1"/>
  <c r="K75" i="161" a="1"/>
  <c r="C92" i="161" a="1"/>
  <c r="Q19" i="161" a="1"/>
  <c r="M112" i="161" a="1"/>
  <c r="M51" i="161" a="1"/>
  <c r="AB28" i="161" a="1"/>
  <c r="AA30" i="161" a="1"/>
  <c r="Q118" i="161" a="1"/>
  <c r="B18" i="161" a="1"/>
  <c r="O58" i="161" a="1"/>
  <c r="AB99" i="161" a="1"/>
  <c r="G30" i="161" a="1"/>
  <c r="N83" i="161" a="1"/>
  <c r="N42" i="161" a="1"/>
  <c r="AD121" i="161" a="1"/>
  <c r="AA107" i="161" a="1"/>
  <c r="L93" i="161" a="1"/>
  <c r="R52" i="161" a="1"/>
  <c r="AB130" i="161" a="1"/>
  <c r="Q20" i="161" a="1"/>
  <c r="F50" i="161" a="1"/>
  <c r="H39" i="161" a="1"/>
  <c r="F111" i="161" a="1"/>
  <c r="C133" i="161" a="1"/>
  <c r="I58" i="161" a="1"/>
  <c r="K92" i="161" a="1"/>
  <c r="AE67" i="161" a="1"/>
  <c r="X131" i="161" a="1"/>
  <c r="R78" i="161" a="1"/>
  <c r="B63" i="161" a="1"/>
  <c r="H76" i="161" a="1"/>
  <c r="M130" i="161" a="1"/>
  <c r="F97" i="161" a="1"/>
  <c r="Y18" i="161" a="1"/>
  <c r="Y20" i="161" a="1"/>
  <c r="F127" i="161" a="1"/>
  <c r="N61" i="161" a="1"/>
  <c r="U86" i="161" a="1"/>
  <c r="AA49" i="161" a="1"/>
  <c r="AD7" i="161" a="1"/>
  <c r="U40" i="161" a="1"/>
  <c r="H62" i="161" a="1"/>
  <c r="T41" i="161" a="1"/>
  <c r="AC5" i="161" a="1"/>
  <c r="V12" i="161" a="1"/>
  <c r="AB120" i="161" a="1"/>
  <c r="M107" i="161" a="1"/>
  <c r="W80" i="161" a="1"/>
  <c r="D8" i="161" a="1"/>
  <c r="AA9" i="161" a="1"/>
  <c r="X90" i="161" a="1"/>
  <c r="AB86" i="161" a="1"/>
  <c r="X111" i="161" a="1"/>
  <c r="AB80" i="161" a="1"/>
  <c r="G84" i="161" a="1"/>
  <c r="F112" i="161" a="1"/>
  <c r="AD17" i="161" a="1"/>
  <c r="V105" i="161" a="1"/>
  <c r="M18" i="161" a="1"/>
  <c r="Q5" i="161" a="1"/>
  <c r="Z114" i="161" a="1"/>
  <c r="X42" i="161" a="1"/>
  <c r="AE52" i="161" a="1"/>
  <c r="AD4" i="161" a="1"/>
  <c r="O21" i="161" a="1"/>
  <c r="B104" i="161" a="1"/>
  <c r="R23" i="161" a="1"/>
  <c r="W78" i="161" a="1"/>
  <c r="AA96" i="161" a="1"/>
  <c r="T89" i="161" a="1"/>
  <c r="J50" i="161" a="1"/>
  <c r="U90" i="161" a="1"/>
  <c r="AA120" i="161" a="1"/>
  <c r="D122" i="161" a="1"/>
  <c r="S97" i="161" a="1"/>
  <c r="M99" i="161" a="1"/>
  <c r="AE76" i="161" a="1"/>
  <c r="AC70" i="161" a="1"/>
  <c r="U104" i="161" a="1"/>
  <c r="Y101" i="161" a="1"/>
  <c r="M72" i="161" a="1"/>
  <c r="AE37" i="161" a="1"/>
  <c r="Q26" i="161" a="1"/>
  <c r="O88" i="161" a="1"/>
  <c r="Q120" i="161" a="1"/>
  <c r="Q78" i="161" a="1"/>
  <c r="U129" i="161" a="1"/>
  <c r="F76" i="161" a="1"/>
  <c r="O33" i="161" a="1"/>
  <c r="P48" i="161" a="1"/>
  <c r="Y82" i="161" a="1"/>
  <c r="Y119" i="161" a="1"/>
  <c r="AC36" i="161" a="1"/>
  <c r="M35" i="161" a="1"/>
  <c r="Z51" i="161" a="1"/>
  <c r="B95" i="161" a="1"/>
  <c r="G52" i="161" a="1"/>
  <c r="X126" i="161" a="1"/>
  <c r="B124" i="161" a="1"/>
  <c r="F90" i="161" a="1"/>
  <c r="X54" i="161" a="1"/>
  <c r="O126" i="161" a="1"/>
  <c r="H17" i="161" a="1"/>
  <c r="AE124" i="161" a="1"/>
  <c r="T87" i="161" a="1"/>
  <c r="E102" i="161" a="1"/>
  <c r="Y34" i="161" a="1"/>
  <c r="F43" i="161" a="1"/>
  <c r="Q13" i="161" a="1"/>
  <c r="S36" i="161" a="1"/>
  <c r="Q18" i="161" a="1"/>
  <c r="AC67" i="161" a="1"/>
  <c r="Z106" i="161" a="1"/>
  <c r="Z115" i="161" a="1"/>
  <c r="T33" i="161" a="1"/>
  <c r="F72" i="161" a="1"/>
  <c r="H92" i="161" a="1"/>
  <c r="E82" i="161" a="1"/>
  <c r="K93" i="161" a="1"/>
  <c r="V123" i="161" a="1"/>
  <c r="Q101" i="161" a="1"/>
  <c r="N60" i="161" a="1"/>
  <c r="B40" i="161" a="1"/>
  <c r="B110" i="161" a="1"/>
  <c r="L26" i="161" a="1"/>
  <c r="R81" i="161" a="1"/>
  <c r="I43" i="161" a="1"/>
  <c r="W91" i="161" a="1"/>
  <c r="AA17" i="161" a="1"/>
  <c r="R25" i="161" a="1"/>
  <c r="H117" i="161" a="1"/>
  <c r="F110" i="161" a="1"/>
  <c r="W18" i="161" a="1"/>
  <c r="G29" i="161" a="1"/>
  <c r="T32" i="161" a="1"/>
  <c r="Z87" i="161" a="1"/>
  <c r="AA39" i="161" a="1"/>
  <c r="M115" i="161" a="1"/>
  <c r="Y64" i="161" a="1"/>
  <c r="W32" i="161" a="1"/>
  <c r="V11" i="161" a="1"/>
  <c r="AC91" i="161" a="1"/>
  <c r="W111" i="161" a="1"/>
  <c r="W63" i="161" a="1"/>
  <c r="C48" i="161" a="1"/>
  <c r="S21" i="161" a="1"/>
  <c r="Z99" i="161" a="1"/>
  <c r="K81" i="161" a="1"/>
  <c r="K41" i="161" a="1"/>
  <c r="Y131" i="161" a="1"/>
  <c r="AA64" i="161" a="1"/>
  <c r="O91" i="161" a="1"/>
  <c r="O94" i="161" a="1"/>
  <c r="AD69" i="161" a="1"/>
  <c r="X83" i="161" a="1"/>
  <c r="AE96" i="161" a="1"/>
  <c r="V18" i="161" a="1"/>
  <c r="J14" i="161" a="1"/>
  <c r="E48" i="161" a="1"/>
  <c r="L33" i="161" a="1"/>
  <c r="AC18" i="161" a="1"/>
  <c r="S16" i="161" a="1"/>
  <c r="D59" i="161" a="1"/>
  <c r="H124" i="161" a="1"/>
  <c r="Z129" i="161" a="1"/>
  <c r="B46" i="161" a="1"/>
  <c r="M76" i="161" a="1"/>
  <c r="U120" i="161" a="1"/>
  <c r="L78" i="161" a="1"/>
  <c r="Z97" i="161" a="1"/>
  <c r="E103" i="161" a="1"/>
  <c r="P127" i="161" a="1"/>
  <c r="Q12" i="161" a="1"/>
  <c r="K37" i="161" a="1"/>
  <c r="J56" i="161" a="1"/>
  <c r="S7" i="161" a="1"/>
  <c r="C35" i="161" a="1"/>
  <c r="J132" i="161" a="1"/>
  <c r="F49" i="161" a="1"/>
  <c r="AB124" i="161" a="1"/>
  <c r="K17" i="161" a="1"/>
  <c r="W41" i="161" a="1"/>
  <c r="I80" i="161" a="1"/>
  <c r="Q47" i="161" a="1"/>
  <c r="H127" i="161" a="1"/>
  <c r="AE39" i="161" a="1"/>
  <c r="D36" i="161" a="1"/>
  <c r="F63" i="161" a="1"/>
  <c r="R14" i="161" a="1"/>
  <c r="C71" i="161" a="1"/>
  <c r="H82" i="161" a="1"/>
  <c r="U68" i="161" a="1"/>
  <c r="K88" i="161" a="1"/>
  <c r="X133" i="161" a="1"/>
  <c r="P31" i="161" a="1"/>
  <c r="U70" i="161" a="1"/>
  <c r="M20" i="161" a="1"/>
  <c r="S59" i="161" a="1"/>
  <c r="AE87" i="161" a="1"/>
  <c r="Z62" i="161" a="1"/>
  <c r="E44" i="161" a="1"/>
  <c r="C24" i="161" a="1"/>
  <c r="U38" i="161" a="1"/>
  <c r="K67" i="161" a="1"/>
  <c r="F47" i="161" a="1"/>
  <c r="I85" i="161" a="1"/>
  <c r="C4" i="161" a="1"/>
  <c r="T81" i="161" a="1"/>
  <c r="Y33" i="161" a="1"/>
  <c r="U123" i="161" a="1"/>
  <c r="AB108" i="161" a="1"/>
  <c r="K39" i="161" a="1"/>
  <c r="Q129" i="161" a="1"/>
  <c r="O121" i="161" a="1"/>
  <c r="R87" i="161" a="1"/>
  <c r="M9" i="161" a="1"/>
  <c r="AB114" i="161" a="1"/>
  <c r="V74" i="161" a="1"/>
  <c r="AD99" i="161" a="1"/>
  <c r="M117" i="161" a="1"/>
  <c r="M101" i="161" a="1"/>
  <c r="T95" i="161" a="1"/>
  <c r="W8" i="161" a="1"/>
  <c r="Z103" i="161" a="1"/>
  <c r="AA73" i="161" a="1"/>
  <c r="K36" i="161" a="1"/>
  <c r="B17" i="161" a="1"/>
  <c r="V78" i="161" a="1"/>
  <c r="AB103" i="161" a="1"/>
  <c r="R12" i="161" a="1"/>
  <c r="X71" i="161" a="1"/>
  <c r="N49" i="161" a="1"/>
  <c r="I32" i="161" a="1"/>
  <c r="N74" i="161" a="1"/>
  <c r="T98" i="161" a="1"/>
  <c r="AB69" i="161" a="1"/>
  <c r="E130" i="161" a="1"/>
  <c r="AA80" i="161" a="1"/>
  <c r="B27" i="161" a="1"/>
  <c r="Q30" i="161" a="1"/>
  <c r="O49" i="161" a="1"/>
  <c r="Y4" i="161" a="1"/>
  <c r="P67" i="161" a="1"/>
  <c r="N20" i="161" a="1"/>
  <c r="AC92" i="161" a="1"/>
  <c r="V49" i="161" a="1"/>
  <c r="B112" i="161" a="1"/>
  <c r="W67" i="161" a="1"/>
  <c r="N93" i="161" a="1"/>
  <c r="AC56" i="161" a="1"/>
  <c r="Y88" i="161" a="1"/>
  <c r="AB23" i="161" a="1"/>
  <c r="G33" i="161" a="1"/>
  <c r="W115" i="161" a="1"/>
  <c r="L7" i="161" a="1"/>
  <c r="V84" i="161" a="1"/>
  <c r="AA126" i="161" a="1"/>
  <c r="Z128" i="161" a="1"/>
  <c r="E45" i="161" a="1"/>
  <c r="Y13" i="161" a="1"/>
  <c r="P119" i="161" a="1"/>
  <c r="L125" i="161" a="1"/>
  <c r="W118" i="161" a="1"/>
  <c r="AC22" i="161" a="1"/>
  <c r="Q45" i="161" a="1"/>
  <c r="T117" i="161" a="1"/>
  <c r="AA33" i="161" a="1"/>
  <c r="S26" i="161" a="1"/>
  <c r="H38" i="161" a="1"/>
  <c r="P118" i="161" a="1"/>
  <c r="B51" i="161" a="1"/>
  <c r="Q25" i="161" a="1"/>
  <c r="G81" i="161" a="1"/>
  <c r="C89" i="161" a="1"/>
  <c r="J19" i="161" a="1"/>
  <c r="F109" i="161" a="1"/>
  <c r="U122" i="161" a="1"/>
  <c r="B81" i="161" a="1"/>
  <c r="AE134" i="161" a="1"/>
  <c r="B22" i="161" a="1"/>
  <c r="E55" i="161" a="1"/>
  <c r="L10" i="161" a="1"/>
  <c r="U108" i="161" a="1"/>
  <c r="Q44" i="161" a="1"/>
  <c r="S47" i="161" a="1"/>
  <c r="J49" i="161" a="1"/>
  <c r="F10" i="161" a="1"/>
  <c r="AD6" i="161" a="1"/>
  <c r="Q67" i="161" a="1"/>
  <c r="X26" i="161" a="1"/>
  <c r="P47" i="161" a="1"/>
  <c r="K95" i="161" a="1"/>
  <c r="P93" i="161" a="1"/>
  <c r="W36" i="161" a="1"/>
  <c r="U69" i="161" a="1"/>
  <c r="I11" i="161" a="1"/>
  <c r="T100" i="161" a="1"/>
  <c r="C87" i="161" a="1"/>
  <c r="Q7" i="161" a="1"/>
  <c r="V133" i="161" a="1"/>
  <c r="R53" i="161" a="1"/>
  <c r="R121" i="161" a="1"/>
  <c r="S113" i="161" a="1"/>
  <c r="E13" i="161" a="1"/>
  <c r="K78" i="161" a="1"/>
  <c r="AB87" i="161" a="1"/>
  <c r="I95" i="161" a="1"/>
  <c r="AD111" i="161" a="1"/>
  <c r="L51" i="161" a="1"/>
  <c r="W93" i="161" a="1"/>
  <c r="N26" i="161" a="1"/>
  <c r="AA45" i="161" a="1"/>
  <c r="B117" i="161" a="1"/>
  <c r="W42" i="161" a="1"/>
  <c r="L103" i="161" a="1"/>
  <c r="F89" i="161" a="1"/>
  <c r="S61" i="161" a="1"/>
  <c r="F69" i="161" a="1"/>
  <c r="E19" i="161" a="1"/>
  <c r="T125" i="161" a="1"/>
  <c r="R37" i="161" a="1"/>
  <c r="P74" i="161" a="1"/>
  <c r="J44" i="161" a="1"/>
  <c r="AC113" i="161" a="1"/>
  <c r="AA38" i="161" a="1"/>
  <c r="AE70" i="161" a="1"/>
  <c r="AE111" i="161" a="1"/>
  <c r="L99" i="161" a="1"/>
  <c r="AE132" i="161" a="1"/>
  <c r="Z36" i="161" a="1"/>
  <c r="AD101" i="161" a="1"/>
  <c r="P9" i="161" a="1"/>
  <c r="S56" i="161" a="1"/>
  <c r="J71" i="161" a="1"/>
  <c r="G88" i="161" a="1"/>
  <c r="B106" i="161" a="1"/>
  <c r="M21" i="161" a="1"/>
  <c r="T36" i="161" a="1"/>
  <c r="AC65" i="161" a="1"/>
  <c r="W106" i="161" a="1"/>
  <c r="AD21" i="161" a="1"/>
  <c r="S51" i="161" a="1"/>
  <c r="V4" i="161" a="1"/>
  <c r="M128" i="161" a="1"/>
  <c r="AE128" i="161" a="1"/>
  <c r="C63" i="161" a="1"/>
  <c r="X98" i="161" a="1"/>
  <c r="V96" i="161" a="1"/>
  <c r="F60" i="161" a="1"/>
  <c r="U24" i="161" a="1"/>
  <c r="O17" i="161" a="1"/>
  <c r="M32" i="161" a="1"/>
  <c r="Q116" i="161" a="1"/>
  <c r="M98" i="161" a="1"/>
  <c r="K46" i="161" a="1"/>
  <c r="I41" i="161" a="1"/>
  <c r="B59" i="161" a="1"/>
  <c r="P95" i="161" a="1"/>
  <c r="S103" i="161" a="1"/>
  <c r="S49" i="161" a="1"/>
  <c r="T58" i="161" a="1"/>
  <c r="L44" i="161" a="1"/>
  <c r="K87" i="161" a="1"/>
  <c r="B120" i="161" a="1"/>
  <c r="K61" i="161" a="1"/>
  <c r="M24" i="161" a="1"/>
  <c r="D114" i="161" a="1"/>
  <c r="M97" i="161" a="1"/>
  <c r="F128" i="161" a="1"/>
  <c r="AA34" i="161" a="1"/>
  <c r="Y116" i="161" a="1"/>
  <c r="O95" i="161" a="1"/>
  <c r="K125" i="161" a="1"/>
  <c r="B3" i="161" a="1"/>
  <c r="M108" i="161" a="1"/>
  <c r="H29" i="161" a="1"/>
  <c r="X60" i="161" a="1"/>
  <c r="D25" i="161" a="1"/>
  <c r="U5" i="161" a="1"/>
  <c r="S35" i="161" a="1"/>
  <c r="AD127" i="161" a="1"/>
  <c r="N84" i="161" a="1"/>
  <c r="AB94" i="161" a="1"/>
  <c r="B133" i="161" a="1"/>
  <c r="L72" i="161" a="1"/>
  <c r="Q56" i="161" a="1"/>
  <c r="M17" i="161" a="1"/>
  <c r="K113" i="161" a="1"/>
  <c r="C54" i="161" a="1"/>
  <c r="D79" i="161" a="1"/>
  <c r="U21" i="161" a="1"/>
  <c r="K30" i="161" a="1"/>
  <c r="O75" i="161" a="1"/>
  <c r="S115" i="161" a="1"/>
  <c r="E4" i="161" a="1"/>
  <c r="C68" i="161" a="1"/>
  <c r="G19" i="161" a="1"/>
  <c r="L23" i="161" a="1"/>
  <c r="AD132" i="161" a="1"/>
  <c r="R79" i="161" a="1"/>
  <c r="R6" i="161" a="1"/>
  <c r="U4" i="161" a="1"/>
  <c r="P89" i="161" a="1"/>
  <c r="P109" i="161" a="1"/>
  <c r="AE101" i="161" a="1"/>
  <c r="AC123" i="161" a="1"/>
  <c r="D96" i="161" a="1"/>
  <c r="Z88" i="161" a="1"/>
  <c r="I52" i="161" a="1"/>
  <c r="O32" i="161" a="1"/>
  <c r="V50" i="161" a="1"/>
  <c r="B11" i="161" a="1"/>
  <c r="P3" i="161" a="1"/>
  <c r="V67" i="161" a="1"/>
  <c r="AE8" i="161" a="1"/>
  <c r="AD108" i="161" a="1"/>
  <c r="O119" i="161" a="1"/>
  <c r="S65" i="161" a="1"/>
  <c r="Q63" i="161" a="1"/>
  <c r="U9" i="161" a="1"/>
  <c r="C109" i="161" a="1"/>
  <c r="H57" i="161" a="1"/>
  <c r="E117" i="161" a="1"/>
  <c r="W134" i="161" a="1"/>
  <c r="F100" i="161" a="1"/>
  <c r="AC115" i="161" a="1"/>
  <c r="H63" i="161" a="1"/>
  <c r="S105" i="161" a="1"/>
  <c r="V126" i="161" a="1"/>
  <c r="H128" i="161" a="1"/>
  <c r="J75" i="161" a="1"/>
  <c r="J103" i="161" a="1"/>
  <c r="Y71" i="161" a="1"/>
  <c r="K106" i="161" a="1"/>
  <c r="P99" i="161" a="1"/>
  <c r="N35" i="161" a="1"/>
  <c r="P91" i="161" a="1"/>
  <c r="U113" i="161" a="1"/>
  <c r="D32" i="161" a="1"/>
  <c r="W69" i="161" a="1"/>
  <c r="AC61" i="161" a="1"/>
  <c r="U96" i="161" a="1"/>
  <c r="D98" i="161" a="1"/>
  <c r="B127" i="161" a="1"/>
  <c r="U125" i="161" a="1"/>
  <c r="AA109" i="161" a="1"/>
  <c r="V120" i="161" a="1"/>
  <c r="AA16" i="161" a="1"/>
  <c r="V92" i="161" a="1"/>
  <c r="V116" i="161" a="1"/>
  <c r="F131" i="161" a="1"/>
  <c r="F30" i="161" a="1"/>
  <c r="H48" i="161" a="1"/>
  <c r="I86" i="161" a="1"/>
  <c r="G98" i="161" a="1"/>
  <c r="R131" i="161" a="1"/>
  <c r="AB12" i="161" a="1"/>
  <c r="Z25" i="161" a="1"/>
  <c r="F44" i="161" a="1"/>
  <c r="S92" i="161" a="1"/>
  <c r="Y84" i="161" a="1"/>
  <c r="R45" i="161" a="1"/>
  <c r="O27" i="161" a="1"/>
  <c r="L48" i="161" a="1"/>
  <c r="H65" i="161" a="1"/>
  <c r="X64" i="161" a="1"/>
  <c r="I4" i="161" a="1"/>
  <c r="C11" i="161" a="1"/>
  <c r="AA57" i="161" a="1"/>
  <c r="J12" i="161" a="1"/>
  <c r="O131" i="161" a="1"/>
  <c r="AB98" i="161" a="1"/>
  <c r="AC52" i="161" a="1"/>
  <c r="AB7" i="161" a="1"/>
  <c r="AA54" i="161" a="1"/>
  <c r="AA13" i="161" a="1"/>
  <c r="Y92" i="161" a="1"/>
  <c r="AD11" i="161" a="1"/>
  <c r="Y44" i="161" a="1"/>
  <c r="L46" i="161" a="1"/>
  <c r="F67" i="161" a="1"/>
  <c r="AE108" i="161" a="1"/>
  <c r="AA119" i="161" a="1"/>
  <c r="Q127" i="161" a="1"/>
  <c r="D18" i="161" a="1"/>
  <c r="X24" i="161" a="1"/>
  <c r="AD129" i="161" a="1"/>
  <c r="J108" i="161" a="1"/>
  <c r="H9" i="161" a="1"/>
  <c r="T85" i="161" a="1"/>
  <c r="Z89" i="161" a="1"/>
  <c r="C13" i="161" a="1"/>
  <c r="Y73" i="161" a="1"/>
  <c r="AB112" i="161" a="1"/>
  <c r="AD57" i="161" a="1"/>
  <c r="AC37" i="161" a="1"/>
  <c r="Y48" i="161" a="1"/>
  <c r="S32" i="161" a="1"/>
  <c r="P10" i="161" a="1"/>
  <c r="Q16" i="161" a="1"/>
  <c r="C62" i="161" a="1"/>
  <c r="D68" i="161" a="1"/>
  <c r="X46" i="161" a="1"/>
  <c r="R58" i="161" a="1"/>
  <c r="T7" i="161" a="1"/>
  <c r="O78" i="161" a="1"/>
  <c r="B113" i="161" a="1"/>
  <c r="E87" i="161" a="1"/>
  <c r="T57" i="161" a="1"/>
  <c r="D48" i="161" a="1"/>
  <c r="D29" i="161" a="1"/>
  <c r="M95" i="161" a="1"/>
  <c r="W121" i="161" a="1"/>
  <c r="T31" i="161" a="1"/>
  <c r="G26" i="161" a="1"/>
  <c r="F68" i="161" a="1"/>
  <c r="Z27" i="161" a="1"/>
  <c r="S99" i="161" a="1"/>
  <c r="R120" i="161" a="1"/>
  <c r="M50" i="161" a="1"/>
  <c r="X25" i="161" a="1"/>
  <c r="L128" i="161" a="1"/>
  <c r="N63" i="161" a="1"/>
  <c r="K98" i="161" a="1"/>
  <c r="AC9" i="161" a="1"/>
  <c r="I15" i="161" a="1"/>
  <c r="G54" i="161" a="1"/>
  <c r="V87" i="161" a="1"/>
  <c r="E32" i="161" a="1"/>
  <c r="C31" i="161" a="1"/>
  <c r="L41" i="161" a="1"/>
  <c r="H113" i="161" a="1"/>
  <c r="X9" i="161" a="1"/>
  <c r="P66" i="161" a="1"/>
  <c r="D103" i="161" a="1"/>
  <c r="G106" i="161" a="1"/>
  <c r="T112" i="161" a="1"/>
  <c r="C12" i="161" a="1"/>
  <c r="M28" i="161" a="1"/>
  <c r="S112" i="161" a="1"/>
  <c r="W34" i="161" a="1"/>
  <c r="K13" i="161" a="1"/>
  <c r="X50" i="161" a="1"/>
  <c r="R88" i="161" a="1"/>
  <c r="AE51" i="161" a="1"/>
  <c r="B47" i="161" a="1"/>
  <c r="AC23" i="161" a="1"/>
  <c r="N66" i="161" a="1"/>
  <c r="I97" i="161" a="1"/>
  <c r="G111" i="161" a="1"/>
  <c r="U29" i="161" a="1"/>
  <c r="T116" i="161" a="1"/>
  <c r="Q97" i="161" a="1"/>
  <c r="I105" i="161" a="1"/>
  <c r="H89" i="161" a="1"/>
  <c r="V121" i="161" a="1"/>
  <c r="Q37" i="161" a="1"/>
  <c r="AE61" i="161" a="1"/>
  <c r="H28" i="161" a="1"/>
  <c r="N134" i="161" a="1"/>
  <c r="W98" i="161" a="1"/>
  <c r="B4" i="161" a="1"/>
  <c r="R122" i="161" a="1"/>
  <c r="Z67" i="161" a="1"/>
  <c r="Q4" i="161" a="1"/>
  <c r="U132" i="161" a="1"/>
  <c r="Y24" i="161" a="1"/>
  <c r="AB83" i="161" a="1"/>
  <c r="B67" i="161" a="1"/>
  <c r="S123" i="161" a="1"/>
  <c r="R10" i="161" a="1"/>
  <c r="I9" i="161" a="1"/>
  <c r="U89" i="161" a="1"/>
  <c r="F74" i="161" a="1"/>
  <c r="D97" i="161" a="1"/>
  <c r="I30" i="161" a="1"/>
  <c r="U98" i="161" a="1"/>
  <c r="H95" i="161" a="1"/>
  <c r="N21" i="161" a="1"/>
  <c r="P55" i="161" a="1"/>
  <c r="P123" i="161" a="1"/>
  <c r="AB45" i="161" a="1"/>
  <c r="H97" i="161" a="1"/>
  <c r="B125" i="161" a="1"/>
  <c r="I66" i="161" a="1"/>
  <c r="V32" i="161" a="1"/>
  <c r="O40" i="161" a="1"/>
  <c r="F13" i="161" a="1"/>
  <c r="H21" i="161" a="1"/>
  <c r="V110" i="161" a="1"/>
  <c r="E97" i="161" a="1"/>
  <c r="AE121" i="161" a="1"/>
  <c r="U54" i="161" a="1"/>
  <c r="AB11" i="161" a="1"/>
  <c r="AB18" i="161" a="1"/>
  <c r="AC127" i="161" a="1"/>
  <c r="M104" i="161" a="1"/>
  <c r="AA100" i="161" a="1"/>
  <c r="R17" i="161" a="1"/>
  <c r="Q109" i="161" a="1"/>
  <c r="E134" i="161" a="1"/>
  <c r="P102" i="161" a="1"/>
  <c r="AB31" i="161" a="1"/>
  <c r="AB128" i="161" a="1"/>
  <c r="L131" i="161" a="1"/>
  <c r="AD65" i="161" a="1"/>
  <c r="T28" i="161" a="1"/>
  <c r="E59" i="161" a="1"/>
  <c r="V115" i="161" a="1"/>
  <c r="T10" i="161" a="1"/>
  <c r="P70" i="161" a="1"/>
  <c r="AA42" i="161" a="1"/>
  <c r="Z110" i="161" a="1"/>
  <c r="B19" i="161" a="1"/>
  <c r="H81" i="161" a="1"/>
  <c r="G125" i="161" a="1"/>
  <c r="T124" i="161" a="1"/>
  <c r="Y22" i="161" a="1"/>
  <c r="T54" i="161" a="1"/>
  <c r="I64" i="161" a="1"/>
  <c r="D88" i="161" a="1"/>
  <c r="K42" i="161" a="1"/>
  <c r="Y95" i="161" a="1"/>
  <c r="L53" i="161" a="1"/>
  <c r="AC73" i="161" a="1"/>
  <c r="V122" i="161" a="1"/>
  <c r="K85" i="161" a="1"/>
  <c r="O107" i="161" a="1"/>
  <c r="AA48" i="161" a="1"/>
  <c r="S54" i="161" a="1"/>
  <c r="C121" i="161" a="1"/>
  <c r="P17" i="161" a="1"/>
  <c r="B70" i="161" a="1"/>
  <c r="AC106" i="161" a="1"/>
  <c r="M83" i="161" a="1"/>
  <c r="O123" i="161" a="1"/>
  <c r="D24" i="161" a="1"/>
  <c r="E122" i="161" a="1"/>
  <c r="X44" i="161" a="1"/>
  <c r="F23" i="161" a="1"/>
  <c r="P43" i="161" a="1"/>
  <c r="C129" i="161" a="1"/>
  <c r="X66" i="161" a="1"/>
  <c r="X127" i="161" a="1"/>
  <c r="G47" i="161" a="1"/>
  <c r="AE106" i="161" a="1"/>
  <c r="J124" i="161" a="1"/>
  <c r="W40" i="161" a="1"/>
  <c r="L9" i="161" a="1"/>
  <c r="H75" i="161" a="1"/>
  <c r="D128" i="161" a="1"/>
  <c r="C47" i="161" a="1"/>
  <c r="J84" i="161" a="1"/>
  <c r="V134" i="161" a="1"/>
  <c r="I61" i="161" a="1"/>
  <c r="E69" i="161" a="1"/>
  <c r="J134" i="161" a="1"/>
  <c r="G72" i="161" a="1"/>
  <c r="B62" i="161" a="1"/>
  <c r="W52" i="161" a="1"/>
  <c r="AA8" i="161" a="1"/>
  <c r="D31" i="161" a="1"/>
  <c r="F87" i="161" a="1"/>
  <c r="AA134" i="161" a="1"/>
  <c r="M66" i="161" a="1"/>
  <c r="AE57" i="161" a="1"/>
  <c r="D78" i="161" a="1"/>
  <c r="K131" i="161" a="1"/>
  <c r="AB46" i="161" a="1"/>
  <c r="S87" i="161" a="1"/>
  <c r="T61" i="161" a="1"/>
  <c r="B131" i="161" a="1"/>
  <c r="P130" i="161" a="1"/>
  <c r="N38" i="161" a="1"/>
  <c r="W17" i="161" a="1"/>
  <c r="F32" i="161" a="1"/>
  <c r="M124" i="161" a="1"/>
  <c r="X31" i="161" a="1"/>
  <c r="S128" i="161" a="1"/>
  <c r="S106" i="161" a="1"/>
  <c r="T114" i="161" a="1"/>
  <c r="U73" i="161" a="1"/>
  <c r="L108" i="161" a="1"/>
  <c r="T34" i="161" a="1"/>
  <c r="V81" i="161" a="1"/>
  <c r="F53" i="161" a="1"/>
  <c r="P117" i="161" a="1"/>
  <c r="B68" i="161" a="1"/>
  <c r="AB125" i="161" a="1"/>
  <c r="V97" i="161" a="1"/>
  <c r="Z7" i="161" a="1"/>
  <c r="D64" i="161" a="1"/>
  <c r="Y87" i="161" a="1"/>
  <c r="O84" i="161" a="1"/>
  <c r="E22" i="161" a="1"/>
  <c r="K68" i="161" a="1"/>
  <c r="B33" i="161" a="1"/>
  <c r="AC8" i="161" a="1"/>
  <c r="Q31" i="161" a="1"/>
  <c r="P5" i="161" a="1"/>
  <c r="P134" i="161" a="1"/>
  <c r="AB34" i="161" a="1"/>
  <c r="O51" i="161" a="1"/>
  <c r="S121" i="161" a="1"/>
  <c r="N88" i="161" a="1"/>
  <c r="C65" i="161" a="1"/>
  <c r="V112" i="161" a="1"/>
  <c r="R4" i="161" a="1"/>
  <c r="S125" i="161" a="1"/>
  <c r="G36" i="161" a="1"/>
  <c r="E99" i="161" a="1"/>
  <c r="C93" i="161" a="1"/>
  <c r="K29" i="161" a="1"/>
  <c r="N70" i="161" a="1"/>
  <c r="AA99" i="161" a="1"/>
  <c r="R99" i="161" a="1"/>
  <c r="R126" i="161" a="1"/>
  <c r="Q46" i="161" a="1"/>
  <c r="B118" i="161" a="1"/>
  <c r="N110" i="161" a="1"/>
  <c r="X45" i="161" a="1"/>
  <c r="D93" i="161" a="1"/>
  <c r="O57" i="161" a="1"/>
  <c r="Q99" i="161" a="1"/>
  <c r="K28" i="161" a="1"/>
  <c r="AD71" i="161" a="1"/>
  <c r="P23" i="161" a="1"/>
  <c r="Q112" i="161" a="1"/>
  <c r="G20" i="161" a="1"/>
  <c r="B36" i="161" a="1"/>
  <c r="AA29" i="161" a="1"/>
  <c r="J128" i="161" a="1"/>
  <c r="H31" i="161" a="1"/>
  <c r="X49" i="161" a="1"/>
  <c r="E61" i="161" a="1"/>
  <c r="S39" i="161" a="1"/>
  <c r="U76" i="161" a="1"/>
  <c r="AA128" i="161" a="1"/>
  <c r="B10" i="161" a="1"/>
  <c r="AB48" i="161" a="1"/>
  <c r="AE126" i="161" a="1"/>
  <c r="K122" i="161" a="1"/>
  <c r="B69" i="161" a="1"/>
  <c r="Y134" i="161" a="1"/>
  <c r="E121" i="161" a="1"/>
  <c r="AA20" i="161" a="1"/>
  <c r="X39" i="161" a="1"/>
  <c r="AD86" i="161" a="1"/>
  <c r="AB41" i="161" a="1"/>
  <c r="J57" i="161" a="1"/>
  <c r="C78" i="161" a="1"/>
  <c r="M85" i="161" a="1"/>
  <c r="Z34" i="161" a="1"/>
  <c r="B85" i="161" a="1"/>
  <c r="J63" i="161" a="1"/>
  <c r="Z85" i="161" a="1"/>
  <c r="C122" i="161" a="1"/>
  <c r="J65" i="161" a="1"/>
  <c r="U77" i="161" a="1"/>
  <c r="T119" i="161" a="1"/>
  <c r="L39" i="161" a="1"/>
  <c r="I3" i="161" a="1"/>
  <c r="E131" i="161" a="1"/>
  <c r="AA72" i="161" a="1"/>
  <c r="J123" i="161" a="1"/>
  <c r="M62" i="161" a="1"/>
  <c r="O134" i="161" a="1"/>
  <c r="E24" i="161" a="1"/>
  <c r="H118" i="161" a="1"/>
  <c r="G68" i="161" a="1"/>
  <c r="M11" i="161" a="1"/>
  <c r="AA18" i="161" a="1"/>
  <c r="O54" i="161" a="1"/>
  <c r="D66" i="161" a="1"/>
  <c r="U7" i="161" a="1"/>
  <c r="K109" i="161" a="1"/>
  <c r="N5" i="161" a="1"/>
  <c r="AE86" i="161" a="1"/>
  <c r="AD93" i="161" a="1"/>
  <c r="AD39" i="161" a="1"/>
  <c r="B42" i="161" a="1"/>
  <c r="P6" i="161" a="1"/>
  <c r="AA6" i="161" a="1"/>
  <c r="AB77" i="161" a="1"/>
  <c r="B32" i="161" a="1"/>
  <c r="D33" i="161" a="1"/>
  <c r="O67" i="161" a="1"/>
  <c r="C74" i="161" a="1"/>
  <c r="L14" i="161" a="1"/>
  <c r="T86" i="161" a="1"/>
  <c r="N47" i="161" a="1"/>
  <c r="E54" i="161" a="1"/>
  <c r="AC81" i="161" a="1"/>
  <c r="M25" i="161" a="1"/>
  <c r="X97" i="161" a="1"/>
  <c r="AE14" i="161" a="1"/>
  <c r="AE7" i="161" a="1"/>
  <c r="C72" i="161" a="1"/>
  <c r="W70" i="161" a="1"/>
  <c r="X48" i="161" a="1"/>
  <c r="B5" i="161" a="1"/>
  <c r="T39" i="161" a="1"/>
  <c r="P16" i="161" a="1"/>
  <c r="AB73" i="161" a="1"/>
  <c r="B65" i="161" a="1"/>
  <c r="Y80" i="161" a="1"/>
  <c r="M74" i="161" a="1"/>
  <c r="P112" i="161" a="1"/>
  <c r="AD74" i="161" a="1"/>
  <c r="G89" i="161" a="1"/>
  <c r="H30" i="161" a="1"/>
  <c r="M45" i="161" a="1"/>
  <c r="AE110" i="161" a="1"/>
  <c r="F17" i="161" a="1"/>
  <c r="W95" i="161" a="1"/>
  <c r="W87" i="161" a="1"/>
  <c r="S74" i="161" a="1"/>
  <c r="X85" i="161" a="1"/>
  <c r="O59" i="161" a="1"/>
  <c r="P110" i="161" a="1"/>
  <c r="Q94" i="161" a="1"/>
  <c r="L87" i="161" a="1"/>
  <c r="F8" i="161" a="1"/>
  <c r="X13" i="161" a="1"/>
  <c r="I60" i="161" a="1"/>
  <c r="V72" i="161" a="1"/>
  <c r="C81" i="161" a="1"/>
  <c r="H35" i="161" a="1"/>
  <c r="M36" i="161" a="1"/>
  <c r="AC63" i="161" a="1"/>
  <c r="V66" i="161" a="1"/>
  <c r="T110" i="161" a="1"/>
  <c r="F34" i="161" a="1"/>
  <c r="E110" i="161" a="1"/>
  <c r="E21" i="161" a="1"/>
  <c r="X124" i="161" a="1"/>
  <c r="Y8" i="161" a="1"/>
  <c r="I91" i="161" a="1"/>
  <c r="V91" i="161" a="1"/>
  <c r="X35" i="161" a="1"/>
  <c r="P113" i="161" a="1"/>
  <c r="E38" i="161" a="1"/>
  <c r="C103" i="161" a="1"/>
  <c r="AE125" i="161" a="1"/>
  <c r="K58" i="161" a="1"/>
  <c r="U13" i="161" a="1"/>
  <c r="I77" i="161" a="1"/>
  <c r="E9" i="161" a="1"/>
  <c r="V107" i="161" a="1"/>
  <c r="F45" i="161" a="1"/>
  <c r="T16" i="161" a="1"/>
  <c r="F130" i="161" a="1"/>
  <c r="I106" i="161" a="1"/>
  <c r="L49" i="161" a="1"/>
  <c r="T127" i="161" a="1"/>
  <c r="E129" i="161" a="1"/>
  <c r="S46" i="161" a="1"/>
  <c r="G31" i="161" a="1"/>
  <c r="AD44" i="161" a="1"/>
  <c r="J130" i="161" a="1"/>
  <c r="Q10" i="161" a="1"/>
  <c r="X40" i="161" a="1"/>
  <c r="AE36" i="161" a="1"/>
  <c r="H27" i="161" a="1"/>
  <c r="O34" i="161" a="1"/>
  <c r="K15" i="161" a="1"/>
  <c r="R116" i="161" a="1"/>
  <c r="V108" i="161" a="1"/>
  <c r="H134" i="161" a="1"/>
  <c r="G57" i="161" a="1"/>
  <c r="L31" i="161" a="1"/>
  <c r="M63" i="161" a="1"/>
  <c r="Q50" i="161" a="1"/>
  <c r="X108" i="161" a="1"/>
  <c r="AD61" i="161" a="1"/>
  <c r="I10" i="161" a="1"/>
  <c r="T113" i="161" a="1"/>
  <c r="T30" i="161" a="1"/>
  <c r="Q8" i="161" a="1"/>
  <c r="K100" i="161" a="1"/>
  <c r="F106" i="161" a="1"/>
  <c r="I38" i="161" a="1"/>
  <c r="G101" i="161" a="1"/>
  <c r="I51" i="161" a="1"/>
  <c r="AA113" i="161" a="1"/>
  <c r="U17" i="161" a="1"/>
  <c r="V98" i="161" a="1"/>
  <c r="W132" i="161" a="1"/>
  <c r="H41" i="161" a="1"/>
  <c r="D94" i="161" a="1"/>
  <c r="AB91" i="161" a="1"/>
  <c r="D38" i="161" a="1"/>
  <c r="AA78" i="161" a="1"/>
  <c r="U118" i="161" a="1"/>
  <c r="E31" i="161" a="1"/>
  <c r="V119" i="161" a="1"/>
  <c r="AA4" i="161" a="1"/>
  <c r="Q62" i="161" a="1"/>
  <c r="H100" i="161" a="1"/>
  <c r="F79" i="161" a="1"/>
  <c r="E85" i="161" a="1"/>
  <c r="R64" i="161" a="1"/>
  <c r="C79" i="161" a="1"/>
  <c r="O127" i="161" a="1"/>
  <c r="AD37" i="161" a="1"/>
  <c r="E71" i="161" a="1"/>
  <c r="F92" i="161" a="1"/>
  <c r="U80" i="161" a="1"/>
  <c r="G127" i="161" a="1"/>
  <c r="R110" i="161" a="1"/>
  <c r="C113" i="161" a="1"/>
  <c r="R115" i="161" a="1"/>
  <c r="H114" i="161" a="1"/>
  <c r="L76" i="161" a="1"/>
  <c r="X106" i="161" a="1"/>
  <c r="E58" i="161" a="1"/>
  <c r="F122" i="161" a="1"/>
  <c r="O39" i="161" a="1"/>
  <c r="U119" i="161" a="1"/>
  <c r="AA111" i="161" a="1"/>
  <c r="U75" i="161" a="1"/>
  <c r="U66" i="161" a="1"/>
  <c r="M75" i="161" a="1"/>
  <c r="S78" i="161" a="1"/>
  <c r="I127" i="161" a="1"/>
  <c r="B15" i="161" a="1"/>
  <c r="R11" i="161" a="1"/>
  <c r="F33" i="161" a="1"/>
  <c r="V17" i="161" a="1"/>
  <c r="S134" i="161" a="1"/>
  <c r="Z80" i="161" a="1"/>
  <c r="U25" i="161" a="1"/>
  <c r="I131" i="161" a="1"/>
  <c r="Z70" i="161" a="1"/>
  <c r="L82" i="161" a="1"/>
  <c r="R85" i="161" a="1"/>
  <c r="F121" i="161" a="1"/>
  <c r="F105" i="161" a="1"/>
  <c r="L109" i="161" a="1"/>
  <c r="Y78" i="161" a="1"/>
  <c r="S6" i="161" a="1"/>
  <c r="AB113" i="161" a="1"/>
  <c r="W117" i="161" a="1"/>
  <c r="K128" i="161" a="1"/>
  <c r="K99" i="161" a="1"/>
  <c r="AC124" i="161" a="1"/>
  <c r="J13" i="161" a="1"/>
  <c r="Y21" i="161" a="1"/>
  <c r="AB102" i="161" a="1"/>
  <c r="K47" i="161" a="1"/>
  <c r="P52" i="161" a="1"/>
  <c r="Z125" i="161" a="1"/>
  <c r="C117" i="161" a="1"/>
  <c r="H5" i="161" a="1"/>
  <c r="AB44" i="161" a="1"/>
  <c r="U134" i="161" a="1"/>
  <c r="C56" i="161" a="1"/>
  <c r="G66" i="161" a="1"/>
  <c r="AA132" i="161" a="1"/>
  <c r="C108" i="161" a="1"/>
  <c r="AD116" i="161" a="1"/>
  <c r="E86" i="161" a="1"/>
  <c r="C18" i="161" a="1"/>
  <c r="O43" i="161" a="1"/>
  <c r="M13" i="161" a="1"/>
  <c r="C110" i="161" a="1"/>
  <c r="F9" i="161" a="1"/>
  <c r="N34" i="161" a="1"/>
  <c r="E53" i="161" a="1"/>
  <c r="R65" i="161" a="1"/>
  <c r="Z98" i="161" a="1"/>
  <c r="AD23" i="161" a="1"/>
  <c r="I12" i="161" a="1"/>
  <c r="S12" i="161" a="1"/>
  <c r="G104" i="161" a="1"/>
  <c r="D104" i="161" a="1"/>
  <c r="D41" i="161" a="1"/>
  <c r="E14" i="161" a="1"/>
  <c r="C26" i="161" a="1"/>
  <c r="AD52" i="161" a="1"/>
  <c r="F70" i="161" a="1"/>
  <c r="E8" i="161" a="1"/>
  <c r="I27" i="161" a="1"/>
  <c r="Q123" i="161" a="1"/>
  <c r="X130" i="161" a="1"/>
  <c r="M53" i="161" a="1"/>
  <c r="K119" i="161" a="1"/>
  <c r="P94" i="161" a="1"/>
  <c r="K26" i="161" a="1"/>
  <c r="L42" i="161" a="1"/>
  <c r="W88" i="161" a="1"/>
  <c r="D109" i="161" a="1"/>
  <c r="H43" i="161" a="1"/>
  <c r="K54" i="161" a="1"/>
  <c r="M48" i="161" a="1"/>
  <c r="D132" i="161" a="1"/>
  <c r="G32" i="161" a="1"/>
  <c r="P21" i="161" a="1"/>
  <c r="X96" i="161" a="1"/>
  <c r="O29" i="161" a="1"/>
  <c r="S102" i="161" a="1"/>
  <c r="T128" i="161" a="1"/>
  <c r="R30" i="161" a="1"/>
  <c r="D23" i="161" a="1"/>
  <c r="T106" i="161" a="1"/>
  <c r="F25" i="161" a="1"/>
  <c r="L16" i="161" a="1"/>
  <c r="AB42" i="161" a="1"/>
  <c r="S114" i="161" a="1"/>
  <c r="C67" i="161" a="1"/>
  <c r="P132" i="161" a="1"/>
  <c r="O122" i="161" a="1"/>
  <c r="C91" i="161" a="1"/>
  <c r="M79" i="161" a="1"/>
  <c r="Y50" i="161" a="1"/>
  <c r="V40" i="161" a="1"/>
  <c r="AC121" i="161" a="1"/>
  <c r="W47" i="161" a="1"/>
  <c r="T63" i="161" a="1"/>
  <c r="C114" i="161" a="1"/>
  <c r="S28" i="161" a="1"/>
  <c r="Q76" i="161" a="1"/>
  <c r="M26" i="161" a="1"/>
  <c r="U106" i="161" a="1"/>
  <c r="B38" i="161" a="1"/>
  <c r="B7" i="161" a="1"/>
  <c r="W51" i="161" a="1"/>
  <c r="Y35" i="161" a="1"/>
  <c r="J58" i="161" a="1"/>
  <c r="V38" i="161" a="1"/>
  <c r="L60" i="161" a="1"/>
  <c r="AE115" i="161" a="1"/>
  <c r="Q89" i="161" a="1"/>
  <c r="AB65" i="161" a="1"/>
  <c r="V33" i="161" a="1"/>
  <c r="X11" i="161" a="1"/>
  <c r="R40" i="161" a="1"/>
  <c r="I16" i="161" a="1"/>
  <c r="AE100" i="161" a="1"/>
  <c r="AE50" i="161" a="1"/>
  <c r="J11" i="161" a="1"/>
  <c r="P8" i="161" a="1"/>
  <c r="C33" i="161" a="1"/>
  <c r="R59" i="161" a="1"/>
  <c r="H98" i="161" a="1"/>
  <c r="T68" i="161" a="1"/>
  <c r="Y121" i="161" a="1"/>
  <c r="X102" i="161" a="1"/>
  <c r="AE112" i="161" a="1"/>
  <c r="T59" i="161" a="1"/>
  <c r="N132" i="161" a="1"/>
  <c r="W46" i="161" a="1"/>
  <c r="E68" i="161" a="1"/>
  <c r="AA70" i="161" a="1"/>
  <c r="D120" i="161" a="1"/>
  <c r="B84" i="161" a="1"/>
  <c r="AD14" i="161" a="1"/>
  <c r="AB15" i="161" a="1"/>
  <c r="F64" i="161" a="1"/>
  <c r="K66" i="161" a="1"/>
  <c r="I101" i="161" a="1"/>
  <c r="I62" i="161" a="1"/>
  <c r="Y130" i="161" a="1"/>
  <c r="Q42" i="161" a="1"/>
  <c r="X67" i="161" a="1"/>
  <c r="W27" i="161" a="1"/>
  <c r="R26" i="161" a="1"/>
  <c r="V16" i="161" a="1"/>
  <c r="O46" i="161" a="1"/>
  <c r="X129" i="161" a="1"/>
  <c r="J90" i="161" a="1"/>
  <c r="K6" i="161" a="1"/>
  <c r="P63" i="161" a="1"/>
  <c r="H15" i="161" a="1"/>
  <c r="I120" i="161" a="1"/>
  <c r="D55" i="161" a="1"/>
  <c r="E70" i="161" a="1"/>
  <c r="C76" i="161" a="1"/>
  <c r="T97" i="161" a="1"/>
  <c r="S72" i="161" a="1"/>
  <c r="U107" i="161" a="1"/>
  <c r="AA71" i="161" a="1"/>
  <c r="T129" i="161" a="1"/>
  <c r="T96" i="161" a="1"/>
  <c r="AD70" i="161" a="1"/>
  <c r="Q21" i="161" a="1"/>
  <c r="Q55" i="161" a="1"/>
  <c r="J73" i="161" a="1"/>
  <c r="V83" i="161" a="1"/>
  <c r="X122" i="161" a="1"/>
  <c r="U64" i="161" a="1"/>
  <c r="Y83" i="161" a="1"/>
  <c r="X125" i="161" a="1"/>
  <c r="AD90" i="161" a="1"/>
  <c r="Y86" i="161" a="1"/>
  <c r="K11" i="161" a="1"/>
  <c r="C60" i="161" a="1"/>
  <c r="AB39" i="161" a="1"/>
  <c r="AC102" i="161" a="1"/>
  <c r="T12" i="161" a="1"/>
  <c r="P90" i="161" a="1"/>
  <c r="U15" i="161" a="1"/>
  <c r="V85" i="161" a="1"/>
  <c r="V8" i="161" a="1"/>
  <c r="AC117" i="161" a="1"/>
  <c r="M41" i="161" a="1"/>
  <c r="H87" i="161" a="1"/>
  <c r="C95" i="161" a="1"/>
  <c r="Q11" i="161" a="1"/>
  <c r="B74" i="161" a="1"/>
  <c r="Z71" i="161" a="1"/>
  <c r="AC77" i="161" a="1"/>
  <c r="U44" i="161" a="1"/>
  <c r="R22" i="161" a="1"/>
  <c r="Y23" i="161" a="1"/>
  <c r="R28" i="161" a="1"/>
  <c r="C50" i="161" a="1"/>
  <c r="Q100" i="161" a="1"/>
  <c r="AA112" i="161" a="1"/>
  <c r="B49" i="161" a="1"/>
  <c r="Z76" i="161" a="1"/>
  <c r="I100" i="161" a="1"/>
  <c r="S81" i="161" a="1"/>
  <c r="X55" i="161" a="1"/>
  <c r="F42" i="161" a="1"/>
  <c r="P41" i="161" a="1"/>
  <c r="D74" i="161" a="1"/>
  <c r="B105" i="161" a="1"/>
  <c r="I88" i="161" a="1"/>
  <c r="AB10" i="161" a="1"/>
  <c r="AD81" i="161" a="1"/>
  <c r="AA40" i="161" a="1"/>
  <c r="Q27" i="161" a="1"/>
  <c r="Q79" i="161" a="1"/>
  <c r="G126" i="161" a="1"/>
  <c r="N95" i="161" a="1"/>
  <c r="M46" i="161" a="1"/>
  <c r="R38" i="161" a="1"/>
  <c r="B126" i="161" a="1"/>
  <c r="AB19" i="161" a="1"/>
  <c r="Z122" i="161" a="1"/>
  <c r="K77" i="161" a="1"/>
  <c r="D9" i="161" a="1"/>
  <c r="W15" i="161" a="1"/>
  <c r="S85" i="161" a="1"/>
  <c r="E123" i="161" a="1"/>
  <c r="L84" i="161" a="1"/>
  <c r="S118" i="161" a="1"/>
  <c r="K21" i="161" a="1"/>
  <c r="X23" i="161" a="1"/>
  <c r="Q52" i="161" a="1"/>
  <c r="Y41" i="161" a="1"/>
  <c r="AB118" i="161" a="1"/>
  <c r="G118" i="161" a="1"/>
  <c r="AD72" i="161" a="1"/>
  <c r="N126" i="161" a="1"/>
  <c r="W76" i="161" a="1"/>
  <c r="J96" i="161" a="1"/>
  <c r="O35" i="161" a="1"/>
  <c r="AB121" i="161" a="1"/>
  <c r="J43" i="161" a="1"/>
  <c r="U37" i="161" a="1"/>
  <c r="F65" i="161" a="1"/>
  <c r="AE93" i="161" a="1"/>
  <c r="E42" i="161" a="1"/>
  <c r="N77" i="161" a="1"/>
  <c r="AD54" i="161" a="1"/>
  <c r="D116" i="161" a="1"/>
  <c r="T60" i="161" a="1"/>
  <c r="P92" i="161" a="1"/>
  <c r="Y27" i="161" a="1"/>
  <c r="AE16" i="161" a="1"/>
  <c r="M67" i="161" a="1"/>
  <c r="I63" i="161" a="1"/>
  <c r="G115" i="161" a="1"/>
  <c r="K86" i="161" a="1"/>
  <c r="AA133" i="161" a="1"/>
  <c r="V65" i="161" a="1"/>
  <c r="AE105" i="161" a="1"/>
  <c r="O89" i="161" a="1"/>
  <c r="R80" i="161" a="1"/>
  <c r="M90" i="161" a="1"/>
  <c r="R35" i="161" a="1"/>
  <c r="H14" i="161" a="1"/>
  <c r="D10" i="161" a="1"/>
  <c r="C28" i="161" a="1"/>
  <c r="K4" i="161" a="1"/>
  <c r="AA81" i="161" a="1"/>
  <c r="AA83" i="161" a="1"/>
  <c r="X12" i="161" a="1"/>
  <c r="V22" i="161" a="1"/>
  <c r="M86" i="161" a="1"/>
  <c r="J10" i="161" a="1"/>
  <c r="R70" i="161" a="1"/>
  <c r="AC84" i="161" a="1"/>
  <c r="R104" i="161" a="1"/>
  <c r="Z121" i="161" a="1"/>
  <c r="O74" i="161" a="1"/>
  <c r="I75" i="161" a="1"/>
  <c r="G6" i="161" a="1"/>
  <c r="Q130" i="161" a="1"/>
  <c r="E51" i="161" a="1"/>
  <c r="M54" i="161" a="1"/>
  <c r="Y133" i="161" a="1"/>
  <c r="AD117" i="161" a="1"/>
  <c r="AA37" i="161" a="1"/>
  <c r="AD13" i="161" a="1"/>
  <c r="N39" i="161" a="1"/>
  <c r="L29" i="161" a="1"/>
  <c r="T43" i="161" a="1"/>
  <c r="E52" i="161" a="1"/>
  <c r="Q126" i="161" a="1"/>
  <c r="E120" i="161" a="1"/>
  <c r="Y123" i="161" a="1"/>
  <c r="AC79" i="161" a="1"/>
  <c r="Y111" i="161" a="1"/>
  <c r="X14" i="161" a="1"/>
  <c r="AB17" i="161" a="1"/>
  <c r="T19" i="161" a="1"/>
  <c r="AA95" i="161" a="1"/>
  <c r="G83" i="161" a="1"/>
  <c r="L50" i="161" a="1"/>
  <c r="W114" i="161" a="1"/>
  <c r="X61" i="161" a="1"/>
  <c r="AD95" i="161" a="1"/>
  <c r="U11" i="161" a="1"/>
  <c r="O42" i="161" a="1"/>
  <c r="U110" i="161" a="1"/>
  <c r="I74" i="161" a="1"/>
  <c r="O98" i="161" a="1"/>
  <c r="B103" i="161" a="1"/>
  <c r="P57" i="161" a="1"/>
  <c r="Q73" i="161" a="1"/>
  <c r="E25" i="161" a="1"/>
  <c r="W16" i="161" a="1"/>
  <c r="E113" i="161" a="1"/>
  <c r="J118" i="161" a="1"/>
  <c r="Y125" i="161" a="1"/>
  <c r="L59" i="161" a="1"/>
  <c r="W130" i="161" a="1"/>
  <c r="Y129" i="161" a="1"/>
  <c r="C83" i="161" a="1"/>
  <c r="G114" i="161" a="1"/>
  <c r="J59" i="161" a="1"/>
  <c r="S27" i="161" a="1"/>
  <c r="Q3" i="161" a="1"/>
  <c r="F40" i="161" a="1"/>
  <c r="P11" i="161" a="1"/>
  <c r="B91" i="161" a="1"/>
  <c r="Y120" i="161" a="1"/>
  <c r="P114" i="161" a="1"/>
  <c r="N90" i="161" a="1"/>
  <c r="G16" i="161" a="1"/>
  <c r="Z31" i="161" a="1"/>
  <c r="C131" i="161" a="1"/>
  <c r="M92" i="161" a="1"/>
  <c r="E18" i="161" a="1"/>
  <c r="AA127" i="161" a="1"/>
  <c r="J120" i="161" a="1"/>
  <c r="X99" i="161" a="1"/>
  <c r="B52" i="161" a="1"/>
  <c r="AB115" i="161" a="1"/>
  <c r="N37" i="161" a="1"/>
  <c r="V48" i="161" a="1"/>
  <c r="J67" i="161" a="1"/>
  <c r="I26" i="161" a="1"/>
  <c r="I117" i="161" a="1"/>
  <c r="X92" i="161" a="1"/>
  <c r="G24" i="161" a="1"/>
  <c r="S57" i="161" a="1"/>
  <c r="U57" i="161" a="1"/>
  <c r="J37" i="161" a="1"/>
  <c r="V113" i="161" a="1"/>
  <c r="C55" i="161" a="1"/>
  <c r="P4" i="161" a="1"/>
  <c r="C96" i="161" a="1"/>
  <c r="G50" i="161" a="1"/>
  <c r="C132" i="161" a="1"/>
  <c r="V93" i="161" a="1"/>
  <c r="B31" i="161" a="1"/>
  <c r="I71" i="161" a="1"/>
  <c r="AB4" i="161" a="1"/>
  <c r="F102" i="161" a="1"/>
  <c r="X68" i="161" a="1"/>
  <c r="Y126" i="161" a="1"/>
  <c r="R103" i="161" a="1"/>
  <c r="H37" i="161" a="1"/>
  <c r="AE49" i="161" a="1"/>
  <c r="W96" i="161" a="1"/>
  <c r="Q53" i="161" a="1"/>
  <c r="J68" i="161" a="1"/>
  <c r="AE99" i="161" a="1"/>
  <c r="G14" i="161" a="1"/>
  <c r="AD82" i="161" a="1"/>
  <c r="Y124" i="161" a="1"/>
  <c r="AC64" i="161" a="1"/>
  <c r="K83" i="161" a="1"/>
  <c r="I5" i="161" a="1"/>
  <c r="W128" i="161" a="1"/>
  <c r="K56" i="161" a="1"/>
  <c r="AB13" i="161" a="1"/>
  <c r="W129" i="161" a="1"/>
  <c r="R42" i="161" a="1"/>
  <c r="O19" i="161" a="1"/>
  <c r="Q77" i="161" a="1"/>
  <c r="M70" i="161" a="1"/>
  <c r="L58" i="161" a="1"/>
  <c r="N29" i="161" a="1"/>
  <c r="AA69" i="161" a="1"/>
  <c r="H91" i="161" a="1"/>
  <c r="M80" i="161" a="1"/>
  <c r="P116" i="161" a="1"/>
  <c r="F115" i="161" a="1"/>
  <c r="AC47" i="161" a="1"/>
  <c r="AB25" i="161" a="1"/>
  <c r="AC24" i="161" a="1"/>
  <c r="T107" i="161" a="1"/>
  <c r="W56" i="161" a="1"/>
  <c r="Y118" i="161" a="1"/>
  <c r="W119" i="161" a="1"/>
  <c r="C88" i="161" a="1"/>
  <c r="Y57" i="161" a="1"/>
  <c r="O47" i="161" a="1"/>
  <c r="T109" i="161" a="1"/>
  <c r="S18" i="161" a="1"/>
  <c r="R132" i="161" a="1"/>
  <c r="E15" i="161" a="1"/>
  <c r="W53" i="161" a="1"/>
  <c r="X8" i="161" a="1"/>
  <c r="D5" i="161" a="1"/>
  <c r="AD35" i="161" a="1"/>
  <c r="G130" i="161" a="1"/>
  <c r="F56" i="161" a="1"/>
  <c r="E78" i="161" a="1"/>
  <c r="U41" i="161" a="1"/>
  <c r="K124" i="161" a="1"/>
  <c r="M132" i="161" a="1"/>
  <c r="Z133" i="161" a="1"/>
  <c r="G46" i="161" a="1"/>
  <c r="L69" i="161" a="1"/>
  <c r="R76" i="161" a="1"/>
  <c r="T111" i="161" a="1"/>
  <c r="J32" i="161" a="1"/>
  <c r="N105" i="161" a="1"/>
  <c r="Q82" i="161" a="1"/>
  <c r="Y132" i="161" a="1"/>
  <c r="AE29" i="161" a="1"/>
  <c r="J47" i="161" a="1"/>
  <c r="N121" i="161" a="1"/>
  <c r="Q68" i="161" a="1"/>
  <c r="F98" i="161" a="1"/>
  <c r="Y68" i="161" a="1"/>
  <c r="G119" i="161" a="1"/>
  <c r="Y19" i="161" a="1"/>
  <c r="P45" i="161" a="1"/>
  <c r="O117" i="161" a="1"/>
  <c r="AC72" i="161" a="1"/>
  <c r="T126" i="161" a="1"/>
  <c r="E33" i="161" a="1"/>
  <c r="Y7" i="161" a="1"/>
  <c r="P56" i="161" a="1"/>
  <c r="AE109" i="161" a="1"/>
  <c r="U63" i="161" a="1"/>
  <c r="Y11" i="161" a="1"/>
  <c r="V130" i="161" a="1"/>
  <c r="O65" i="161" a="1"/>
  <c r="I98" i="161" a="1"/>
  <c r="AB6" i="161" a="1"/>
  <c r="T103" i="161" a="1"/>
  <c r="M73" i="161" a="1"/>
  <c r="Q51" i="161" a="1"/>
  <c r="D86" i="161" a="1"/>
  <c r="G17" i="161" a="1"/>
  <c r="K116" i="161" a="1"/>
  <c r="G18" i="161" a="1"/>
  <c r="J106" i="161" a="1"/>
  <c r="X78" i="161" a="1"/>
  <c r="W11" i="161" a="1"/>
  <c r="R101" i="161" a="1"/>
  <c r="R55" i="161" a="1"/>
  <c r="S55" i="161" a="1"/>
  <c r="Y105" i="161" a="1"/>
  <c r="C84" i="161" a="1"/>
  <c r="O102" i="161" a="1"/>
  <c r="L8" i="161" a="1"/>
  <c r="AE43" i="161" a="1"/>
  <c r="U97" i="161" a="1"/>
  <c r="AE60" i="161" a="1"/>
  <c r="M77" i="161" a="1"/>
  <c r="L114" i="161" a="1"/>
  <c r="Q23" i="161" a="1"/>
  <c r="C32" i="161" a="1"/>
  <c r="G53" i="161" a="1"/>
  <c r="D83" i="161" a="1"/>
  <c r="P101" i="161" a="1"/>
  <c r="AC45" i="161" a="1"/>
  <c r="AD85" i="161" a="1"/>
  <c r="R112" i="161" a="1"/>
  <c r="N9" i="161" a="1"/>
  <c r="J117" i="161" a="1"/>
  <c r="R75" i="161" a="1"/>
  <c r="Z64" i="161" a="1"/>
  <c r="F22" i="161" a="1"/>
  <c r="M84" i="161" a="1"/>
  <c r="L43" i="161" a="1"/>
  <c r="Y30" i="161" a="1"/>
  <c r="B39" i="161" a="1"/>
  <c r="L37" i="161" a="1"/>
  <c r="Y107" i="161" a="1"/>
  <c r="L112" i="161" a="1"/>
  <c r="M88" i="161" a="1"/>
  <c r="K35" i="161" a="1"/>
  <c r="L122" i="161" a="1"/>
  <c r="V23" i="161" a="1"/>
  <c r="M27" i="161" a="1"/>
  <c r="K133" i="161" a="1"/>
  <c r="G60" i="161" a="1"/>
  <c r="AB20" i="161" a="1"/>
  <c r="S109" i="161" a="1"/>
  <c r="AD76" i="161" a="1"/>
  <c r="R44" i="161" a="1"/>
  <c r="V100" i="161" a="1"/>
  <c r="K24" i="161" a="1"/>
  <c r="B30" i="161" a="1"/>
  <c r="B48" i="161" a="1"/>
  <c r="R97" i="161" a="1"/>
  <c r="AC26" i="161" a="1"/>
  <c r="S24" i="161" a="1"/>
  <c r="Y56" i="161" a="1"/>
  <c r="AC95" i="161" a="1"/>
  <c r="V63" i="161" a="1"/>
  <c r="T118" i="161" a="1"/>
  <c r="F125" i="161" a="1"/>
  <c r="AA88" i="161" a="1"/>
  <c r="H131" i="161" a="1"/>
  <c r="D46" i="161" a="1"/>
  <c r="W94" i="161" a="1"/>
  <c r="Q105" i="161" a="1"/>
  <c r="L120" i="161" a="1"/>
  <c r="D27" i="161" a="1"/>
  <c r="E91" i="161" a="1"/>
  <c r="D133" i="161" a="1"/>
  <c r="I87" i="161" a="1"/>
  <c r="K72" i="161" a="1"/>
  <c r="G99" i="161" a="1"/>
  <c r="AC66" i="161" a="1"/>
  <c r="F126" i="161" a="1"/>
  <c r="N116" i="161" a="1"/>
  <c r="V10" i="161" a="1"/>
  <c r="R100" i="161" a="1"/>
  <c r="R62" i="161" a="1"/>
  <c r="Z37" i="161" a="1"/>
  <c r="R124" i="161" a="1"/>
  <c r="AD25" i="161" a="1"/>
  <c r="O7" i="161" a="1"/>
  <c r="H78" i="161" a="1"/>
  <c r="H52" i="161" a="1"/>
  <c r="AC34" i="161" a="1"/>
  <c r="U16" i="161" a="1"/>
  <c r="N62" i="161" a="1"/>
  <c r="D119" i="161" a="1"/>
  <c r="T55" i="161" a="1"/>
  <c r="T78" i="161" a="1"/>
  <c r="G65" i="161" a="1"/>
  <c r="I6" i="161" a="1"/>
  <c r="O115" i="161" a="1"/>
  <c r="C14" i="161" a="1"/>
  <c r="S33" i="161" a="1"/>
  <c r="M5" i="161" a="1"/>
  <c r="F41" i="161" a="1"/>
  <c r="G124" i="161" a="1"/>
  <c r="D16" i="161" a="1"/>
  <c r="P40" i="161" a="1"/>
  <c r="Y76" i="161" a="1"/>
  <c r="M68" i="161" a="1"/>
  <c r="T8" i="161" a="1"/>
  <c r="R57" i="161" a="1"/>
  <c r="F24" i="161" a="1"/>
  <c r="F66" i="161" a="1"/>
  <c r="K84" i="161" a="1"/>
  <c r="Q32" i="161" a="1"/>
  <c r="G75" i="161" a="1"/>
  <c r="L6" i="161" a="1"/>
  <c r="N111" i="161" a="1"/>
  <c r="AB14" i="161" a="1"/>
  <c r="W45" i="161" a="1"/>
  <c r="Y58" i="161" a="1"/>
  <c r="V5" i="161" a="1"/>
  <c r="T120" i="161" a="1"/>
  <c r="P84" i="161" a="1"/>
  <c r="D47" i="161" a="1"/>
  <c r="E63" i="161" a="1"/>
  <c r="P122" i="161" a="1"/>
  <c r="R119" i="161" a="1"/>
  <c r="C125" i="161" a="1"/>
  <c r="U58" i="161" a="1"/>
  <c r="I116" i="161" a="1"/>
  <c r="M71" i="161" a="1"/>
  <c r="J94" i="161" a="1"/>
  <c r="V39" i="161" a="1"/>
  <c r="AE102" i="161" a="1"/>
  <c r="K129" i="161" a="1"/>
  <c r="S44" i="161" a="1"/>
  <c r="I17" i="161" a="1"/>
  <c r="P73" i="161" a="1"/>
  <c r="Z94" i="161" a="1"/>
  <c r="I90" i="161" a="1"/>
  <c r="K70" i="161" a="1"/>
  <c r="AD38" i="161" a="1"/>
  <c r="D118" i="161" a="1"/>
  <c r="F103" i="161" a="1"/>
  <c r="E40" i="161" a="1"/>
  <c r="H111" i="161" a="1"/>
  <c r="T76" i="161" a="1"/>
  <c r="AB49" i="161" a="1"/>
  <c r="K33" i="161" a="1"/>
  <c r="Q48" i="161" a="1"/>
  <c r="U126" i="161" a="1"/>
  <c r="B97" i="161" a="1"/>
  <c r="P78" i="161" a="1"/>
  <c r="AB68" i="161" a="1"/>
  <c r="R54" i="161" a="1"/>
  <c r="I102" i="161" a="1"/>
  <c r="AA98" i="161" a="1"/>
  <c r="H70" i="161" a="1"/>
  <c r="U103" i="161" a="1"/>
  <c r="P13" i="161" a="1"/>
  <c r="AC50" i="161" a="1"/>
  <c r="W105" i="161" a="1"/>
  <c r="F108" i="161" a="1"/>
  <c r="AD27" i="161" a="1"/>
  <c r="AE19" i="161" a="1"/>
  <c r="E104" i="161" a="1"/>
  <c r="F38" i="161" a="1"/>
  <c r="V99" i="161" a="1"/>
  <c r="O26" i="161" a="1"/>
  <c r="D85" i="161" a="1"/>
  <c r="W131" i="161" a="1"/>
  <c r="X21" i="161" a="1"/>
  <c r="AE82" i="161" a="1"/>
  <c r="L19" i="161" a="1"/>
  <c r="AC35" i="161" a="1"/>
  <c r="W126" i="161" a="1"/>
  <c r="U23" i="161" a="1"/>
  <c r="C16" i="161" a="1"/>
  <c r="H119" i="161" a="1"/>
  <c r="AE73" i="161" a="1"/>
  <c r="H83" i="161" a="1"/>
  <c r="AC19" i="161" a="1"/>
  <c r="H50" i="161" a="1"/>
  <c r="I29" i="161" a="1"/>
  <c r="S96" i="161" a="1"/>
  <c r="S41" i="161" a="1"/>
  <c r="T47" i="161" a="1"/>
  <c r="W6" i="161" a="1"/>
  <c r="L27" i="161" a="1"/>
  <c r="L30" i="161" a="1"/>
  <c r="J93" i="161" a="1"/>
  <c r="O36" i="161" a="1"/>
  <c r="N3" i="161" a="1"/>
  <c r="AC15" i="161" a="1"/>
  <c r="V64" i="161" a="1"/>
  <c r="AA131" i="161" a="1"/>
  <c r="D26" i="161" a="1"/>
  <c r="AB55" i="161" a="1"/>
  <c r="B100" i="161" a="1"/>
  <c r="O3" i="161" a="1"/>
  <c r="R96" i="161" a="1"/>
  <c r="Z43" i="161" a="1"/>
  <c r="E95" i="161" a="1"/>
  <c r="B28" i="161" a="1"/>
  <c r="Q87" i="161" a="1"/>
  <c r="Q9" i="161" a="1"/>
  <c r="V31" i="161" a="1"/>
  <c r="AC129" i="161" a="1"/>
  <c r="Q75" i="161" a="1"/>
  <c r="AD5" i="161" a="1"/>
  <c r="V128" i="161" a="1"/>
  <c r="R39" i="161" a="1"/>
  <c r="F59" i="161" a="1"/>
  <c r="AB129" i="161" a="1"/>
  <c r="S38" i="161" a="1"/>
  <c r="S62" i="161" a="1"/>
  <c r="X62" i="161" a="1"/>
  <c r="F58" i="161" a="1"/>
  <c r="P120" i="161" a="1"/>
  <c r="I84" i="161" a="1"/>
  <c r="J87" i="161" a="1"/>
  <c r="R83" i="161" a="1"/>
  <c r="AC132" i="161" a="1"/>
  <c r="G90" i="161" a="1"/>
  <c r="I53" i="161" a="1"/>
  <c r="N109" i="161" a="1"/>
  <c r="T64" i="161" a="1"/>
  <c r="M19" i="161" a="1"/>
  <c r="G112" i="161" a="1"/>
  <c r="Y37" i="161" a="1"/>
  <c r="D100" i="161" a="1"/>
  <c r="X86" i="161" a="1"/>
  <c r="S34" i="161" a="1"/>
  <c r="H77" i="161" a="1"/>
  <c r="X76" i="161" a="1"/>
  <c r="P77" i="161" a="1"/>
  <c r="R20" i="161" a="1"/>
  <c r="K48" i="161" a="1"/>
  <c r="I99" i="161" a="1"/>
  <c r="R133" i="161" a="1"/>
  <c r="AC89" i="161" a="1"/>
  <c r="AE123" i="161" a="1"/>
  <c r="I130" i="161" a="1"/>
  <c r="AB52" i="161" a="1"/>
  <c r="T130" i="161" a="1"/>
  <c r="L57" i="161" a="1"/>
  <c r="D91" i="161" a="1"/>
  <c r="L67" i="161" a="1"/>
  <c r="T99" i="161" a="1"/>
  <c r="T91" i="161" a="1"/>
  <c r="B116" i="161" a="1"/>
  <c r="I113" i="161" a="1"/>
  <c r="AD9" i="161" a="1"/>
  <c r="L95" i="161" a="1"/>
  <c r="V24" i="161" a="1"/>
  <c r="U85" i="161" a="1"/>
  <c r="X32" i="161" a="1"/>
  <c r="N57" i="161" a="1"/>
  <c r="D42" i="161" a="1"/>
  <c r="H125" i="161" a="1"/>
  <c r="O9" i="161" a="1"/>
  <c r="E36" i="161" a="1"/>
  <c r="J26" i="161" a="1"/>
  <c r="W10" i="161" a="1"/>
  <c r="J82" i="161" a="1"/>
  <c r="G93" i="161" a="1"/>
  <c r="AC100" i="161" a="1"/>
  <c r="C126" i="161" a="1"/>
  <c r="W62" i="161" a="1"/>
  <c r="T26" i="161" a="1"/>
  <c r="AC82" i="161" a="1"/>
  <c r="L62" i="161" a="1"/>
  <c r="W33" i="161" a="1"/>
  <c r="H49" i="161" a="1"/>
  <c r="P111" i="161" a="1"/>
  <c r="X5" i="161" a="1"/>
  <c r="AE6" i="161" a="1"/>
  <c r="E16" i="161" a="1"/>
  <c r="AD47" i="161" a="1"/>
  <c r="N86" i="161" a="1"/>
  <c r="W59" i="161" a="1"/>
  <c r="Q24" i="161" a="1"/>
  <c r="B107" i="161" a="1"/>
  <c r="B122" i="161" a="1"/>
  <c r="M39" i="161" a="1"/>
  <c r="P28" i="161" a="1"/>
  <c r="N85" i="161" a="1"/>
  <c r="AB74" i="161" a="1"/>
  <c r="AA92" i="161" a="1"/>
  <c r="G48" i="161" a="1"/>
  <c r="AB110" i="161" a="1"/>
  <c r="O4" i="161" a="1"/>
  <c r="AC90" i="161" a="1"/>
  <c r="W38" i="161" a="1"/>
  <c r="Y43" i="161" a="1"/>
  <c r="B123" i="161" a="1"/>
  <c r="N87" i="161" a="1"/>
  <c r="P25" i="161" a="1"/>
  <c r="P49" i="161" a="1"/>
  <c r="AA27" i="161" a="1"/>
  <c r="AB43" i="161" a="1"/>
  <c r="Q95" i="161" a="1"/>
  <c r="S73" i="161" a="1"/>
  <c r="S95" i="161" a="1"/>
  <c r="C94" i="161" a="1"/>
  <c r="D11" i="161" a="1"/>
  <c r="K25" i="161" a="1"/>
  <c r="B25" i="161" a="1"/>
  <c r="AD104" i="161" a="1"/>
  <c r="AC59" i="161" a="1"/>
  <c r="P100" i="161" a="1"/>
  <c r="K82" i="161" a="1"/>
  <c r="V129" i="161" a="1"/>
  <c r="S77" i="161" a="1"/>
  <c r="V27" i="161" a="1"/>
  <c r="H13" i="161" a="1"/>
  <c r="L34" i="161" a="1"/>
  <c r="AC33" i="161" a="1"/>
  <c r="O15" i="161" a="1"/>
  <c r="AC119" i="161" a="1"/>
  <c r="AB59" i="161" a="1"/>
  <c r="O71" i="161" a="1"/>
  <c r="AA7" i="161" a="1"/>
  <c r="L18" i="161" a="1"/>
  <c r="V58" i="161" a="1"/>
  <c r="AE92" i="161" a="1"/>
  <c r="Z108" i="161" a="1"/>
  <c r="U127" i="161" a="1"/>
  <c r="AB82" i="161" a="1"/>
  <c r="W26" i="161" a="1"/>
  <c r="T62" i="161" a="1"/>
  <c r="H55" i="161" a="1"/>
  <c r="N19" i="161" a="1"/>
  <c r="AE131" i="161" a="1"/>
  <c r="G15" i="161" a="1"/>
  <c r="D73" i="161" a="1"/>
  <c r="T38" i="161" a="1"/>
  <c r="AC13" i="161" a="1"/>
  <c r="AD60" i="161" a="1"/>
  <c r="K23" i="161" a="1"/>
  <c r="V80" i="161" a="1"/>
  <c r="Z105" i="161" a="1"/>
  <c r="L64" i="161" a="1"/>
  <c r="M126" i="161" a="1"/>
  <c r="N67" i="161" a="1"/>
  <c r="V37" i="161" a="1"/>
  <c r="S88" i="161" a="1"/>
  <c r="N127" i="161" a="1"/>
  <c r="J15" i="161" a="1"/>
  <c r="AB33" i="161" a="1"/>
  <c r="AD122" i="161" a="1"/>
  <c r="AE64" i="161" a="1"/>
  <c r="F132" i="161" a="1"/>
  <c r="X116" i="161" a="1"/>
  <c r="E118" i="161" a="1"/>
  <c r="Z46" i="161" a="1"/>
  <c r="P97" i="161" a="1"/>
  <c r="AC29" i="161" a="1"/>
  <c r="X38" i="161" a="1"/>
  <c r="E111" i="161" a="1"/>
  <c r="S64" i="161" a="1"/>
  <c r="R134" i="161" a="1"/>
  <c r="B101" i="161" a="1"/>
  <c r="Z69" i="161" a="1"/>
  <c r="X121" i="161" a="1"/>
  <c r="X74" i="161" a="1"/>
  <c r="F77" i="161" a="1"/>
  <c r="S111" i="161" a="1"/>
  <c r="N76" i="161" a="1"/>
  <c r="AD119" i="161" a="1"/>
  <c r="B43" i="161" a="1"/>
  <c r="Y54" i="161" a="1"/>
  <c r="H32" i="161" a="1"/>
  <c r="R95" i="161" a="1"/>
  <c r="H104" i="161" a="1"/>
  <c r="AE103" i="161" a="1"/>
  <c r="AD20" i="161" a="1"/>
  <c r="L3" i="161" a="1"/>
  <c r="AA124" i="161" a="1"/>
  <c r="V88" i="161" a="1"/>
  <c r="P125" i="161" a="1"/>
  <c r="AB79" i="161" a="1"/>
  <c r="R128" i="161" a="1"/>
  <c r="P108" i="161" a="1"/>
  <c r="U116" i="161" a="1"/>
  <c r="AB32" i="161" a="1"/>
  <c r="X114" i="161" a="1"/>
  <c r="AE120" i="161" a="1"/>
  <c r="AA105" i="161" a="1"/>
  <c r="W30" i="161" a="1"/>
  <c r="Q60" i="161" a="1"/>
  <c r="K62" i="161" a="1"/>
  <c r="L132" i="161" a="1"/>
  <c r="B34" i="161" a="1"/>
  <c r="C51" i="161" a="1"/>
  <c r="C10" i="161" a="1"/>
  <c r="C107" i="161" a="1"/>
  <c r="G34" i="161" a="1"/>
  <c r="L102" i="161" a="1"/>
  <c r="Z66" i="161" a="1"/>
  <c r="S58" i="161" a="1"/>
  <c r="H58" i="161" a="1"/>
  <c r="AA104" i="161" a="1"/>
  <c r="M103" i="161" a="1"/>
  <c r="H108" i="161" a="1"/>
  <c r="O24" i="161" a="1"/>
  <c r="S83" i="161" a="1"/>
  <c r="Q92" i="161" a="1"/>
  <c r="N55" i="161" a="1"/>
  <c r="S3" i="161" l="1"/>
  <c r="K75" i="161"/>
  <c r="N35" i="161"/>
  <c r="W81" i="161"/>
  <c r="P78" i="161"/>
  <c r="M54" i="161"/>
  <c r="G119" i="161"/>
  <c r="H133" i="161"/>
  <c r="L120" i="161"/>
  <c r="Z129" i="161"/>
  <c r="S39" i="161"/>
  <c r="U81" i="161"/>
  <c r="E120" i="161"/>
  <c r="AE101" i="161"/>
  <c r="J119" i="161"/>
  <c r="O121" i="161"/>
  <c r="X117" i="161"/>
  <c r="F106" i="161"/>
  <c r="S133" i="161"/>
  <c r="G75" i="161"/>
  <c r="AD23" i="161"/>
  <c r="AA3" i="161"/>
  <c r="W71" i="161"/>
  <c r="J133" i="161"/>
  <c r="E119" i="161"/>
  <c r="J20" i="161"/>
  <c r="C123" i="161"/>
  <c r="O108" i="161"/>
  <c r="W89" i="161"/>
  <c r="X44" i="161"/>
  <c r="F38" i="161"/>
  <c r="H68" i="161"/>
  <c r="B117" i="161"/>
  <c r="O86" i="161"/>
  <c r="AC50" i="161"/>
  <c r="AE56" i="161"/>
  <c r="AE126" i="161"/>
  <c r="B15" i="161"/>
  <c r="E40" i="161"/>
  <c r="L14" i="161"/>
  <c r="R115" i="161"/>
  <c r="AB106" i="161"/>
  <c r="F42" i="161"/>
  <c r="AA130" i="161"/>
  <c r="M36" i="161"/>
  <c r="AE30" i="161"/>
  <c r="N9" i="161"/>
  <c r="K120" i="161"/>
  <c r="AC39" i="161"/>
  <c r="AD47" i="161"/>
  <c r="I19" i="161"/>
  <c r="Q12" i="161"/>
  <c r="X20" i="161"/>
  <c r="H41" i="161"/>
  <c r="K119" i="161"/>
  <c r="Y115" i="161"/>
  <c r="J110" i="161"/>
  <c r="Q101" i="161"/>
  <c r="N87" i="161"/>
  <c r="AA73" i="161"/>
  <c r="T122" i="161"/>
  <c r="AE119" i="161"/>
  <c r="Z83" i="161"/>
  <c r="Y49" i="161"/>
  <c r="Q93" i="161"/>
  <c r="V10" i="161"/>
  <c r="M15" i="161"/>
  <c r="S14" i="161"/>
  <c r="N48" i="161"/>
  <c r="O27" i="161"/>
  <c r="R9" i="161"/>
  <c r="Z93" i="161"/>
  <c r="G14" i="161"/>
  <c r="K97" i="161"/>
  <c r="N102" i="161"/>
  <c r="AA20" i="161"/>
  <c r="X71" i="161"/>
  <c r="U124" i="161"/>
  <c r="C49" i="161"/>
  <c r="X126" i="161"/>
  <c r="X132" i="161"/>
  <c r="D12" i="161"/>
  <c r="L119" i="161"/>
  <c r="D100" i="161"/>
  <c r="G89" i="161"/>
  <c r="D33" i="161"/>
  <c r="AB73" i="161"/>
  <c r="O5" i="161"/>
  <c r="Y73" i="161"/>
  <c r="F64" i="161"/>
  <c r="J131" i="161"/>
  <c r="U80" i="161"/>
  <c r="H29" i="161"/>
  <c r="N50" i="161"/>
  <c r="J99" i="161"/>
  <c r="C73" i="161"/>
  <c r="Q19" i="161"/>
  <c r="Q57" i="161"/>
  <c r="W111" i="161"/>
  <c r="Z96" i="161"/>
  <c r="S35" i="161"/>
  <c r="N47" i="161"/>
  <c r="L50" i="161"/>
  <c r="U132" i="161"/>
  <c r="T124" i="161"/>
  <c r="X39" i="161"/>
  <c r="H87" i="161"/>
  <c r="AD26" i="161"/>
  <c r="J6" i="161"/>
  <c r="S59" i="161"/>
  <c r="W11" i="161"/>
  <c r="E15" i="161"/>
  <c r="E48" i="161"/>
  <c r="AD84" i="161"/>
  <c r="P33" i="161"/>
  <c r="L122" i="161"/>
  <c r="S77" i="161"/>
  <c r="M57" i="161"/>
  <c r="H92" i="161"/>
  <c r="X110" i="161"/>
  <c r="AE118" i="161"/>
  <c r="J54" i="161"/>
  <c r="Q29" i="161"/>
  <c r="G34" i="161"/>
  <c r="F124" i="161"/>
  <c r="G56" i="161"/>
  <c r="AA11" i="161"/>
  <c r="W97" i="161"/>
  <c r="N115" i="161"/>
  <c r="S123" i="161"/>
  <c r="T119" i="161"/>
  <c r="K34" i="161"/>
  <c r="K50" i="161"/>
  <c r="N15" i="161"/>
  <c r="Z48" i="161"/>
  <c r="R97" i="161"/>
  <c r="M56" i="161"/>
  <c r="AB11" i="161"/>
  <c r="T115" i="161"/>
  <c r="Y70" i="161"/>
  <c r="F74" i="161"/>
  <c r="F115" i="161"/>
  <c r="S32" i="161"/>
  <c r="AA122" i="161"/>
  <c r="J109" i="161"/>
  <c r="O113" i="161"/>
  <c r="G43" i="161"/>
  <c r="R73" i="161"/>
  <c r="AB112" i="161"/>
  <c r="Z39" i="161"/>
  <c r="W64" i="161"/>
  <c r="F24" i="161"/>
  <c r="AD65" i="161"/>
  <c r="X103" i="161"/>
  <c r="AD92" i="161"/>
  <c r="E46" i="161"/>
  <c r="G88" i="161"/>
  <c r="AB99" i="161"/>
  <c r="U47" i="161"/>
  <c r="E68" i="161"/>
  <c r="Y114" i="161"/>
  <c r="X47" i="161"/>
  <c r="N31" i="161"/>
  <c r="B130" i="161"/>
  <c r="E104" i="161"/>
  <c r="N83" i="161"/>
  <c r="L88" i="161"/>
  <c r="H39" i="161"/>
  <c r="Z86" i="161"/>
  <c r="E116" i="161"/>
  <c r="S92" i="161"/>
  <c r="I91" i="161"/>
  <c r="W68" i="161"/>
  <c r="Q80" i="161"/>
  <c r="M132" i="161"/>
  <c r="AA76" i="161"/>
  <c r="W94" i="161"/>
  <c r="D17" i="161"/>
  <c r="AB78" i="161"/>
  <c r="R108" i="161"/>
  <c r="W92" i="161"/>
  <c r="H107" i="161"/>
  <c r="U36" i="161"/>
  <c r="E21" i="161"/>
  <c r="X87" i="161"/>
  <c r="W95" i="161"/>
  <c r="Z27" i="161"/>
  <c r="W26" i="161"/>
  <c r="F122" i="161"/>
  <c r="V88" i="161"/>
  <c r="K63" i="161"/>
  <c r="L4" i="161"/>
  <c r="R34" i="161"/>
  <c r="S41" i="161"/>
  <c r="P134" i="161"/>
  <c r="W124" i="161"/>
  <c r="AA41" i="161"/>
  <c r="R131" i="161"/>
  <c r="I67" i="161"/>
  <c r="H66" i="161"/>
  <c r="AD87" i="161"/>
  <c r="AC82" i="161"/>
  <c r="AB65" i="161"/>
  <c r="AC10" i="161"/>
  <c r="AC96" i="161"/>
  <c r="K28" i="161"/>
  <c r="S125" i="161"/>
  <c r="O87" i="161"/>
  <c r="R63" i="161"/>
  <c r="I117" i="161"/>
  <c r="R109" i="161"/>
  <c r="J108" i="161"/>
  <c r="W121" i="161"/>
  <c r="AA26" i="161"/>
  <c r="M35" i="161"/>
  <c r="F8" i="161"/>
  <c r="N82" i="161"/>
  <c r="W57" i="161"/>
  <c r="AD104" i="161"/>
  <c r="Q67" i="161"/>
  <c r="T16" i="161"/>
  <c r="E130" i="161"/>
  <c r="K124" i="161"/>
  <c r="W130" i="161"/>
  <c r="K18" i="161"/>
  <c r="V17" i="161"/>
  <c r="AE61" i="161"/>
  <c r="I103" i="161"/>
  <c r="P68" i="161"/>
  <c r="S11" i="161"/>
  <c r="U83" i="161"/>
  <c r="M58" i="161"/>
  <c r="M72" i="161"/>
  <c r="V96" i="161"/>
  <c r="S71" i="161"/>
  <c r="Y34" i="161"/>
  <c r="AA52" i="161"/>
  <c r="Y50" i="161"/>
  <c r="M65" i="161"/>
  <c r="AA118" i="161"/>
  <c r="R100" i="161"/>
  <c r="T41" i="161"/>
  <c r="R51" i="161"/>
  <c r="Y45" i="161"/>
  <c r="R83" i="161"/>
  <c r="N29" i="161"/>
  <c r="T116" i="161"/>
  <c r="I30" i="161"/>
  <c r="Z114" i="161"/>
  <c r="G120" i="161"/>
  <c r="AA24" i="161"/>
  <c r="F56" i="161"/>
  <c r="AC102" i="161"/>
  <c r="AC64" i="161"/>
  <c r="AD13" i="161"/>
  <c r="AB5" i="161"/>
  <c r="P53" i="161"/>
  <c r="E9" i="161"/>
  <c r="F81" i="161"/>
  <c r="Y121" i="161"/>
  <c r="X116" i="161"/>
  <c r="Y122" i="161"/>
  <c r="G36" i="161"/>
  <c r="D78" i="161"/>
  <c r="C116" i="161"/>
  <c r="U119" i="161"/>
  <c r="P52" i="161"/>
  <c r="AA82" i="161"/>
  <c r="AC100" i="161"/>
  <c r="Y25" i="161"/>
  <c r="AB49" i="161"/>
  <c r="I94" i="161"/>
  <c r="I22" i="161"/>
  <c r="X49" i="161"/>
  <c r="P48" i="161"/>
  <c r="O56" i="161"/>
  <c r="K20" i="161"/>
  <c r="L22" i="161"/>
  <c r="H25" i="161"/>
  <c r="S134" i="161"/>
  <c r="R7" i="161"/>
  <c r="G76" i="161"/>
  <c r="T80" i="161"/>
  <c r="Q100" i="161"/>
  <c r="N74" i="161"/>
  <c r="AA123" i="161"/>
  <c r="M18" i="161"/>
  <c r="V38" i="161"/>
  <c r="T88" i="161"/>
  <c r="R112" i="161"/>
  <c r="Z121" i="161"/>
  <c r="G121" i="161"/>
  <c r="R93" i="161"/>
  <c r="S109" i="161"/>
  <c r="D114" i="161"/>
  <c r="O75" i="161"/>
  <c r="AE51" i="161"/>
  <c r="H85" i="161"/>
  <c r="AB132" i="161"/>
  <c r="V35" i="161"/>
  <c r="M81" i="161"/>
  <c r="V58" i="161"/>
  <c r="B113" i="161"/>
  <c r="Z60" i="161"/>
  <c r="H90" i="161"/>
  <c r="AC24" i="161"/>
  <c r="G22" i="161"/>
  <c r="AD132" i="161"/>
  <c r="R102" i="161"/>
  <c r="T134" i="161"/>
  <c r="L133" i="161"/>
  <c r="R134" i="161"/>
  <c r="K39" i="161"/>
  <c r="E82" i="161"/>
  <c r="K60" i="161"/>
  <c r="M101" i="161"/>
  <c r="Z46" i="161"/>
  <c r="Q60" i="161"/>
  <c r="Y56" i="161"/>
  <c r="T45" i="161"/>
  <c r="Q123" i="161"/>
  <c r="W134" i="161"/>
  <c r="O101" i="161"/>
  <c r="E49" i="161"/>
  <c r="P122" i="161"/>
  <c r="K29" i="161"/>
  <c r="R110" i="161"/>
  <c r="T92" i="161"/>
  <c r="H24" i="161"/>
  <c r="M106" i="161"/>
  <c r="P116" i="161"/>
  <c r="V74" i="161"/>
  <c r="AC91" i="161"/>
  <c r="M123" i="161"/>
  <c r="T127" i="161"/>
  <c r="G113" i="161"/>
  <c r="J97" i="161"/>
  <c r="O134" i="161"/>
  <c r="AE133" i="161"/>
  <c r="B133" i="161"/>
  <c r="R116" i="161"/>
  <c r="AB83" i="161"/>
  <c r="J67" i="161"/>
  <c r="M39" i="161"/>
  <c r="W35" i="161"/>
  <c r="Z24" i="161"/>
  <c r="Y28" i="161"/>
  <c r="R103" i="161"/>
  <c r="E103" i="161"/>
  <c r="L53" i="161"/>
  <c r="M131" i="161"/>
  <c r="D74" i="161"/>
  <c r="M86" i="161"/>
  <c r="F120" i="161"/>
  <c r="X111" i="161"/>
  <c r="Z81" i="161"/>
  <c r="P123" i="161"/>
  <c r="Y111" i="161"/>
  <c r="J33" i="161"/>
  <c r="G86" i="161"/>
  <c r="Z115" i="161"/>
  <c r="AC15" i="161"/>
  <c r="N91" i="161"/>
  <c r="Q77" i="161"/>
  <c r="AB101" i="161"/>
  <c r="N53" i="161"/>
  <c r="X133" i="161"/>
  <c r="Y75" i="161"/>
  <c r="S52" i="161"/>
  <c r="Z100" i="161"/>
  <c r="J123" i="161"/>
  <c r="AB57" i="161"/>
  <c r="E122" i="161"/>
  <c r="V112" i="161"/>
  <c r="X100" i="161"/>
  <c r="AE110" i="161"/>
  <c r="AE34" i="161"/>
  <c r="M121" i="161"/>
  <c r="AD126" i="161"/>
  <c r="B131" i="161"/>
  <c r="T117" i="161"/>
  <c r="P28" i="161"/>
  <c r="Z84" i="161"/>
  <c r="AB123" i="161"/>
  <c r="M129" i="161"/>
  <c r="AC13" i="161"/>
  <c r="AB115" i="161"/>
  <c r="AE93" i="161"/>
  <c r="AA131" i="161"/>
  <c r="M82" i="161"/>
  <c r="U107" i="161"/>
  <c r="N39" i="161"/>
  <c r="H28" i="161"/>
  <c r="AB13" i="161"/>
  <c r="O129" i="161"/>
  <c r="AC30" i="161"/>
  <c r="P99" i="161"/>
  <c r="Y86" i="161"/>
  <c r="P73" i="161"/>
  <c r="AD107" i="161"/>
  <c r="D133" i="161"/>
  <c r="L114" i="161"/>
  <c r="J66" i="161"/>
  <c r="M90" i="161"/>
  <c r="L107" i="161"/>
  <c r="B34" i="161"/>
  <c r="W123" i="161"/>
  <c r="S76" i="161"/>
  <c r="K98" i="161"/>
  <c r="K3" i="161"/>
  <c r="X16" i="161"/>
  <c r="Z33" i="161"/>
  <c r="B101" i="161"/>
  <c r="AC97" i="161"/>
  <c r="D101" i="161"/>
  <c r="B116" i="161"/>
  <c r="B105" i="161"/>
  <c r="AE7" i="161"/>
  <c r="M78" i="161"/>
  <c r="AE46" i="161"/>
  <c r="S51" i="161"/>
  <c r="E132" i="161"/>
  <c r="I130" i="161"/>
  <c r="V8" i="161"/>
  <c r="V41" i="161"/>
  <c r="D60" i="161"/>
  <c r="T121" i="161"/>
  <c r="P55" i="161"/>
  <c r="H54" i="161"/>
  <c r="R40" i="161"/>
  <c r="F86" i="161"/>
  <c r="Z134" i="161"/>
  <c r="F134" i="161"/>
  <c r="AD113" i="161"/>
  <c r="J74" i="161"/>
  <c r="W112" i="161"/>
  <c r="K88" i="161"/>
  <c r="J35" i="161"/>
  <c r="P128" i="161"/>
  <c r="R48" i="161"/>
  <c r="N58" i="161"/>
  <c r="Q109" i="161"/>
  <c r="F70" i="161"/>
  <c r="D21" i="161"/>
  <c r="I119" i="161"/>
  <c r="S38" i="161"/>
  <c r="AA34" i="161"/>
  <c r="AD125" i="161"/>
  <c r="H132" i="161"/>
  <c r="D121" i="161"/>
  <c r="G98" i="161"/>
  <c r="N116" i="161"/>
  <c r="J120" i="161"/>
  <c r="R29" i="161"/>
  <c r="L71" i="161"/>
  <c r="G73" i="161"/>
  <c r="I88" i="161"/>
  <c r="K53" i="161"/>
  <c r="Q102" i="161"/>
  <c r="S112" i="161"/>
  <c r="Q66" i="161"/>
  <c r="Y132" i="161"/>
  <c r="D104" i="161"/>
  <c r="AA101" i="161"/>
  <c r="F110" i="161"/>
  <c r="D120" i="161"/>
  <c r="N109" i="161"/>
  <c r="X94" i="161"/>
  <c r="N37" i="161"/>
  <c r="AC120" i="161"/>
  <c r="L131" i="161"/>
  <c r="AD16" i="161"/>
  <c r="Z31" i="161"/>
  <c r="W45" i="161"/>
  <c r="AC52" i="161"/>
  <c r="AE107" i="161"/>
  <c r="J46" i="161"/>
  <c r="B68" i="161"/>
  <c r="AC21" i="161"/>
  <c r="Q35" i="161"/>
  <c r="B80" i="161"/>
  <c r="F78" i="161"/>
  <c r="T95" i="161"/>
  <c r="AC44" i="161"/>
  <c r="E69" i="161"/>
  <c r="E79" i="161"/>
  <c r="H105" i="161"/>
  <c r="E33" i="161"/>
  <c r="D32" i="161"/>
  <c r="L82" i="161"/>
  <c r="Y12" i="161"/>
  <c r="AC75" i="161"/>
  <c r="E85" i="161"/>
  <c r="K72" i="161"/>
  <c r="G62" i="161"/>
  <c r="K109" i="161"/>
  <c r="L103" i="161"/>
  <c r="N111" i="161"/>
  <c r="Z54" i="161"/>
  <c r="AD30" i="161"/>
  <c r="L55" i="161"/>
  <c r="I56" i="161"/>
  <c r="D42" i="161"/>
  <c r="C134" i="161"/>
  <c r="X128" i="161"/>
  <c r="U39" i="161"/>
  <c r="Z113" i="161"/>
  <c r="O36" i="161"/>
  <c r="L63" i="161"/>
  <c r="AD106" i="161"/>
  <c r="Y117" i="161"/>
  <c r="S88" i="161"/>
  <c r="D99" i="161"/>
  <c r="Z50" i="161"/>
  <c r="E66" i="161"/>
  <c r="C5" i="161"/>
  <c r="V100" i="161"/>
  <c r="G9" i="161"/>
  <c r="I80" i="161"/>
  <c r="AB23" i="161"/>
  <c r="H82" i="161"/>
  <c r="W133" i="161"/>
  <c r="AA74" i="161"/>
  <c r="AA106" i="161"/>
  <c r="Q84" i="161"/>
  <c r="R60" i="161"/>
  <c r="X31" i="161"/>
  <c r="B86" i="161"/>
  <c r="Q92" i="161"/>
  <c r="M134" i="161"/>
  <c r="X66" i="161"/>
  <c r="M83" i="161"/>
  <c r="L58" i="161"/>
  <c r="X54" i="161"/>
  <c r="B85" i="161"/>
  <c r="U71" i="161"/>
  <c r="AB92" i="161"/>
  <c r="M93" i="161"/>
  <c r="O128" i="161"/>
  <c r="K68" i="161"/>
  <c r="B6" i="161"/>
  <c r="C132" i="161"/>
  <c r="U117" i="161"/>
  <c r="M130" i="161"/>
  <c r="K103" i="161"/>
  <c r="X124" i="161"/>
  <c r="M76" i="161"/>
  <c r="Z118" i="161"/>
  <c r="S75" i="161"/>
  <c r="R31" i="161"/>
  <c r="J85" i="161"/>
  <c r="K105" i="161"/>
  <c r="I124" i="161"/>
  <c r="V124" i="161"/>
  <c r="T37" i="161"/>
  <c r="X55" i="161"/>
  <c r="J61" i="161"/>
  <c r="L38" i="161"/>
  <c r="W126" i="161"/>
  <c r="Z78" i="161"/>
  <c r="F52" i="161"/>
  <c r="U134" i="161"/>
  <c r="AD38" i="161"/>
  <c r="R65" i="161"/>
  <c r="C84" i="161"/>
  <c r="H126" i="161"/>
  <c r="X122" i="161"/>
  <c r="X24" i="161"/>
  <c r="F112" i="161"/>
  <c r="H78" i="161"/>
  <c r="Q131" i="161"/>
  <c r="N133" i="161"/>
  <c r="H134" i="161"/>
  <c r="U130" i="161"/>
  <c r="D27" i="161"/>
  <c r="X62" i="161"/>
  <c r="W78" i="161"/>
  <c r="Y65" i="161"/>
  <c r="O119" i="161"/>
  <c r="V77" i="161"/>
  <c r="J90" i="161"/>
  <c r="T107" i="161"/>
  <c r="T89" i="161"/>
  <c r="R6" i="161"/>
  <c r="I134" i="161"/>
  <c r="E129" i="161"/>
  <c r="Z9" i="161"/>
  <c r="E131" i="161"/>
  <c r="B8" i="161"/>
  <c r="S65" i="161"/>
  <c r="G107" i="161"/>
  <c r="AE122" i="161"/>
  <c r="O124" i="161"/>
  <c r="AB117" i="161"/>
  <c r="M59" i="161"/>
  <c r="AC111" i="161"/>
  <c r="Q63" i="161"/>
  <c r="H130" i="161"/>
  <c r="R46" i="161"/>
  <c r="H45" i="161"/>
  <c r="AE88" i="161"/>
  <c r="V133" i="161"/>
  <c r="AA33" i="161"/>
  <c r="X104" i="161"/>
  <c r="L109" i="161"/>
  <c r="I102" i="161"/>
  <c r="R11" i="161"/>
  <c r="P114" i="161"/>
  <c r="O120" i="161"/>
  <c r="AB82" i="161"/>
  <c r="AB125" i="161"/>
  <c r="R113" i="161"/>
  <c r="AE100" i="161"/>
  <c r="I133" i="161"/>
  <c r="C109" i="161"/>
  <c r="K127" i="161"/>
  <c r="R85" i="161"/>
  <c r="T125" i="161"/>
  <c r="O111" i="161"/>
  <c r="H125" i="161"/>
  <c r="F111" i="161"/>
  <c r="D98" i="161"/>
  <c r="Z25" i="161"/>
  <c r="L74" i="161"/>
  <c r="N93" i="161"/>
  <c r="G105" i="161"/>
  <c r="U118" i="161"/>
  <c r="V39" i="161"/>
  <c r="H26" i="161"/>
  <c r="C57" i="161"/>
  <c r="H88" i="161"/>
  <c r="U32" i="161"/>
  <c r="AC57" i="161"/>
  <c r="P19" i="161"/>
  <c r="S83" i="161"/>
  <c r="I106" i="161"/>
  <c r="H84" i="161"/>
  <c r="Q83" i="161"/>
  <c r="K15" i="161"/>
  <c r="J62" i="161"/>
  <c r="AC51" i="161"/>
  <c r="Q73" i="161"/>
  <c r="U109" i="161"/>
  <c r="R23" i="161"/>
  <c r="U114" i="161"/>
  <c r="O102" i="161"/>
  <c r="K62" i="161"/>
  <c r="U15" i="161"/>
  <c r="AE60" i="161"/>
  <c r="Y42" i="161"/>
  <c r="D25" i="161"/>
  <c r="B64" i="161"/>
  <c r="AE83" i="161"/>
  <c r="AA100" i="161"/>
  <c r="L44" i="161"/>
  <c r="Q75" i="161"/>
  <c r="AE109" i="161"/>
  <c r="AA126" i="161"/>
  <c r="W39" i="161"/>
  <c r="M26" i="161"/>
  <c r="H120" i="161"/>
  <c r="AD118" i="161"/>
  <c r="M128" i="161"/>
  <c r="C70" i="161"/>
  <c r="C50" i="161"/>
  <c r="K90" i="161"/>
  <c r="W108" i="161"/>
  <c r="Y58" i="161"/>
  <c r="Q122" i="161"/>
  <c r="I31" i="161"/>
  <c r="AC74" i="161"/>
  <c r="O30" i="161"/>
  <c r="I53" i="161"/>
  <c r="C91" i="161"/>
  <c r="V55" i="161"/>
  <c r="C107" i="161"/>
  <c r="S100" i="161"/>
  <c r="Q91" i="161"/>
  <c r="E89" i="161"/>
  <c r="I69" i="161"/>
  <c r="S45" i="161"/>
  <c r="V130" i="161"/>
  <c r="H129" i="161"/>
  <c r="AC69" i="161"/>
  <c r="AB17" i="161"/>
  <c r="AC113" i="161"/>
  <c r="Y99" i="161"/>
  <c r="V78" i="161"/>
  <c r="X76" i="161"/>
  <c r="AB43" i="161"/>
  <c r="Q58" i="161"/>
  <c r="E14" i="161"/>
  <c r="S114" i="161"/>
  <c r="C59" i="161"/>
  <c r="Y133" i="161"/>
  <c r="P124" i="161"/>
  <c r="E59" i="161"/>
  <c r="W102" i="161"/>
  <c r="E123" i="161"/>
  <c r="K100" i="161"/>
  <c r="U121" i="161"/>
  <c r="AB128" i="161"/>
  <c r="D26" i="161"/>
  <c r="M45" i="161"/>
  <c r="M111" i="161"/>
  <c r="R59" i="161"/>
  <c r="M69" i="161"/>
  <c r="J45" i="161"/>
  <c r="V92" i="161"/>
  <c r="AD99" i="161"/>
  <c r="T100" i="161"/>
  <c r="AE11" i="161"/>
  <c r="AB74" i="161"/>
  <c r="H69" i="161"/>
  <c r="T47" i="161"/>
  <c r="I95" i="161"/>
  <c r="C38" i="161"/>
  <c r="T103" i="161"/>
  <c r="Y16" i="161"/>
  <c r="W114" i="161"/>
  <c r="G116" i="161"/>
  <c r="W63" i="161"/>
  <c r="AC32" i="161"/>
  <c r="U126" i="161"/>
  <c r="V71" i="161"/>
  <c r="G133" i="161"/>
  <c r="T133" i="161"/>
  <c r="D93" i="161"/>
  <c r="L36" i="161"/>
  <c r="I99" i="161"/>
  <c r="AB71" i="161"/>
  <c r="U103" i="161"/>
  <c r="P102" i="161"/>
  <c r="AC71" i="161"/>
  <c r="F119" i="161"/>
  <c r="X130" i="161"/>
  <c r="V134" i="161"/>
  <c r="C133" i="161"/>
  <c r="F133" i="161"/>
  <c r="Q89" i="161"/>
  <c r="F113" i="161"/>
  <c r="V123" i="161"/>
  <c r="AC130" i="161"/>
  <c r="I121" i="161"/>
  <c r="M112" i="161"/>
  <c r="B71" i="161"/>
  <c r="AE77" i="161"/>
  <c r="Y125" i="161"/>
  <c r="O92" i="161"/>
  <c r="M98" i="161"/>
  <c r="G118" i="161"/>
  <c r="F108" i="161"/>
  <c r="J104" i="161"/>
  <c r="G134" i="161"/>
  <c r="AB134" i="161"/>
  <c r="I37" i="161"/>
  <c r="V82" i="161"/>
  <c r="AC119" i="161"/>
  <c r="G85" i="161"/>
  <c r="U29" i="161"/>
  <c r="P105" i="161"/>
  <c r="Z122" i="161"/>
  <c r="W17" i="161"/>
  <c r="V62" i="161"/>
  <c r="W120" i="161"/>
  <c r="T109" i="161"/>
  <c r="AE54" i="161"/>
  <c r="F33" i="161"/>
  <c r="D48" i="161"/>
  <c r="H46" i="161"/>
  <c r="B134" i="161"/>
  <c r="AE134" i="161"/>
  <c r="AE37" i="161"/>
  <c r="B107" i="161"/>
  <c r="O62" i="161"/>
  <c r="Y80" i="161"/>
  <c r="AC35" i="161"/>
  <c r="X37" i="161"/>
  <c r="U113" i="161"/>
  <c r="T87" i="161"/>
  <c r="D61" i="161"/>
  <c r="B76" i="161"/>
  <c r="S79" i="161"/>
  <c r="AD131" i="161"/>
  <c r="AD110" i="161"/>
  <c r="AA133" i="161"/>
  <c r="AB24" i="161"/>
  <c r="AD93" i="161"/>
  <c r="K123" i="161"/>
  <c r="B39" i="161"/>
  <c r="AE62" i="161"/>
  <c r="S82" i="161"/>
  <c r="W34" i="161"/>
  <c r="AE23" i="161"/>
  <c r="I107" i="161"/>
  <c r="S19" i="161"/>
  <c r="I125" i="161"/>
  <c r="U108" i="161"/>
  <c r="AE92" i="161"/>
  <c r="X58" i="161"/>
  <c r="AA115" i="161"/>
  <c r="L69" i="161"/>
  <c r="T78" i="161"/>
  <c r="Q42" i="161"/>
  <c r="Q134" i="161"/>
  <c r="L134" i="161"/>
  <c r="U45" i="161"/>
  <c r="K104" i="161"/>
  <c r="L83" i="161"/>
  <c r="G115" i="161"/>
  <c r="N73" i="161"/>
  <c r="F102" i="161"/>
  <c r="R125" i="161"/>
  <c r="V125" i="161"/>
  <c r="S129" i="161"/>
  <c r="AE132" i="161"/>
  <c r="W103" i="161"/>
  <c r="O78" i="161"/>
  <c r="Q125" i="161"/>
  <c r="P117" i="161"/>
  <c r="K115" i="161"/>
  <c r="H56" i="161"/>
  <c r="K134" i="161"/>
  <c r="AC134" i="161"/>
  <c r="M102" i="161"/>
  <c r="Y63" i="161"/>
  <c r="H99" i="161"/>
  <c r="C129" i="161"/>
  <c r="E107" i="161"/>
  <c r="B78" i="161"/>
  <c r="D58" i="161"/>
  <c r="O42" i="161"/>
  <c r="D129" i="161"/>
  <c r="O93" i="161"/>
  <c r="X69" i="161"/>
  <c r="J82" i="161"/>
  <c r="V31" i="161"/>
  <c r="U93" i="161"/>
  <c r="S7" i="161"/>
  <c r="E86" i="161"/>
  <c r="H44" i="161"/>
  <c r="AD127" i="161"/>
  <c r="AB103" i="161"/>
  <c r="AE39" i="161"/>
  <c r="L68" i="161"/>
  <c r="O32" i="161"/>
  <c r="N86" i="161"/>
  <c r="V110" i="161"/>
  <c r="C9" i="161"/>
  <c r="I109" i="161"/>
  <c r="Y4" i="161"/>
  <c r="W69" i="161"/>
  <c r="AD103" i="161"/>
  <c r="AA7" i="161"/>
  <c r="P133" i="161"/>
  <c r="Y134" i="161"/>
  <c r="AC133" i="161"/>
  <c r="W75" i="161"/>
  <c r="D45" i="161"/>
  <c r="J121" i="161"/>
  <c r="C130" i="161"/>
  <c r="AC106" i="161"/>
  <c r="L66" i="161"/>
  <c r="AA105" i="161"/>
  <c r="T79" i="161"/>
  <c r="T90" i="161"/>
  <c r="G29" i="161"/>
  <c r="T98" i="161"/>
  <c r="K37" i="161"/>
  <c r="B84" i="161"/>
  <c r="U105" i="161"/>
  <c r="D62" i="161"/>
  <c r="X64" i="161"/>
  <c r="L51" i="161"/>
  <c r="M85" i="161"/>
  <c r="Y106" i="161"/>
  <c r="AE114" i="161"/>
  <c r="W21" i="161"/>
  <c r="P101" i="161"/>
  <c r="T25" i="161"/>
  <c r="O130" i="161"/>
  <c r="AA107" i="161"/>
  <c r="N13" i="161"/>
  <c r="K133" i="161"/>
  <c r="AA134" i="161"/>
  <c r="R133" i="161"/>
  <c r="AD133" i="161"/>
  <c r="O133" i="161"/>
  <c r="X134" i="161"/>
  <c r="I129" i="161"/>
  <c r="U129" i="161"/>
  <c r="Y97" i="161"/>
  <c r="F105" i="161"/>
  <c r="J80" i="161"/>
  <c r="J89" i="161"/>
  <c r="G83" i="161"/>
  <c r="J100" i="161"/>
  <c r="C88" i="161"/>
  <c r="V12" i="161"/>
  <c r="U89" i="161"/>
  <c r="L10" i="161"/>
  <c r="C78" i="161"/>
  <c r="N89" i="161"/>
  <c r="O98" i="161"/>
  <c r="V22" i="161"/>
  <c r="E22" i="161"/>
  <c r="X99" i="161"/>
  <c r="Z95" i="161"/>
  <c r="H108" i="161"/>
  <c r="W77" i="161"/>
  <c r="I34" i="161"/>
  <c r="L105" i="161"/>
  <c r="C61" i="161"/>
  <c r="C96" i="161"/>
  <c r="AD124" i="161"/>
  <c r="AC86" i="161"/>
  <c r="AC125" i="161"/>
  <c r="R132" i="161"/>
  <c r="P24" i="161"/>
  <c r="Q79" i="161"/>
  <c r="W44" i="161"/>
  <c r="V121" i="161"/>
  <c r="I73" i="161"/>
  <c r="I132" i="161"/>
  <c r="H42" i="161"/>
  <c r="AD112" i="161"/>
  <c r="U91" i="161"/>
  <c r="R124" i="161"/>
  <c r="U98" i="161"/>
  <c r="M124" i="161"/>
  <c r="X67" i="161"/>
  <c r="D123" i="161"/>
  <c r="O122" i="161"/>
  <c r="AA28" i="161"/>
  <c r="I70" i="161"/>
  <c r="X22" i="161"/>
  <c r="K80" i="161"/>
  <c r="D117" i="161"/>
  <c r="AC101" i="161"/>
  <c r="R71" i="161"/>
  <c r="W4" i="161"/>
  <c r="E71" i="161"/>
  <c r="G96" i="161"/>
  <c r="V126" i="161"/>
  <c r="D31" i="161"/>
  <c r="V19" i="161"/>
  <c r="O44" i="161"/>
  <c r="Y69" i="161"/>
  <c r="H131" i="161"/>
  <c r="S29" i="161"/>
  <c r="AE8" i="161"/>
  <c r="Q124" i="161"/>
  <c r="I112" i="161"/>
  <c r="I127" i="161"/>
  <c r="K12" i="161"/>
  <c r="F25" i="161"/>
  <c r="N44" i="161"/>
  <c r="B112" i="161"/>
  <c r="T97" i="161"/>
  <c r="X28" i="161"/>
  <c r="R21" i="161"/>
  <c r="U64" i="161"/>
  <c r="C82" i="161"/>
  <c r="U14" i="161"/>
  <c r="AE40" i="161"/>
  <c r="U104" i="161"/>
  <c r="E121" i="161"/>
  <c r="AA67" i="161"/>
  <c r="AB7" i="161"/>
  <c r="AB4" i="161"/>
  <c r="B111" i="161"/>
  <c r="W36" i="161"/>
  <c r="K132" i="161"/>
  <c r="P70" i="161"/>
  <c r="J38" i="161"/>
  <c r="AC20" i="161"/>
  <c r="N108" i="161"/>
  <c r="L115" i="161"/>
  <c r="AE76" i="161"/>
  <c r="Q44" i="161"/>
  <c r="T12" i="161"/>
  <c r="AE58" i="161"/>
  <c r="P94" i="161"/>
  <c r="G27" i="161"/>
  <c r="AA6" i="161"/>
  <c r="O84" i="161"/>
  <c r="J55" i="161"/>
  <c r="W32" i="161"/>
  <c r="E13" i="161"/>
  <c r="R99" i="161"/>
  <c r="T14" i="161"/>
  <c r="V45" i="161"/>
  <c r="K56" i="161"/>
  <c r="T50" i="161"/>
  <c r="Z111" i="161"/>
  <c r="P67" i="161"/>
  <c r="B90" i="161"/>
  <c r="Q32" i="161"/>
  <c r="AE66" i="161"/>
  <c r="X10" i="161"/>
  <c r="V23" i="161"/>
  <c r="R58" i="161"/>
  <c r="J103" i="161"/>
  <c r="P111" i="161"/>
  <c r="U106" i="161"/>
  <c r="H121" i="161"/>
  <c r="V80" i="161"/>
  <c r="AC60" i="161"/>
  <c r="L70" i="161"/>
  <c r="G42" i="161"/>
  <c r="H71" i="161"/>
  <c r="C71" i="161"/>
  <c r="AD56" i="161"/>
  <c r="AD50" i="161"/>
  <c r="Y77" i="161"/>
  <c r="N84" i="161"/>
  <c r="N45" i="161"/>
  <c r="J34" i="161"/>
  <c r="V50" i="161"/>
  <c r="T70" i="161"/>
  <c r="AC11" i="161"/>
  <c r="U97" i="161"/>
  <c r="B3" i="161"/>
  <c r="AA62" i="161"/>
  <c r="B96" i="161"/>
  <c r="V127" i="161"/>
  <c r="F69" i="161"/>
  <c r="Q106" i="161"/>
  <c r="AB104" i="161"/>
  <c r="W8" i="161"/>
  <c r="H61" i="161"/>
  <c r="O67" i="161"/>
  <c r="C85" i="161"/>
  <c r="Q87" i="161"/>
  <c r="B55" i="161"/>
  <c r="I118" i="161"/>
  <c r="C48" i="161"/>
  <c r="K65" i="161"/>
  <c r="AC81" i="161"/>
  <c r="O53" i="161"/>
  <c r="S15" i="161"/>
  <c r="AD68" i="161"/>
  <c r="AE12" i="161"/>
  <c r="S28" i="161"/>
  <c r="Z18" i="161"/>
  <c r="I64" i="161"/>
  <c r="AA96" i="161"/>
  <c r="M11" i="161"/>
  <c r="J23" i="161"/>
  <c r="R13" i="161"/>
  <c r="P3" i="161"/>
  <c r="G46" i="161"/>
  <c r="AD115" i="161"/>
  <c r="T55" i="161"/>
  <c r="T82" i="161"/>
  <c r="L28" i="161"/>
  <c r="Q115" i="161"/>
  <c r="F123" i="161"/>
  <c r="Z62" i="161"/>
  <c r="S20" i="161"/>
  <c r="O59" i="161"/>
  <c r="Y131" i="161"/>
  <c r="Z107" i="161"/>
  <c r="T32" i="161"/>
  <c r="AD98" i="161"/>
  <c r="U44" i="161"/>
  <c r="AB12" i="161"/>
  <c r="AE104" i="161"/>
  <c r="AE113" i="161"/>
  <c r="U42" i="161"/>
  <c r="H23" i="161"/>
  <c r="K9" i="161"/>
  <c r="F101" i="161"/>
  <c r="R127" i="161"/>
  <c r="I98" i="161"/>
  <c r="J10" i="161"/>
  <c r="M25" i="161"/>
  <c r="O52" i="161"/>
  <c r="O110" i="161"/>
  <c r="J40" i="161"/>
  <c r="O106" i="161"/>
  <c r="AA95" i="161"/>
  <c r="Z63" i="161"/>
  <c r="L30" i="161"/>
  <c r="L33" i="161"/>
  <c r="J32" i="161"/>
  <c r="D4" i="161"/>
  <c r="R118" i="161"/>
  <c r="J86" i="161"/>
  <c r="AC78" i="161"/>
  <c r="G50" i="161"/>
  <c r="Y105" i="161"/>
  <c r="AE130" i="161"/>
  <c r="N38" i="161"/>
  <c r="G87" i="161"/>
  <c r="AA124" i="161"/>
  <c r="Q98" i="161"/>
  <c r="AC3" i="161"/>
  <c r="AA17" i="161"/>
  <c r="F28" i="161"/>
  <c r="S24" i="161"/>
  <c r="AB94" i="161"/>
  <c r="S43" i="161"/>
  <c r="N67" i="161"/>
  <c r="M44" i="161"/>
  <c r="AC83" i="161"/>
  <c r="R50" i="161"/>
  <c r="B46" i="161"/>
  <c r="F17" i="161"/>
  <c r="AB37" i="161"/>
  <c r="Z132" i="161"/>
  <c r="G106" i="161"/>
  <c r="R5" i="161"/>
  <c r="X127" i="161"/>
  <c r="P49" i="161"/>
  <c r="E42" i="161"/>
  <c r="F51" i="161"/>
  <c r="Q45" i="161"/>
  <c r="Z71" i="161"/>
  <c r="D109" i="161"/>
  <c r="H64" i="161"/>
  <c r="Y18" i="161"/>
  <c r="AC126" i="161"/>
  <c r="Y72" i="161"/>
  <c r="G90" i="161"/>
  <c r="W50" i="161"/>
  <c r="N64" i="161"/>
  <c r="B100" i="161"/>
  <c r="Q4" i="161"/>
  <c r="I18" i="161"/>
  <c r="AD70" i="161"/>
  <c r="P103" i="161"/>
  <c r="O20" i="161"/>
  <c r="Y59" i="161"/>
  <c r="W93" i="161"/>
  <c r="O35" i="161"/>
  <c r="T61" i="161"/>
  <c r="W113" i="161"/>
  <c r="W62" i="161"/>
  <c r="AA42" i="161"/>
  <c r="W31" i="161"/>
  <c r="T60" i="161"/>
  <c r="AA49" i="161"/>
  <c r="G65" i="161"/>
  <c r="H31" i="161"/>
  <c r="H103" i="161"/>
  <c r="V5" i="161"/>
  <c r="Y24" i="161"/>
  <c r="F44" i="161"/>
  <c r="AA18" i="161"/>
  <c r="AB32" i="161"/>
  <c r="AB61" i="161"/>
  <c r="O11" i="161"/>
  <c r="F62" i="161"/>
  <c r="E29" i="161"/>
  <c r="AE17" i="161"/>
  <c r="T30" i="161"/>
  <c r="O82" i="161"/>
  <c r="AC37" i="161"/>
  <c r="S130" i="161"/>
  <c r="F84" i="161"/>
  <c r="AB10" i="161"/>
  <c r="H65" i="161"/>
  <c r="J60" i="161"/>
  <c r="P131" i="161"/>
  <c r="L108" i="161"/>
  <c r="I23" i="161"/>
  <c r="F89" i="161"/>
  <c r="N66" i="161"/>
  <c r="AC54" i="161"/>
  <c r="Y66" i="161"/>
  <c r="N19" i="161"/>
  <c r="X41" i="161"/>
  <c r="N71" i="161"/>
  <c r="L76" i="161"/>
  <c r="X84" i="161"/>
  <c r="G10" i="161"/>
  <c r="R81" i="161"/>
  <c r="AB27" i="161"/>
  <c r="I100" i="161"/>
  <c r="O94" i="161"/>
  <c r="S42" i="161"/>
  <c r="Y33" i="161"/>
  <c r="Q20" i="161"/>
  <c r="Q82" i="161"/>
  <c r="U85" i="161"/>
  <c r="N114" i="161"/>
  <c r="Y64" i="161"/>
  <c r="AD25" i="161"/>
  <c r="Y36" i="161"/>
  <c r="B16" i="161"/>
  <c r="F130" i="161"/>
  <c r="Y19" i="161"/>
  <c r="AB105" i="161"/>
  <c r="Y112" i="161"/>
  <c r="Q56" i="161"/>
  <c r="L77" i="161"/>
  <c r="U4" i="161"/>
  <c r="R95" i="161"/>
  <c r="S120" i="161"/>
  <c r="U68" i="161"/>
  <c r="G12" i="161"/>
  <c r="C98" i="161"/>
  <c r="H115" i="161"/>
  <c r="S124" i="161"/>
  <c r="AD101" i="161"/>
  <c r="T21" i="161"/>
  <c r="H38" i="161"/>
  <c r="V95" i="161"/>
  <c r="C31" i="161"/>
  <c r="K66" i="161"/>
  <c r="U50" i="161"/>
  <c r="C30" i="161"/>
  <c r="B36" i="161"/>
  <c r="W84" i="161"/>
  <c r="W6" i="161"/>
  <c r="R84" i="161"/>
  <c r="U28" i="161"/>
  <c r="U5" i="161"/>
  <c r="Y51" i="161"/>
  <c r="H20" i="161"/>
  <c r="Z52" i="161"/>
  <c r="M107" i="161"/>
  <c r="G58" i="161"/>
  <c r="G52" i="161"/>
  <c r="N80" i="161"/>
  <c r="T86" i="161"/>
  <c r="I79" i="161"/>
  <c r="L112" i="161"/>
  <c r="M88" i="161"/>
  <c r="C106" i="161"/>
  <c r="R107" i="161"/>
  <c r="W52" i="161"/>
  <c r="O123" i="161"/>
  <c r="Q62" i="161"/>
  <c r="E62" i="161"/>
  <c r="O126" i="161"/>
  <c r="V20" i="161"/>
  <c r="U125" i="161"/>
  <c r="I62" i="161"/>
  <c r="AC18" i="161"/>
  <c r="T77" i="161"/>
  <c r="F20" i="161"/>
  <c r="D77" i="161"/>
  <c r="E78" i="161"/>
  <c r="AC99" i="161"/>
  <c r="N32" i="161"/>
  <c r="L124" i="161"/>
  <c r="R89" i="161"/>
  <c r="N81" i="161"/>
  <c r="W61" i="161"/>
  <c r="AD117" i="161"/>
  <c r="S102" i="161"/>
  <c r="F132" i="161"/>
  <c r="O104" i="161"/>
  <c r="L128" i="161"/>
  <c r="N99" i="161"/>
  <c r="E113" i="161"/>
  <c r="AE16" i="161"/>
  <c r="AE14" i="161"/>
  <c r="T43" i="161"/>
  <c r="H16" i="161"/>
  <c r="Z133" i="161"/>
  <c r="AD134" i="161"/>
  <c r="AA45" i="161"/>
  <c r="AA83" i="161"/>
  <c r="O131" i="161"/>
  <c r="S18" i="161"/>
  <c r="X114" i="161"/>
  <c r="L54" i="161"/>
  <c r="C126" i="161"/>
  <c r="B128" i="161"/>
  <c r="Y83" i="161"/>
  <c r="Z70" i="161"/>
  <c r="Z101" i="161"/>
  <c r="M31" i="161"/>
  <c r="D86" i="161"/>
  <c r="AA78" i="161"/>
  <c r="AB96" i="161"/>
  <c r="I14" i="161"/>
  <c r="G100" i="161"/>
  <c r="AA90" i="161"/>
  <c r="C94" i="161"/>
  <c r="AB108" i="161"/>
  <c r="AC127" i="161"/>
  <c r="X51" i="161"/>
  <c r="Q55" i="161"/>
  <c r="D35" i="161"/>
  <c r="N122" i="161"/>
  <c r="AA77" i="161"/>
  <c r="O54" i="161"/>
  <c r="D95" i="161"/>
  <c r="K32" i="161"/>
  <c r="V106" i="161"/>
  <c r="AB64" i="161"/>
  <c r="E64" i="161"/>
  <c r="T128" i="161"/>
  <c r="V116" i="161"/>
  <c r="H127" i="161"/>
  <c r="P107" i="161"/>
  <c r="G126" i="161"/>
  <c r="T36" i="161"/>
  <c r="J101" i="161"/>
  <c r="AA31" i="161"/>
  <c r="U26" i="161"/>
  <c r="K16" i="161"/>
  <c r="S40" i="161"/>
  <c r="C121" i="161"/>
  <c r="O88" i="161"/>
  <c r="E54" i="161"/>
  <c r="K129" i="161"/>
  <c r="D118" i="161"/>
  <c r="Y60" i="161"/>
  <c r="T56" i="161"/>
  <c r="R111" i="161"/>
  <c r="S87" i="161"/>
  <c r="T101" i="161"/>
  <c r="V29" i="161"/>
  <c r="V44" i="161"/>
  <c r="T34" i="161"/>
  <c r="E115" i="161"/>
  <c r="P129" i="161"/>
  <c r="M27" i="161"/>
  <c r="M17" i="161"/>
  <c r="X18" i="161"/>
  <c r="J71" i="161"/>
  <c r="S64" i="161"/>
  <c r="AC19" i="161"/>
  <c r="F126" i="161"/>
  <c r="AA114" i="161"/>
  <c r="Q49" i="161"/>
  <c r="B109" i="161"/>
  <c r="D83" i="161"/>
  <c r="I81" i="161"/>
  <c r="P57" i="161"/>
  <c r="F6" i="161"/>
  <c r="E95" i="161"/>
  <c r="I29" i="161"/>
  <c r="C27" i="161"/>
  <c r="AE129" i="161"/>
  <c r="B102" i="161"/>
  <c r="P14" i="161"/>
  <c r="P38" i="161"/>
  <c r="AD62" i="161"/>
  <c r="T75" i="161"/>
  <c r="N55" i="161"/>
  <c r="I15" i="161"/>
  <c r="V30" i="161"/>
  <c r="S6" i="161"/>
  <c r="L59" i="161"/>
  <c r="Z11" i="161"/>
  <c r="Y82" i="161"/>
  <c r="W128" i="161"/>
  <c r="AE69" i="161"/>
  <c r="D76" i="161"/>
  <c r="F31" i="161"/>
  <c r="AD76" i="161"/>
  <c r="C65" i="161"/>
  <c r="U3" i="161"/>
  <c r="AE47" i="161"/>
  <c r="L56" i="161"/>
  <c r="W91" i="161"/>
  <c r="C24" i="161"/>
  <c r="AD60" i="161"/>
  <c r="P84" i="161"/>
  <c r="X5" i="161"/>
  <c r="P6" i="161"/>
  <c r="F68" i="161"/>
  <c r="AB63" i="161"/>
  <c r="H102" i="161"/>
  <c r="N95" i="161"/>
  <c r="I114" i="161"/>
  <c r="K116" i="161"/>
  <c r="K128" i="161"/>
  <c r="T22" i="161"/>
  <c r="AB81" i="161"/>
  <c r="Y52" i="161"/>
  <c r="F98" i="161"/>
  <c r="W115" i="161"/>
  <c r="V105" i="161"/>
  <c r="E127" i="161"/>
  <c r="AE123" i="161"/>
  <c r="N69" i="161"/>
  <c r="D8" i="161"/>
  <c r="R49" i="161"/>
  <c r="D88" i="161"/>
  <c r="J26" i="161"/>
  <c r="R98" i="161"/>
  <c r="L46" i="161"/>
  <c r="F88" i="161"/>
  <c r="U38" i="161"/>
  <c r="Y22" i="161"/>
  <c r="AE64" i="161"/>
  <c r="N97" i="161"/>
  <c r="H13" i="161"/>
  <c r="I75" i="161"/>
  <c r="O72" i="161"/>
  <c r="E126" i="161"/>
  <c r="AE81" i="161"/>
  <c r="K4" i="161"/>
  <c r="N123" i="161"/>
  <c r="J113" i="161"/>
  <c r="G68" i="161"/>
  <c r="O116" i="161"/>
  <c r="AC90" i="161"/>
  <c r="AA99" i="161"/>
  <c r="S4" i="161"/>
  <c r="F93" i="161"/>
  <c r="L110" i="161"/>
  <c r="AE79" i="161"/>
  <c r="O80" i="161"/>
  <c r="F128" i="161"/>
  <c r="C102" i="161"/>
  <c r="AA87" i="161"/>
  <c r="H80" i="161"/>
  <c r="K99" i="161"/>
  <c r="M122" i="161"/>
  <c r="Y130" i="161"/>
  <c r="AA92" i="161"/>
  <c r="L81" i="161"/>
  <c r="L3" i="161"/>
  <c r="T26" i="161"/>
  <c r="AC80" i="161"/>
  <c r="L65" i="161"/>
  <c r="O63" i="161"/>
  <c r="G44" i="161"/>
  <c r="D73" i="161"/>
  <c r="M116" i="161"/>
  <c r="H75" i="161"/>
  <c r="U11" i="161"/>
  <c r="AD85" i="161"/>
  <c r="E97" i="161"/>
  <c r="L67" i="161"/>
  <c r="X98" i="161"/>
  <c r="M119" i="161"/>
  <c r="S54" i="161"/>
  <c r="E45" i="161"/>
  <c r="Y40" i="161"/>
  <c r="E30" i="161"/>
  <c r="Z28" i="161"/>
  <c r="S107" i="161"/>
  <c r="F48" i="161"/>
  <c r="W87" i="161"/>
  <c r="E134" i="161"/>
  <c r="J134" i="161"/>
  <c r="U133" i="161"/>
  <c r="C74" i="161"/>
  <c r="D116" i="161"/>
  <c r="AC132" i="161"/>
  <c r="T81" i="161"/>
  <c r="W80" i="161"/>
  <c r="T130" i="161"/>
  <c r="O69" i="161"/>
  <c r="E65" i="161"/>
  <c r="Z110" i="161"/>
  <c r="G77" i="161"/>
  <c r="Z128" i="161"/>
  <c r="W119" i="161"/>
  <c r="D79" i="161"/>
  <c r="G125" i="161"/>
  <c r="AA93" i="161"/>
  <c r="U123" i="161"/>
  <c r="N14" i="161"/>
  <c r="O58" i="161"/>
  <c r="AE80" i="161"/>
  <c r="K79" i="161"/>
  <c r="Y119" i="161"/>
  <c r="AA110" i="161"/>
  <c r="AB133" i="161"/>
  <c r="N134" i="161"/>
  <c r="V129" i="161"/>
  <c r="Y101" i="161"/>
  <c r="P100" i="161"/>
  <c r="AE128" i="161"/>
  <c r="B73" i="161"/>
  <c r="N130" i="161"/>
  <c r="E55" i="161"/>
  <c r="O117" i="161"/>
  <c r="V21" i="161"/>
  <c r="W53" i="161"/>
  <c r="AD45" i="161"/>
  <c r="K106" i="161"/>
  <c r="I113" i="161"/>
  <c r="W73" i="161"/>
  <c r="J116" i="161"/>
  <c r="D59" i="161"/>
  <c r="W60" i="161"/>
  <c r="Y127" i="161"/>
  <c r="Y126" i="161"/>
  <c r="Y107" i="161"/>
  <c r="H17" i="161"/>
  <c r="K51" i="161"/>
  <c r="P30" i="161"/>
  <c r="M43" i="161"/>
  <c r="D10" i="161"/>
  <c r="D85" i="161"/>
  <c r="U101" i="161"/>
  <c r="U61" i="161"/>
  <c r="R43" i="161"/>
  <c r="J69" i="161"/>
  <c r="C62" i="161"/>
  <c r="H81" i="161"/>
  <c r="D69" i="161"/>
  <c r="V131" i="161"/>
  <c r="D110" i="161"/>
  <c r="F83" i="161"/>
  <c r="H51" i="161"/>
  <c r="O73" i="161"/>
  <c r="I77" i="161"/>
  <c r="N103" i="161"/>
  <c r="K130" i="161"/>
  <c r="P75" i="161"/>
  <c r="L62" i="161"/>
  <c r="Q126" i="161"/>
  <c r="Z105" i="161"/>
  <c r="U55" i="161"/>
  <c r="R47" i="161"/>
  <c r="P112" i="161"/>
  <c r="C117" i="161"/>
  <c r="F65" i="161"/>
  <c r="P109" i="161"/>
  <c r="N98" i="161"/>
  <c r="N68" i="161"/>
  <c r="X60" i="161"/>
  <c r="J42" i="161"/>
  <c r="O90" i="161"/>
  <c r="N129" i="161"/>
  <c r="AB26" i="161"/>
  <c r="E108" i="161"/>
  <c r="Y67" i="161"/>
  <c r="K121" i="161"/>
  <c r="F114" i="161"/>
  <c r="AB122" i="161"/>
  <c r="U20" i="161"/>
  <c r="D90" i="161"/>
  <c r="Y102" i="161"/>
  <c r="C32" i="161"/>
  <c r="Y54" i="161"/>
  <c r="H48" i="161"/>
  <c r="C89" i="161"/>
  <c r="R35" i="161"/>
  <c r="W132" i="161"/>
  <c r="J57" i="161"/>
  <c r="AB54" i="161"/>
  <c r="V103" i="161"/>
  <c r="S27" i="161"/>
  <c r="P110" i="161"/>
  <c r="P115" i="161"/>
  <c r="E60" i="161"/>
  <c r="V48" i="161"/>
  <c r="S72" i="161"/>
  <c r="M40" i="161"/>
  <c r="O118" i="161"/>
  <c r="P85" i="161"/>
  <c r="AA75" i="161"/>
  <c r="AE84" i="161"/>
  <c r="F100" i="161"/>
  <c r="D65" i="161"/>
  <c r="L12" i="161"/>
  <c r="G93" i="161"/>
  <c r="AA56" i="161"/>
  <c r="Y113" i="161"/>
  <c r="D111" i="161"/>
  <c r="U116" i="161"/>
  <c r="Y118" i="161"/>
  <c r="E74" i="161"/>
  <c r="U111" i="161"/>
  <c r="Y94" i="161"/>
  <c r="B70" i="161"/>
  <c r="J126" i="161"/>
  <c r="S110" i="161"/>
  <c r="F66" i="161"/>
  <c r="Q17" i="161"/>
  <c r="Z30" i="161"/>
  <c r="B5" i="161"/>
  <c r="C79" i="161"/>
  <c r="AE127" i="161"/>
  <c r="AD44" i="161"/>
  <c r="O77" i="161"/>
  <c r="AB35" i="161"/>
  <c r="AA29" i="161"/>
  <c r="U75" i="161"/>
  <c r="AE68" i="161"/>
  <c r="E18" i="161"/>
  <c r="S61" i="161"/>
  <c r="H112" i="161"/>
  <c r="B132" i="161"/>
  <c r="K71" i="161"/>
  <c r="Q65" i="161"/>
  <c r="I36" i="161"/>
  <c r="J58" i="161"/>
  <c r="P39" i="161"/>
  <c r="Z119" i="161"/>
  <c r="V85" i="161"/>
  <c r="C108" i="161"/>
  <c r="W24" i="161"/>
  <c r="Y30" i="161"/>
  <c r="Q97" i="161"/>
  <c r="I111" i="161"/>
  <c r="B38" i="161"/>
  <c r="X68" i="161"/>
  <c r="W25" i="161"/>
  <c r="I33" i="161"/>
  <c r="I10" i="161"/>
  <c r="AC131" i="161"/>
  <c r="AD105" i="161"/>
  <c r="AC121" i="161"/>
  <c r="AA86" i="161"/>
  <c r="X42" i="161"/>
  <c r="AA117" i="161"/>
  <c r="I122" i="161"/>
  <c r="S115" i="161"/>
  <c r="H91" i="161"/>
  <c r="Y39" i="161"/>
  <c r="V13" i="161"/>
  <c r="Q81" i="161"/>
  <c r="Z45" i="161"/>
  <c r="AD31" i="161"/>
  <c r="R19" i="161"/>
  <c r="U73" i="161"/>
  <c r="B79" i="161"/>
  <c r="Z32" i="161"/>
  <c r="U30" i="161"/>
  <c r="S98" i="161"/>
  <c r="W98" i="161"/>
  <c r="C43" i="161"/>
  <c r="AC79" i="161"/>
  <c r="E10" i="161"/>
  <c r="K26" i="161"/>
  <c r="R78" i="161"/>
  <c r="I131" i="161"/>
  <c r="X131" i="161"/>
  <c r="AC65" i="161"/>
  <c r="AD11" i="161"/>
  <c r="E8" i="161"/>
  <c r="K57" i="161"/>
  <c r="AA21" i="161"/>
  <c r="C35" i="161"/>
  <c r="T102" i="161"/>
  <c r="Q43" i="161"/>
  <c r="S97" i="161"/>
  <c r="U88" i="161"/>
  <c r="O112" i="161"/>
  <c r="X105" i="161"/>
  <c r="O99" i="161"/>
  <c r="F125" i="161"/>
  <c r="P96" i="161"/>
  <c r="T106" i="161"/>
  <c r="I48" i="161"/>
  <c r="AE67" i="161"/>
  <c r="U122" i="161"/>
  <c r="V107" i="161"/>
  <c r="H72" i="161"/>
  <c r="AA55" i="161"/>
  <c r="B92" i="161"/>
  <c r="H10" i="161"/>
  <c r="K126" i="161"/>
  <c r="G99" i="161"/>
  <c r="L127" i="161"/>
  <c r="V68" i="161"/>
  <c r="AB84" i="161"/>
  <c r="G66" i="161"/>
  <c r="I85" i="161"/>
  <c r="G21" i="161"/>
  <c r="D39" i="161"/>
  <c r="AC17" i="161"/>
  <c r="G92" i="161"/>
  <c r="U131" i="161"/>
  <c r="Q118" i="161"/>
  <c r="K111" i="161"/>
  <c r="E76" i="161"/>
  <c r="W86" i="161"/>
  <c r="V98" i="161"/>
  <c r="M51" i="161"/>
  <c r="I17" i="161"/>
  <c r="O29" i="161"/>
  <c r="N79" i="161"/>
  <c r="S93" i="161"/>
  <c r="T110" i="161"/>
  <c r="S47" i="161"/>
  <c r="B129" i="161"/>
  <c r="I120" i="161"/>
  <c r="Z40" i="161"/>
  <c r="W29" i="161"/>
  <c r="H76" i="161"/>
  <c r="S68" i="161"/>
  <c r="AE55" i="161"/>
  <c r="D67" i="161"/>
  <c r="B94" i="161"/>
  <c r="R88" i="161"/>
  <c r="E105" i="161"/>
  <c r="J105" i="161"/>
  <c r="Y68" i="161"/>
  <c r="S86" i="161"/>
  <c r="T104" i="161"/>
  <c r="S31" i="161"/>
  <c r="AD22" i="161"/>
  <c r="Z74" i="161"/>
  <c r="AC118" i="161"/>
  <c r="AB120" i="161"/>
  <c r="AA98" i="161"/>
  <c r="N105" i="161"/>
  <c r="L40" i="161"/>
  <c r="L37" i="161"/>
  <c r="Y15" i="161"/>
  <c r="C86" i="161"/>
  <c r="D113" i="161"/>
  <c r="F21" i="161"/>
  <c r="U31" i="161"/>
  <c r="B95" i="161"/>
  <c r="I43" i="161"/>
  <c r="L39" i="161"/>
  <c r="I46" i="161"/>
  <c r="T93" i="161"/>
  <c r="AC25" i="161"/>
  <c r="AB70" i="161"/>
  <c r="Q15" i="161"/>
  <c r="Y92" i="161"/>
  <c r="AD32" i="161"/>
  <c r="AE15" i="161"/>
  <c r="H77" i="161"/>
  <c r="M87" i="161"/>
  <c r="Q129" i="161"/>
  <c r="AE25" i="161"/>
  <c r="T129" i="161"/>
  <c r="V27" i="161"/>
  <c r="E133" i="161"/>
  <c r="D134" i="161"/>
  <c r="Q133" i="161"/>
  <c r="M133" i="161"/>
  <c r="H118" i="161"/>
  <c r="B104" i="161"/>
  <c r="E50" i="161"/>
  <c r="C111" i="161"/>
  <c r="AC72" i="161"/>
  <c r="AB25" i="161"/>
  <c r="M70" i="161"/>
  <c r="E67" i="161"/>
  <c r="AE102" i="161"/>
  <c r="AA127" i="161"/>
  <c r="Z59" i="161"/>
  <c r="R120" i="161"/>
  <c r="N127" i="161"/>
  <c r="J78" i="161"/>
  <c r="C80" i="161"/>
  <c r="F45" i="161"/>
  <c r="AA43" i="161"/>
  <c r="AC122" i="161"/>
  <c r="AE99" i="161"/>
  <c r="S101" i="161"/>
  <c r="R128" i="161"/>
  <c r="W100" i="161"/>
  <c r="N72" i="161"/>
  <c r="G132" i="161"/>
  <c r="N54" i="161"/>
  <c r="V87" i="161"/>
  <c r="N100" i="161"/>
  <c r="Y38" i="161"/>
  <c r="Y123" i="161"/>
  <c r="V15" i="161"/>
  <c r="X129" i="161"/>
  <c r="K122" i="161"/>
  <c r="U59" i="161"/>
  <c r="Y44" i="161"/>
  <c r="P86" i="161"/>
  <c r="AE87" i="161"/>
  <c r="Y88" i="161"/>
  <c r="AE105" i="161"/>
  <c r="K25" i="161"/>
  <c r="S85" i="161"/>
  <c r="AD97" i="161"/>
  <c r="AE13" i="161"/>
  <c r="F95" i="161"/>
  <c r="G114" i="161"/>
  <c r="AA129" i="161"/>
  <c r="S104" i="161"/>
  <c r="M108" i="161"/>
  <c r="AC124" i="161"/>
  <c r="T111" i="161"/>
  <c r="M115" i="161"/>
  <c r="F97" i="161"/>
  <c r="AA94" i="161"/>
  <c r="G127" i="161"/>
  <c r="L101" i="161"/>
  <c r="G82" i="161"/>
  <c r="P119" i="161"/>
  <c r="T83" i="161"/>
  <c r="G124" i="161"/>
  <c r="E72" i="161"/>
  <c r="S58" i="161"/>
  <c r="M109" i="161"/>
  <c r="J48" i="161"/>
  <c r="AA23" i="161"/>
  <c r="X9" i="161"/>
  <c r="J36" i="161"/>
  <c r="G18" i="161"/>
  <c r="C52" i="161"/>
  <c r="D128" i="161"/>
  <c r="B127" i="161"/>
  <c r="C17" i="161"/>
  <c r="I128" i="161"/>
  <c r="F92" i="161"/>
  <c r="M53" i="161"/>
  <c r="O51" i="161"/>
  <c r="P12" i="161"/>
  <c r="N101" i="161"/>
  <c r="N96" i="161"/>
  <c r="M92" i="161"/>
  <c r="Q64" i="161"/>
  <c r="Q117" i="161"/>
  <c r="U49" i="161"/>
  <c r="AC8" i="161"/>
  <c r="N63" i="161"/>
  <c r="Z75" i="161"/>
  <c r="W127" i="161"/>
  <c r="Q5" i="161"/>
  <c r="C34" i="161"/>
  <c r="O109" i="161"/>
  <c r="S99" i="161"/>
  <c r="AA51" i="161"/>
  <c r="M52" i="161"/>
  <c r="D115" i="161"/>
  <c r="S122" i="161"/>
  <c r="C101" i="161"/>
  <c r="Y95" i="161"/>
  <c r="G79" i="161"/>
  <c r="B122" i="161"/>
  <c r="X34" i="161"/>
  <c r="V109" i="161"/>
  <c r="AD40" i="161"/>
  <c r="E34" i="161"/>
  <c r="Z43" i="161"/>
  <c r="Z44" i="161"/>
  <c r="M13" i="161"/>
  <c r="T74" i="161"/>
  <c r="X79" i="161"/>
  <c r="U78" i="161"/>
  <c r="E53" i="161"/>
  <c r="S126" i="161"/>
  <c r="B47" i="161"/>
  <c r="F12" i="161"/>
  <c r="B52" i="161"/>
  <c r="V108" i="161"/>
  <c r="B27" i="161"/>
  <c r="J63" i="161"/>
  <c r="V25" i="161"/>
  <c r="C114" i="161"/>
  <c r="S118" i="161"/>
  <c r="F10" i="161"/>
  <c r="F116" i="161"/>
  <c r="F127" i="161"/>
  <c r="F5" i="161"/>
  <c r="D57" i="161"/>
  <c r="AC92" i="161"/>
  <c r="U86" i="161"/>
  <c r="AE9" i="161"/>
  <c r="G24" i="161"/>
  <c r="V53" i="161"/>
  <c r="G103" i="161"/>
  <c r="V59" i="161"/>
  <c r="J24" i="161"/>
  <c r="S116" i="161"/>
  <c r="AC62" i="161"/>
  <c r="G51" i="161"/>
  <c r="Z8" i="161"/>
  <c r="S121" i="161"/>
  <c r="Z61" i="161"/>
  <c r="X45" i="161"/>
  <c r="P98" i="161"/>
  <c r="H110" i="161"/>
  <c r="AE89" i="161"/>
  <c r="S91" i="161"/>
  <c r="J111" i="161"/>
  <c r="AD119" i="161"/>
  <c r="G49" i="161"/>
  <c r="Z131" i="161"/>
  <c r="T10" i="161"/>
  <c r="L79" i="161"/>
  <c r="K43" i="161"/>
  <c r="C33" i="161"/>
  <c r="K49" i="161"/>
  <c r="Y27" i="161"/>
  <c r="AC61" i="161"/>
  <c r="O100" i="161"/>
  <c r="AA58" i="161"/>
  <c r="AE111" i="161"/>
  <c r="B91" i="161"/>
  <c r="I42" i="161"/>
  <c r="N33" i="161"/>
  <c r="W47" i="161"/>
  <c r="U16" i="161"/>
  <c r="J130" i="161"/>
  <c r="N75" i="161"/>
  <c r="E77" i="161"/>
  <c r="M32" i="161"/>
  <c r="C124" i="161"/>
  <c r="O43" i="161"/>
  <c r="V46" i="161"/>
  <c r="C44" i="161"/>
  <c r="H63" i="161"/>
  <c r="G41" i="161"/>
  <c r="T91" i="161"/>
  <c r="X92" i="161"/>
  <c r="AC63" i="161"/>
  <c r="Z65" i="161"/>
  <c r="M42" i="161"/>
  <c r="H18" i="161"/>
  <c r="AD129" i="161"/>
  <c r="H11" i="161"/>
  <c r="Z17" i="161"/>
  <c r="T64" i="161"/>
  <c r="G71" i="161"/>
  <c r="AB79" i="161"/>
  <c r="L15" i="161"/>
  <c r="J8" i="161"/>
  <c r="B53" i="161"/>
  <c r="O45" i="161"/>
  <c r="H21" i="161"/>
  <c r="H111" i="161"/>
  <c r="P47" i="161"/>
  <c r="J52" i="161"/>
  <c r="X43" i="161"/>
  <c r="AC9" i="161"/>
  <c r="U33" i="161"/>
  <c r="V60" i="161"/>
  <c r="E94" i="161"/>
  <c r="AA72" i="161"/>
  <c r="U60" i="161"/>
  <c r="AD86" i="161"/>
  <c r="U90" i="161"/>
  <c r="AD21" i="161"/>
  <c r="T62" i="161"/>
  <c r="S37" i="161"/>
  <c r="F80" i="161"/>
  <c r="E47" i="161"/>
  <c r="Y96" i="161"/>
  <c r="Q90" i="161"/>
  <c r="N56" i="161"/>
  <c r="X6" i="161"/>
  <c r="N34" i="161"/>
  <c r="Z55" i="161"/>
  <c r="V11" i="161"/>
  <c r="Y62" i="161"/>
  <c r="AB86" i="161"/>
  <c r="D44" i="161"/>
  <c r="Q96" i="161"/>
  <c r="P56" i="161"/>
  <c r="AD72" i="161"/>
  <c r="J84" i="161"/>
  <c r="H114" i="161"/>
  <c r="I63" i="161"/>
  <c r="M94" i="161"/>
  <c r="X38" i="161"/>
  <c r="G108" i="161"/>
  <c r="X123" i="161"/>
  <c r="L20" i="161"/>
  <c r="AB131" i="161"/>
  <c r="B89" i="161"/>
  <c r="J56" i="161"/>
  <c r="AB130" i="161"/>
  <c r="K102" i="161"/>
  <c r="AB113" i="161"/>
  <c r="J81" i="161"/>
  <c r="O6" i="161"/>
  <c r="AA35" i="161"/>
  <c r="R96" i="161"/>
  <c r="K85" i="161"/>
  <c r="Y120" i="161"/>
  <c r="AB97" i="161"/>
  <c r="F109" i="161"/>
  <c r="N113" i="161"/>
  <c r="AB77" i="161"/>
  <c r="S26" i="161"/>
  <c r="T113" i="161"/>
  <c r="C58" i="161"/>
  <c r="Z127" i="161"/>
  <c r="Y85" i="161"/>
  <c r="Z123" i="161"/>
  <c r="AE117" i="161"/>
  <c r="C125" i="161"/>
  <c r="AB34" i="161"/>
  <c r="K87" i="161"/>
  <c r="AA79" i="161"/>
  <c r="AC85" i="161"/>
  <c r="T65" i="161"/>
  <c r="V49" i="161"/>
  <c r="B18" i="161"/>
  <c r="L73" i="161"/>
  <c r="R123" i="161"/>
  <c r="H50" i="161"/>
  <c r="F67" i="161"/>
  <c r="L17" i="161"/>
  <c r="AB48" i="161"/>
  <c r="G23" i="161"/>
  <c r="S8" i="161"/>
  <c r="E73" i="161"/>
  <c r="B35" i="161"/>
  <c r="J88" i="161"/>
  <c r="W70" i="161"/>
  <c r="AC4" i="161"/>
  <c r="C128" i="161"/>
  <c r="U56" i="161"/>
  <c r="Z94" i="161"/>
  <c r="AD122" i="161"/>
  <c r="R114" i="161"/>
  <c r="Q105" i="161"/>
  <c r="AE86" i="161"/>
  <c r="AD8" i="161"/>
  <c r="E38" i="161"/>
  <c r="AE44" i="161"/>
  <c r="O50" i="161"/>
  <c r="J124" i="161"/>
  <c r="O25" i="161"/>
  <c r="AB62" i="161"/>
  <c r="AE45" i="161"/>
  <c r="V28" i="161"/>
  <c r="Y98" i="161"/>
  <c r="X77" i="161"/>
  <c r="K69" i="161"/>
  <c r="H27" i="161"/>
  <c r="AB53" i="161"/>
  <c r="H98" i="161"/>
  <c r="O91" i="161"/>
  <c r="W110" i="161"/>
  <c r="M60" i="161"/>
  <c r="Z3" i="161"/>
  <c r="T84" i="161"/>
  <c r="W109" i="161"/>
  <c r="S60" i="161"/>
  <c r="T39" i="161"/>
  <c r="R8" i="161"/>
  <c r="R69" i="161"/>
  <c r="G67" i="161"/>
  <c r="B82" i="161"/>
  <c r="AA64" i="161"/>
  <c r="AC77" i="161"/>
  <c r="F104" i="161"/>
  <c r="M21" i="161"/>
  <c r="AB109" i="161"/>
  <c r="J125" i="161"/>
  <c r="J79" i="161"/>
  <c r="AC112" i="161"/>
  <c r="O12" i="161"/>
  <c r="Q127" i="161"/>
  <c r="U67" i="161"/>
  <c r="D20" i="161"/>
  <c r="V104" i="161"/>
  <c r="Q99" i="161"/>
  <c r="K125" i="161"/>
  <c r="Y53" i="161"/>
  <c r="AA80" i="161"/>
  <c r="AB93" i="161"/>
  <c r="P45" i="161"/>
  <c r="B63" i="161"/>
  <c r="I39" i="161"/>
  <c r="AD9" i="161"/>
  <c r="O8" i="161"/>
  <c r="O21" i="161"/>
  <c r="O105" i="161"/>
  <c r="I92" i="161"/>
  <c r="Z16" i="161"/>
  <c r="AE124" i="161"/>
  <c r="B83" i="161"/>
  <c r="K107" i="161"/>
  <c r="I4" i="161"/>
  <c r="Y6" i="161"/>
  <c r="F54" i="161"/>
  <c r="M89" i="161"/>
  <c r="P58" i="161"/>
  <c r="X59" i="161"/>
  <c r="P26" i="161"/>
  <c r="V86" i="161"/>
  <c r="M63" i="161"/>
  <c r="T53" i="161"/>
  <c r="L49" i="161"/>
  <c r="F61" i="161"/>
  <c r="J115" i="161"/>
  <c r="V52" i="161"/>
  <c r="D126" i="161"/>
  <c r="K93" i="161"/>
  <c r="H101" i="161"/>
  <c r="S78" i="161"/>
  <c r="V101" i="161"/>
  <c r="AE53" i="161"/>
  <c r="AB127" i="161"/>
  <c r="X120" i="161"/>
  <c r="S106" i="161"/>
  <c r="B118" i="161"/>
  <c r="X97" i="161"/>
  <c r="J37" i="161"/>
  <c r="K89" i="161"/>
  <c r="AB111" i="161"/>
  <c r="N59" i="161"/>
  <c r="U27" i="161"/>
  <c r="G6" i="161"/>
  <c r="S132" i="161"/>
  <c r="AD120" i="161"/>
  <c r="Z90" i="161"/>
  <c r="D56" i="161"/>
  <c r="P121" i="161"/>
  <c r="AA112" i="161"/>
  <c r="M64" i="161"/>
  <c r="E90" i="161"/>
  <c r="W10" i="161"/>
  <c r="R104" i="161"/>
  <c r="AD69" i="161"/>
  <c r="P126" i="161"/>
  <c r="I58" i="161"/>
  <c r="E51" i="161"/>
  <c r="J118" i="161"/>
  <c r="G130" i="161"/>
  <c r="R74" i="161"/>
  <c r="O31" i="161"/>
  <c r="N10" i="161"/>
  <c r="G60" i="161"/>
  <c r="X101" i="161"/>
  <c r="V128" i="161"/>
  <c r="I66" i="161"/>
  <c r="K67" i="161"/>
  <c r="T114" i="161"/>
  <c r="O68" i="161"/>
  <c r="G117" i="161"/>
  <c r="Q128" i="161"/>
  <c r="P81" i="161"/>
  <c r="K46" i="161"/>
  <c r="O47" i="161"/>
  <c r="E36" i="161"/>
  <c r="H86" i="161"/>
  <c r="W122" i="161"/>
  <c r="Z98" i="161"/>
  <c r="S111" i="161"/>
  <c r="Z124" i="161"/>
  <c r="J29" i="161"/>
  <c r="X63" i="161"/>
  <c r="O38" i="161"/>
  <c r="J68" i="161"/>
  <c r="N43" i="161"/>
  <c r="AE91" i="161"/>
  <c r="AD94" i="161"/>
  <c r="AA66" i="161"/>
  <c r="W37" i="161"/>
  <c r="U96" i="161"/>
  <c r="Y79" i="161"/>
  <c r="W5" i="161"/>
  <c r="C40" i="161"/>
  <c r="O3" i="161"/>
  <c r="C72" i="161"/>
  <c r="X80" i="161"/>
  <c r="AC16" i="161"/>
  <c r="V24" i="161"/>
  <c r="V43" i="161"/>
  <c r="G69" i="161"/>
  <c r="Q71" i="161"/>
  <c r="W74" i="161"/>
  <c r="K110" i="161"/>
  <c r="N61" i="161"/>
  <c r="C19" i="161"/>
  <c r="U79" i="161"/>
  <c r="G26" i="161"/>
  <c r="B25" i="161"/>
  <c r="G57" i="161"/>
  <c r="J21" i="161"/>
  <c r="AE32" i="161"/>
  <c r="Q113" i="161"/>
  <c r="S33" i="161"/>
  <c r="P9" i="161"/>
  <c r="B54" i="161"/>
  <c r="U74" i="161"/>
  <c r="M75" i="161"/>
  <c r="J50" i="161"/>
  <c r="X121" i="161"/>
  <c r="X88" i="161"/>
  <c r="AB45" i="161"/>
  <c r="H34" i="161"/>
  <c r="T40" i="161"/>
  <c r="Q9" i="161"/>
  <c r="U84" i="161"/>
  <c r="AD128" i="161"/>
  <c r="P132" i="161"/>
  <c r="R52" i="161"/>
  <c r="Z21" i="161"/>
  <c r="V119" i="161"/>
  <c r="P80" i="161"/>
  <c r="J132" i="161"/>
  <c r="D37" i="161"/>
  <c r="N30" i="161"/>
  <c r="B41" i="161"/>
  <c r="M120" i="161"/>
  <c r="H3" i="161"/>
  <c r="AD29" i="161"/>
  <c r="J22" i="161"/>
  <c r="AB33" i="161"/>
  <c r="E70" i="161"/>
  <c r="S62" i="161"/>
  <c r="AD27" i="161"/>
  <c r="X21" i="161"/>
  <c r="S36" i="161"/>
  <c r="L111" i="161"/>
  <c r="W101" i="161"/>
  <c r="V70" i="161"/>
  <c r="V115" i="161"/>
  <c r="AD55" i="161"/>
  <c r="C55" i="161"/>
  <c r="D52" i="161"/>
  <c r="P77" i="161"/>
  <c r="X118" i="161"/>
  <c r="AA38" i="161"/>
  <c r="O23" i="161"/>
  <c r="AB89" i="161"/>
  <c r="F58" i="161"/>
  <c r="X78" i="161"/>
  <c r="V4" i="161"/>
  <c r="O65" i="161"/>
  <c r="X83" i="161"/>
  <c r="J49" i="161"/>
  <c r="U7" i="161"/>
  <c r="H8" i="161"/>
  <c r="AD67" i="161"/>
  <c r="R15" i="161"/>
  <c r="X48" i="161"/>
  <c r="AD75" i="161"/>
  <c r="T38" i="161"/>
  <c r="H22" i="161"/>
  <c r="X36" i="161"/>
  <c r="V120" i="161"/>
  <c r="Z37" i="161"/>
  <c r="X11" i="161"/>
  <c r="Z12" i="161"/>
  <c r="AC56" i="161"/>
  <c r="L132" i="161"/>
  <c r="U72" i="161"/>
  <c r="T51" i="161"/>
  <c r="M8" i="161"/>
  <c r="S117" i="161"/>
  <c r="AE106" i="161"/>
  <c r="X35" i="161"/>
  <c r="Y93" i="161"/>
  <c r="AB46" i="161"/>
  <c r="G97" i="161"/>
  <c r="Q78" i="161"/>
  <c r="E41" i="161"/>
  <c r="D91" i="161"/>
  <c r="E75" i="161"/>
  <c r="P72" i="161"/>
  <c r="P43" i="161"/>
  <c r="AC66" i="161"/>
  <c r="J114" i="161"/>
  <c r="R53" i="161"/>
  <c r="D130" i="161"/>
  <c r="O49" i="161"/>
  <c r="S63" i="161"/>
  <c r="P35" i="161"/>
  <c r="T94" i="161"/>
  <c r="G35" i="161"/>
  <c r="K114" i="161"/>
  <c r="V114" i="161"/>
  <c r="AE50" i="161"/>
  <c r="P87" i="161"/>
  <c r="F53" i="161"/>
  <c r="I65" i="161"/>
  <c r="J43" i="161"/>
  <c r="K61" i="161"/>
  <c r="P66" i="161"/>
  <c r="I50" i="161"/>
  <c r="S66" i="161"/>
  <c r="G110" i="161"/>
  <c r="P60" i="161"/>
  <c r="C81" i="161"/>
  <c r="Q85" i="161"/>
  <c r="I26" i="161"/>
  <c r="H96" i="161"/>
  <c r="O64" i="161"/>
  <c r="AB129" i="161"/>
  <c r="W85" i="161"/>
  <c r="X33" i="161"/>
  <c r="E37" i="161"/>
  <c r="O97" i="161"/>
  <c r="S16" i="161"/>
  <c r="I8" i="161"/>
  <c r="O76" i="161"/>
  <c r="Z106" i="161"/>
  <c r="J94" i="161"/>
  <c r="N88" i="161"/>
  <c r="F121" i="161"/>
  <c r="AB107" i="161"/>
  <c r="AA84" i="161"/>
  <c r="B12" i="161"/>
  <c r="AE112" i="161"/>
  <c r="O132" i="161"/>
  <c r="Y23" i="161"/>
  <c r="K27" i="161"/>
  <c r="N21" i="161"/>
  <c r="AD109" i="161"/>
  <c r="R76" i="161"/>
  <c r="Y129" i="161"/>
  <c r="D125" i="161"/>
  <c r="AD130" i="161"/>
  <c r="S56" i="161"/>
  <c r="U128" i="161"/>
  <c r="O114" i="161"/>
  <c r="J102" i="161"/>
  <c r="L130" i="161"/>
  <c r="F11" i="161"/>
  <c r="AC38" i="161"/>
  <c r="D94" i="161"/>
  <c r="AA57" i="161"/>
  <c r="AC123" i="161"/>
  <c r="V32" i="161"/>
  <c r="Y116" i="161"/>
  <c r="L60" i="161"/>
  <c r="B120" i="161"/>
  <c r="E110" i="161"/>
  <c r="G129" i="161"/>
  <c r="Y124" i="161"/>
  <c r="C97" i="161"/>
  <c r="Q28" i="161"/>
  <c r="C131" i="161"/>
  <c r="AA59" i="161"/>
  <c r="D97" i="161"/>
  <c r="AD61" i="161"/>
  <c r="M33" i="161"/>
  <c r="Z68" i="161"/>
  <c r="AD114" i="161"/>
  <c r="P5" i="161"/>
  <c r="AE26" i="161"/>
  <c r="Q16" i="161"/>
  <c r="G122" i="161"/>
  <c r="U18" i="161"/>
  <c r="F13" i="161"/>
  <c r="V81" i="161"/>
  <c r="S70" i="161"/>
  <c r="M66" i="161"/>
  <c r="F60" i="161"/>
  <c r="I108" i="161"/>
  <c r="Q69" i="161"/>
  <c r="V16" i="161"/>
  <c r="B119" i="161"/>
  <c r="H128" i="161"/>
  <c r="D54" i="161"/>
  <c r="AD90" i="161"/>
  <c r="R106" i="161"/>
  <c r="S113" i="161"/>
  <c r="N22" i="161"/>
  <c r="K45" i="161"/>
  <c r="W22" i="161"/>
  <c r="W7" i="161"/>
  <c r="D38" i="161"/>
  <c r="K83" i="161"/>
  <c r="V26" i="161"/>
  <c r="O7" i="161"/>
  <c r="Q21" i="161"/>
  <c r="Z103" i="161"/>
  <c r="R105" i="161"/>
  <c r="C53" i="161"/>
  <c r="AD116" i="161"/>
  <c r="W38" i="161"/>
  <c r="T8" i="161"/>
  <c r="G20" i="161"/>
  <c r="J107" i="161"/>
  <c r="U95" i="161"/>
  <c r="V69" i="161"/>
  <c r="AB76" i="161"/>
  <c r="H124" i="161"/>
  <c r="K48" i="161"/>
  <c r="W46" i="161"/>
  <c r="AE71" i="161"/>
  <c r="G30" i="161"/>
  <c r="Q13" i="161"/>
  <c r="AD121" i="161"/>
  <c r="Q7" i="161"/>
  <c r="D82" i="161"/>
  <c r="G45" i="161"/>
  <c r="V97" i="161"/>
  <c r="I96" i="161"/>
  <c r="D119" i="161"/>
  <c r="H7" i="161"/>
  <c r="D29" i="161"/>
  <c r="E98" i="161"/>
  <c r="F50" i="161"/>
  <c r="H32" i="161"/>
  <c r="Q46" i="161"/>
  <c r="T76" i="161"/>
  <c r="H97" i="161"/>
  <c r="B99" i="161"/>
  <c r="N125" i="161"/>
  <c r="K96" i="161"/>
  <c r="H122" i="161"/>
  <c r="AA108" i="161"/>
  <c r="F41" i="161"/>
  <c r="S13" i="161"/>
  <c r="E61" i="161"/>
  <c r="B19" i="161"/>
  <c r="H74" i="161"/>
  <c r="R12" i="161"/>
  <c r="AB44" i="161"/>
  <c r="AC6" i="161"/>
  <c r="U22" i="161"/>
  <c r="F59" i="161"/>
  <c r="D89" i="161"/>
  <c r="T31" i="161"/>
  <c r="F14" i="161"/>
  <c r="L19" i="161"/>
  <c r="C51" i="161"/>
  <c r="AB16" i="161"/>
  <c r="AB19" i="161"/>
  <c r="J13" i="161"/>
  <c r="I7" i="161"/>
  <c r="L106" i="161"/>
  <c r="B37" i="161"/>
  <c r="Y103" i="161"/>
  <c r="AA60" i="161"/>
  <c r="M84" i="161"/>
  <c r="Q36" i="161"/>
  <c r="F117" i="161"/>
  <c r="N121" i="161"/>
  <c r="AE74" i="161"/>
  <c r="I86" i="161"/>
  <c r="B42" i="161"/>
  <c r="N107" i="161"/>
  <c r="S89" i="161"/>
  <c r="P125" i="161"/>
  <c r="U52" i="161"/>
  <c r="N36" i="161"/>
  <c r="B56" i="161"/>
  <c r="L29" i="161"/>
  <c r="C112" i="161"/>
  <c r="O127" i="161"/>
  <c r="J93" i="161"/>
  <c r="AD41" i="161"/>
  <c r="P130" i="161"/>
  <c r="R119" i="161"/>
  <c r="G128" i="161"/>
  <c r="AC87" i="161"/>
  <c r="P79" i="161"/>
  <c r="AB88" i="161"/>
  <c r="F49" i="161"/>
  <c r="Y110" i="161"/>
  <c r="G15" i="161"/>
  <c r="B72" i="161"/>
  <c r="D102" i="161"/>
  <c r="D131" i="161"/>
  <c r="R117" i="161"/>
  <c r="C68" i="161"/>
  <c r="M103" i="161"/>
  <c r="C64" i="161"/>
  <c r="U19" i="161"/>
  <c r="AC53" i="161"/>
  <c r="B69" i="161"/>
  <c r="W79" i="161"/>
  <c r="U70" i="161"/>
  <c r="I61" i="161"/>
  <c r="M127" i="161"/>
  <c r="N52" i="161"/>
  <c r="M100" i="161"/>
  <c r="V90" i="161"/>
  <c r="AA19" i="161"/>
  <c r="AA88" i="161"/>
  <c r="C99" i="161"/>
  <c r="J91" i="161"/>
  <c r="E87" i="161"/>
  <c r="T57" i="161"/>
  <c r="AE108" i="161"/>
  <c r="U76" i="161"/>
  <c r="U25" i="161"/>
  <c r="AE95" i="161"/>
  <c r="AE97" i="161"/>
  <c r="V113" i="161"/>
  <c r="R14" i="161"/>
  <c r="R30" i="161"/>
  <c r="R122" i="161"/>
  <c r="L21" i="161"/>
  <c r="Y61" i="161"/>
  <c r="O48" i="161"/>
  <c r="V40" i="161"/>
  <c r="AE70" i="161"/>
  <c r="B81" i="161"/>
  <c r="X119" i="161"/>
  <c r="P120" i="161"/>
  <c r="M96" i="161"/>
  <c r="N118" i="161"/>
  <c r="I87" i="161"/>
  <c r="F131" i="161"/>
  <c r="H55" i="161"/>
  <c r="Z89" i="161"/>
  <c r="L126" i="161"/>
  <c r="AE41" i="161"/>
  <c r="M48" i="161"/>
  <c r="H70" i="161"/>
  <c r="Q53" i="161"/>
  <c r="C13" i="161"/>
  <c r="C120" i="161"/>
  <c r="AB124" i="161"/>
  <c r="V84" i="161"/>
  <c r="AA125" i="161"/>
  <c r="Q47" i="161"/>
  <c r="G16" i="161"/>
  <c r="M110" i="161"/>
  <c r="G81" i="161"/>
  <c r="D46" i="161"/>
  <c r="Z56" i="161"/>
  <c r="AA128" i="161"/>
  <c r="Z72" i="161"/>
  <c r="B88" i="161"/>
  <c r="AD73" i="161"/>
  <c r="Q76" i="161"/>
  <c r="D13" i="161"/>
  <c r="G25" i="161"/>
  <c r="J73" i="161"/>
  <c r="O85" i="161"/>
  <c r="Z99" i="161"/>
  <c r="AA113" i="161"/>
  <c r="AB119" i="161"/>
  <c r="H93" i="161"/>
  <c r="N76" i="161"/>
  <c r="S17" i="161"/>
  <c r="K52" i="161"/>
  <c r="AB87" i="161"/>
  <c r="S74" i="161"/>
  <c r="X109" i="161"/>
  <c r="Z73" i="161"/>
  <c r="Z77" i="161"/>
  <c r="T118" i="161"/>
  <c r="Z126" i="161"/>
  <c r="L96" i="161"/>
  <c r="J53" i="161"/>
  <c r="AB31" i="161"/>
  <c r="Y91" i="161"/>
  <c r="B126" i="161"/>
  <c r="G61" i="161"/>
  <c r="Y10" i="161"/>
  <c r="N124" i="161"/>
  <c r="F23" i="161"/>
  <c r="U23" i="161"/>
  <c r="E117" i="161"/>
  <c r="N6" i="161"/>
  <c r="Y11" i="161"/>
  <c r="F4" i="161"/>
  <c r="F26" i="161"/>
  <c r="Z88" i="161"/>
  <c r="I28" i="161"/>
  <c r="AA53" i="161"/>
  <c r="U46" i="161"/>
  <c r="G31" i="161"/>
  <c r="U8" i="161"/>
  <c r="M7" i="161"/>
  <c r="AD91" i="161"/>
  <c r="D75" i="161"/>
  <c r="C110" i="161"/>
  <c r="Z5" i="161"/>
  <c r="F72" i="161"/>
  <c r="J117" i="161"/>
  <c r="AC55" i="161"/>
  <c r="E39" i="161"/>
  <c r="P7" i="161"/>
  <c r="U63" i="161"/>
  <c r="AD36" i="161"/>
  <c r="AC105" i="161"/>
  <c r="AE115" i="161"/>
  <c r="M126" i="161"/>
  <c r="I105" i="161"/>
  <c r="D68" i="161"/>
  <c r="C11" i="161"/>
  <c r="T27" i="161"/>
  <c r="S53" i="161"/>
  <c r="Y41" i="161"/>
  <c r="I97" i="161"/>
  <c r="R56" i="161"/>
  <c r="R17" i="161"/>
  <c r="C15" i="161"/>
  <c r="J12" i="161"/>
  <c r="AD14" i="161"/>
  <c r="AE90" i="161"/>
  <c r="B33" i="161"/>
  <c r="I49" i="161"/>
  <c r="P63" i="161"/>
  <c r="K44" i="161"/>
  <c r="C122" i="161"/>
  <c r="O46" i="161"/>
  <c r="C83" i="161"/>
  <c r="J76" i="161"/>
  <c r="S69" i="161"/>
  <c r="Y43" i="161"/>
  <c r="O26" i="161"/>
  <c r="Y3" i="161"/>
  <c r="V79" i="161"/>
  <c r="L93" i="161"/>
  <c r="J128" i="161"/>
  <c r="G64" i="161"/>
  <c r="T73" i="161"/>
  <c r="M38" i="161"/>
  <c r="H35" i="161"/>
  <c r="L31" i="161"/>
  <c r="S55" i="161"/>
  <c r="O95" i="161"/>
  <c r="AE33" i="161"/>
  <c r="W82" i="161"/>
  <c r="H12" i="161"/>
  <c r="Y71" i="161"/>
  <c r="E57" i="161"/>
  <c r="P37" i="161"/>
  <c r="V67" i="161"/>
  <c r="AD64" i="161"/>
  <c r="Q116" i="161"/>
  <c r="V14" i="161"/>
  <c r="Y9" i="161"/>
  <c r="F35" i="161"/>
  <c r="R86" i="161"/>
  <c r="G101" i="161"/>
  <c r="W105" i="161"/>
  <c r="C6" i="161"/>
  <c r="F63" i="161"/>
  <c r="D15" i="161"/>
  <c r="Y17" i="161"/>
  <c r="AD71" i="161"/>
  <c r="R79" i="161"/>
  <c r="D19" i="161"/>
  <c r="K112" i="161"/>
  <c r="J19" i="161"/>
  <c r="G55" i="161"/>
  <c r="L78" i="161"/>
  <c r="Z35" i="161"/>
  <c r="AC29" i="161"/>
  <c r="AC68" i="161"/>
  <c r="T33" i="161"/>
  <c r="T3" i="161"/>
  <c r="U127" i="161"/>
  <c r="J11" i="161"/>
  <c r="AB55" i="161"/>
  <c r="I57" i="161"/>
  <c r="AA5" i="161"/>
  <c r="B17" i="161"/>
  <c r="K64" i="161"/>
  <c r="G48" i="161"/>
  <c r="T19" i="161"/>
  <c r="AB69" i="161"/>
  <c r="N20" i="161"/>
  <c r="AC14" i="161"/>
  <c r="AA111" i="161"/>
  <c r="C93" i="161"/>
  <c r="AB75" i="161"/>
  <c r="Y81" i="161"/>
  <c r="J3" i="161"/>
  <c r="AE120" i="161"/>
  <c r="R54" i="161"/>
  <c r="AE5" i="161"/>
  <c r="L61" i="161"/>
  <c r="E35" i="161"/>
  <c r="W30" i="161"/>
  <c r="E101" i="161"/>
  <c r="AE19" i="161"/>
  <c r="AA36" i="161"/>
  <c r="V122" i="161"/>
  <c r="AA9" i="161"/>
  <c r="J15" i="161"/>
  <c r="N62" i="161"/>
  <c r="AA54" i="161"/>
  <c r="G102" i="161"/>
  <c r="J65" i="161"/>
  <c r="X25" i="161"/>
  <c r="J83" i="161"/>
  <c r="N49" i="161"/>
  <c r="O57" i="161"/>
  <c r="B14" i="161"/>
  <c r="P42" i="161"/>
  <c r="I52" i="161"/>
  <c r="I54" i="161"/>
  <c r="C26" i="161"/>
  <c r="X74" i="161"/>
  <c r="G39" i="161"/>
  <c r="U12" i="161"/>
  <c r="O71" i="161"/>
  <c r="Z47" i="161"/>
  <c r="AB38" i="161"/>
  <c r="M14" i="161"/>
  <c r="X73" i="161"/>
  <c r="E88" i="161"/>
  <c r="N65" i="161"/>
  <c r="AB60" i="161"/>
  <c r="R91" i="161"/>
  <c r="U69" i="161"/>
  <c r="O4" i="161"/>
  <c r="U77" i="161"/>
  <c r="J39" i="161"/>
  <c r="P88" i="161"/>
  <c r="C77" i="161"/>
  <c r="X29" i="161"/>
  <c r="R28" i="161"/>
  <c r="J98" i="161"/>
  <c r="AB8" i="161"/>
  <c r="D92" i="161"/>
  <c r="S80" i="161"/>
  <c r="U6" i="161"/>
  <c r="B45" i="161"/>
  <c r="I24" i="161"/>
  <c r="H89" i="161"/>
  <c r="G11" i="161"/>
  <c r="Z36" i="161"/>
  <c r="S25" i="161"/>
  <c r="V102" i="161"/>
  <c r="T5" i="161"/>
  <c r="AC128" i="161"/>
  <c r="AB51" i="161"/>
  <c r="E99" i="161"/>
  <c r="U13" i="161"/>
  <c r="P32" i="161"/>
  <c r="N26" i="161"/>
  <c r="T49" i="161"/>
  <c r="J28" i="161"/>
  <c r="I116" i="161"/>
  <c r="Q114" i="161"/>
  <c r="AA39" i="161"/>
  <c r="E12" i="161"/>
  <c r="W106" i="161"/>
  <c r="AB28" i="161"/>
  <c r="N5" i="161"/>
  <c r="Y21" i="161"/>
  <c r="S84" i="161"/>
  <c r="AC89" i="161"/>
  <c r="W58" i="161"/>
  <c r="F87" i="161"/>
  <c r="K19" i="161"/>
  <c r="AA61" i="161"/>
  <c r="I44" i="161"/>
  <c r="K113" i="161"/>
  <c r="D53" i="161"/>
  <c r="I13" i="161"/>
  <c r="AE20" i="161"/>
  <c r="R64" i="161"/>
  <c r="N17" i="161"/>
  <c r="D5" i="161"/>
  <c r="AA27" i="161"/>
  <c r="W13" i="161"/>
  <c r="AE98" i="161"/>
  <c r="K59" i="161"/>
  <c r="U21" i="161"/>
  <c r="X89" i="161"/>
  <c r="B57" i="161"/>
  <c r="J59" i="161"/>
  <c r="R39" i="161"/>
  <c r="G5" i="161"/>
  <c r="AB68" i="161"/>
  <c r="K5" i="161"/>
  <c r="AC34" i="161"/>
  <c r="M5" i="161"/>
  <c r="F99" i="161"/>
  <c r="D103" i="161"/>
  <c r="S90" i="161"/>
  <c r="AD4" i="161"/>
  <c r="Z6" i="161"/>
  <c r="M37" i="161"/>
  <c r="J72" i="161"/>
  <c r="I110" i="161"/>
  <c r="M30" i="161"/>
  <c r="B32" i="161"/>
  <c r="F96" i="161"/>
  <c r="B125" i="161"/>
  <c r="Z97" i="161"/>
  <c r="H9" i="161"/>
  <c r="C87" i="161"/>
  <c r="AA8" i="161"/>
  <c r="P10" i="161"/>
  <c r="S34" i="161"/>
  <c r="B110" i="161"/>
  <c r="P91" i="161"/>
  <c r="N25" i="161"/>
  <c r="Y74" i="161"/>
  <c r="AC27" i="161"/>
  <c r="Q120" i="161"/>
  <c r="AD80" i="161"/>
  <c r="T48" i="161"/>
  <c r="T131" i="161"/>
  <c r="V111" i="161"/>
  <c r="C42" i="161"/>
  <c r="W56" i="161"/>
  <c r="F34" i="161"/>
  <c r="C100" i="161"/>
  <c r="J75" i="161"/>
  <c r="P93" i="161"/>
  <c r="F94" i="161"/>
  <c r="G131" i="161"/>
  <c r="F27" i="161"/>
  <c r="I27" i="161"/>
  <c r="J41" i="161"/>
  <c r="Q48" i="161"/>
  <c r="M49" i="161"/>
  <c r="V93" i="161"/>
  <c r="J5" i="161"/>
  <c r="P69" i="161"/>
  <c r="AE63" i="161"/>
  <c r="M46" i="161"/>
  <c r="O60" i="161"/>
  <c r="Q86" i="161"/>
  <c r="D112" i="161"/>
  <c r="N104" i="161"/>
  <c r="W65" i="161"/>
  <c r="Y31" i="161"/>
  <c r="AD15" i="161"/>
  <c r="M20" i="161"/>
  <c r="W59" i="161"/>
  <c r="N24" i="161"/>
  <c r="N132" i="161"/>
  <c r="L45" i="161"/>
  <c r="Y108" i="161"/>
  <c r="AB67" i="161"/>
  <c r="K118" i="161"/>
  <c r="Q111" i="161"/>
  <c r="T28" i="161"/>
  <c r="AD28" i="161"/>
  <c r="Z20" i="161"/>
  <c r="K14" i="161"/>
  <c r="Y14" i="161"/>
  <c r="N16" i="161"/>
  <c r="L23" i="161"/>
  <c r="T105" i="161"/>
  <c r="Q132" i="161"/>
  <c r="P40" i="161"/>
  <c r="AC129" i="161"/>
  <c r="N23" i="161"/>
  <c r="J30" i="161"/>
  <c r="P4" i="161"/>
  <c r="J4" i="161"/>
  <c r="S67" i="161"/>
  <c r="D108" i="161"/>
  <c r="M34" i="161"/>
  <c r="AC70" i="161"/>
  <c r="B65" i="161"/>
  <c r="N3" i="161"/>
  <c r="AE31" i="161"/>
  <c r="Q34" i="161"/>
  <c r="M29" i="161"/>
  <c r="X75" i="161"/>
  <c r="E114" i="161"/>
  <c r="I12" i="161"/>
  <c r="W66" i="161"/>
  <c r="B49" i="161"/>
  <c r="Z4" i="161"/>
  <c r="AD18" i="161"/>
  <c r="E84" i="161"/>
  <c r="L25" i="161"/>
  <c r="L5" i="161"/>
  <c r="Y57" i="161"/>
  <c r="F30" i="161"/>
  <c r="Z13" i="161"/>
  <c r="I38" i="161"/>
  <c r="T13" i="161"/>
  <c r="S105" i="161"/>
  <c r="X3" i="161"/>
  <c r="X53" i="161"/>
  <c r="AA81" i="161"/>
  <c r="AE57" i="161"/>
  <c r="AE131" i="161"/>
  <c r="D6" i="161"/>
  <c r="AA63" i="161"/>
  <c r="O66" i="161"/>
  <c r="W28" i="161"/>
  <c r="L89" i="161"/>
  <c r="N112" i="161"/>
  <c r="AC31" i="161"/>
  <c r="L125" i="161"/>
  <c r="C23" i="161"/>
  <c r="AC117" i="161"/>
  <c r="AD66" i="161"/>
  <c r="N78" i="161"/>
  <c r="H109" i="161"/>
  <c r="AB21" i="161"/>
  <c r="G78" i="161"/>
  <c r="AC42" i="161"/>
  <c r="L75" i="161"/>
  <c r="AB91" i="161"/>
  <c r="AA22" i="161"/>
  <c r="Z41" i="161"/>
  <c r="K58" i="161"/>
  <c r="H19" i="161"/>
  <c r="L98" i="161"/>
  <c r="G37" i="161"/>
  <c r="X46" i="161"/>
  <c r="AC76" i="161"/>
  <c r="W67" i="161"/>
  <c r="I9" i="161"/>
  <c r="E44" i="161"/>
  <c r="X70" i="161"/>
  <c r="Q94" i="161"/>
  <c r="N131" i="161"/>
  <c r="D72" i="161"/>
  <c r="U57" i="161"/>
  <c r="AE52" i="161"/>
  <c r="M113" i="161"/>
  <c r="V83" i="161"/>
  <c r="Y84" i="161"/>
  <c r="AC26" i="161"/>
  <c r="V65" i="161"/>
  <c r="X30" i="161"/>
  <c r="P59" i="161"/>
  <c r="X112" i="161"/>
  <c r="F76" i="161"/>
  <c r="AB116" i="161"/>
  <c r="F85" i="161"/>
  <c r="P61" i="161"/>
  <c r="D16" i="161"/>
  <c r="R3" i="161"/>
  <c r="AB98" i="161"/>
  <c r="O115" i="161"/>
  <c r="H123" i="161"/>
  <c r="K38" i="161"/>
  <c r="E124" i="161"/>
  <c r="H47" i="161"/>
  <c r="N117" i="161"/>
  <c r="M91" i="161"/>
  <c r="AA32" i="161"/>
  <c r="AB56" i="161"/>
  <c r="AA121" i="161"/>
  <c r="N27" i="161"/>
  <c r="N41" i="161"/>
  <c r="AB52" i="161"/>
  <c r="AD108" i="161"/>
  <c r="AB110" i="161"/>
  <c r="W20" i="161"/>
  <c r="D50" i="161"/>
  <c r="B43" i="161"/>
  <c r="E109" i="161"/>
  <c r="P95" i="161"/>
  <c r="K84" i="161"/>
  <c r="W42" i="161"/>
  <c r="P118" i="161"/>
  <c r="B115" i="161"/>
  <c r="T126" i="161"/>
  <c r="T112" i="161"/>
  <c r="Y48" i="161"/>
  <c r="M61" i="161"/>
  <c r="AE94" i="161"/>
  <c r="Z14" i="161"/>
  <c r="N28" i="161"/>
  <c r="W9" i="161"/>
  <c r="E4" i="161"/>
  <c r="T11" i="161"/>
  <c r="B67" i="161"/>
  <c r="L92" i="161"/>
  <c r="M55" i="161"/>
  <c r="H43" i="161"/>
  <c r="O34" i="161"/>
  <c r="Z82" i="161"/>
  <c r="H30" i="161"/>
  <c r="T15" i="161"/>
  <c r="Y20" i="161"/>
  <c r="AE73" i="161"/>
  <c r="R24" i="161"/>
  <c r="AC109" i="161"/>
  <c r="Y32" i="161"/>
  <c r="AB47" i="161"/>
  <c r="I60" i="161"/>
  <c r="AD102" i="161"/>
  <c r="AE29" i="161"/>
  <c r="M6" i="161"/>
  <c r="M9" i="161"/>
  <c r="AC104" i="161"/>
  <c r="F32" i="161"/>
  <c r="K55" i="161"/>
  <c r="T54" i="161"/>
  <c r="B7" i="161"/>
  <c r="AC22" i="161"/>
  <c r="O24" i="161"/>
  <c r="AA46" i="161"/>
  <c r="Q40" i="161"/>
  <c r="O28" i="161"/>
  <c r="L42" i="161"/>
  <c r="V18" i="161"/>
  <c r="AD100" i="161"/>
  <c r="F107" i="161"/>
  <c r="B13" i="161"/>
  <c r="U35" i="161"/>
  <c r="E63" i="161"/>
  <c r="AE59" i="161"/>
  <c r="K42" i="161"/>
  <c r="M74" i="161"/>
  <c r="I78" i="161"/>
  <c r="D63" i="161"/>
  <c r="C14" i="161"/>
  <c r="AA16" i="161"/>
  <c r="Z29" i="161"/>
  <c r="AC47" i="161"/>
  <c r="U58" i="161"/>
  <c r="G123" i="161"/>
  <c r="C113" i="161"/>
  <c r="B97" i="161"/>
  <c r="L95" i="161"/>
  <c r="B93" i="161"/>
  <c r="N126" i="161"/>
  <c r="AC88" i="161"/>
  <c r="AB118" i="161"/>
  <c r="F57" i="161"/>
  <c r="V75" i="161"/>
  <c r="P82" i="161"/>
  <c r="W129" i="161"/>
  <c r="I74" i="161"/>
  <c r="C54" i="161"/>
  <c r="AC49" i="161"/>
  <c r="F43" i="161"/>
  <c r="L64" i="161"/>
  <c r="K81" i="161"/>
  <c r="B124" i="161"/>
  <c r="D105" i="161"/>
  <c r="H52" i="161"/>
  <c r="N57" i="161"/>
  <c r="W33" i="161"/>
  <c r="C18" i="161"/>
  <c r="J77" i="161"/>
  <c r="J7" i="161"/>
  <c r="U92" i="161"/>
  <c r="Q74" i="161"/>
  <c r="AA103" i="161"/>
  <c r="K23" i="161"/>
  <c r="AA109" i="161"/>
  <c r="Y128" i="161"/>
  <c r="S48" i="161"/>
  <c r="I25" i="161"/>
  <c r="W76" i="161"/>
  <c r="Q72" i="161"/>
  <c r="AE49" i="161"/>
  <c r="AC94" i="161"/>
  <c r="K31" i="161"/>
  <c r="L26" i="161"/>
  <c r="W131" i="161"/>
  <c r="F15" i="161"/>
  <c r="Z109" i="161"/>
  <c r="W90" i="161"/>
  <c r="E102" i="161"/>
  <c r="AE116" i="161"/>
  <c r="S22" i="161"/>
  <c r="B28" i="161"/>
  <c r="C29" i="161"/>
  <c r="P64" i="161"/>
  <c r="D87" i="161"/>
  <c r="AC84" i="161"/>
  <c r="AB41" i="161"/>
  <c r="AD53" i="161"/>
  <c r="K117" i="161"/>
  <c r="Z67" i="161"/>
  <c r="AA4" i="161"/>
  <c r="R90" i="161"/>
  <c r="AA68" i="161"/>
  <c r="G53" i="161"/>
  <c r="M50" i="161"/>
  <c r="O13" i="161"/>
  <c r="Y78" i="161"/>
  <c r="T58" i="161"/>
  <c r="R41" i="161"/>
  <c r="H100" i="161"/>
  <c r="V56" i="161"/>
  <c r="V117" i="161"/>
  <c r="T69" i="161"/>
  <c r="AA120" i="161"/>
  <c r="L41" i="161"/>
  <c r="AA65" i="161"/>
  <c r="L32" i="161"/>
  <c r="W3" i="161"/>
  <c r="AD111" i="161"/>
  <c r="D122" i="161"/>
  <c r="V57" i="161"/>
  <c r="F19" i="161"/>
  <c r="T123" i="161"/>
  <c r="C104" i="161"/>
  <c r="U87" i="161"/>
  <c r="F91" i="161"/>
  <c r="O70" i="161"/>
  <c r="E32" i="161"/>
  <c r="T96" i="161"/>
  <c r="N106" i="161"/>
  <c r="L85" i="161"/>
  <c r="Y87" i="161"/>
  <c r="K73" i="161"/>
  <c r="E118" i="161"/>
  <c r="AA85" i="161"/>
  <c r="L97" i="161"/>
  <c r="L57" i="161"/>
  <c r="P127" i="161"/>
  <c r="F79" i="161"/>
  <c r="N12" i="161"/>
  <c r="D47" i="161"/>
  <c r="B75" i="161"/>
  <c r="P34" i="161"/>
  <c r="AB14" i="161"/>
  <c r="AA14" i="161"/>
  <c r="G111" i="161"/>
  <c r="L8" i="161"/>
  <c r="S30" i="161"/>
  <c r="D96" i="161"/>
  <c r="U51" i="161"/>
  <c r="I115" i="161"/>
  <c r="K95" i="161"/>
  <c r="J96" i="161"/>
  <c r="B22" i="161"/>
  <c r="M125" i="161"/>
  <c r="AE35" i="161"/>
  <c r="V54" i="161"/>
  <c r="H119" i="161"/>
  <c r="G54" i="161"/>
  <c r="K82" i="161"/>
  <c r="E93" i="161"/>
  <c r="B74" i="161"/>
  <c r="Z117" i="161"/>
  <c r="AB126" i="161"/>
  <c r="E11" i="161"/>
  <c r="P76" i="161"/>
  <c r="AB18" i="161"/>
  <c r="Q59" i="161"/>
  <c r="B123" i="161"/>
  <c r="Q104" i="161"/>
  <c r="M95" i="161"/>
  <c r="P54" i="161"/>
  <c r="E96" i="161"/>
  <c r="M117" i="161"/>
  <c r="X72" i="161"/>
  <c r="X17" i="161"/>
  <c r="X27" i="161"/>
  <c r="P97" i="161"/>
  <c r="P62" i="161"/>
  <c r="C21" i="161"/>
  <c r="Z10" i="161"/>
  <c r="G84" i="161"/>
  <c r="T85" i="161"/>
  <c r="AB50" i="161"/>
  <c r="Q8" i="161"/>
  <c r="S73" i="161"/>
  <c r="G32" i="161"/>
  <c r="U9" i="161"/>
  <c r="K21" i="161"/>
  <c r="E16" i="161"/>
  <c r="P11" i="161"/>
  <c r="AB80" i="161"/>
  <c r="R27" i="161"/>
  <c r="U10" i="161"/>
  <c r="I126" i="161"/>
  <c r="L104" i="161"/>
  <c r="Q50" i="161"/>
  <c r="D49" i="161"/>
  <c r="D18" i="161"/>
  <c r="G59" i="161"/>
  <c r="S46" i="161"/>
  <c r="S5" i="161"/>
  <c r="U62" i="161"/>
  <c r="AB9" i="161"/>
  <c r="R129" i="161"/>
  <c r="X14" i="161"/>
  <c r="M22" i="161"/>
  <c r="P41" i="161"/>
  <c r="D64" i="161"/>
  <c r="V3" i="161"/>
  <c r="K101" i="161"/>
  <c r="J95" i="161"/>
  <c r="D124" i="161"/>
  <c r="N77" i="161"/>
  <c r="X12" i="161"/>
  <c r="Q68" i="161"/>
  <c r="W49" i="161"/>
  <c r="D55" i="161"/>
  <c r="T99" i="161"/>
  <c r="C118" i="161"/>
  <c r="C46" i="161"/>
  <c r="L13" i="161"/>
  <c r="W55" i="161"/>
  <c r="R26" i="161"/>
  <c r="B4" i="161"/>
  <c r="Y89" i="161"/>
  <c r="Z85" i="161"/>
  <c r="AC36" i="161"/>
  <c r="AA132" i="161"/>
  <c r="W104" i="161"/>
  <c r="N120" i="161"/>
  <c r="W19" i="161"/>
  <c r="Q95" i="161"/>
  <c r="U82" i="161"/>
  <c r="AB59" i="161"/>
  <c r="C4" i="161"/>
  <c r="AA104" i="161"/>
  <c r="D132" i="161"/>
  <c r="V63" i="161"/>
  <c r="G28" i="161"/>
  <c r="Y76" i="161"/>
  <c r="O103" i="161"/>
  <c r="R45" i="161"/>
  <c r="R18" i="161"/>
  <c r="T132" i="161"/>
  <c r="X52" i="161"/>
  <c r="P83" i="161"/>
  <c r="W48" i="161"/>
  <c r="G112" i="161"/>
  <c r="I55" i="161"/>
  <c r="R55" i="161"/>
  <c r="V66" i="161"/>
  <c r="W116" i="161"/>
  <c r="D41" i="161"/>
  <c r="L100" i="161"/>
  <c r="X107" i="161"/>
  <c r="E100" i="161"/>
  <c r="Q52" i="161"/>
  <c r="Z76" i="161"/>
  <c r="U110" i="161"/>
  <c r="AB66" i="161"/>
  <c r="I104" i="161"/>
  <c r="E31" i="161"/>
  <c r="N94" i="161"/>
  <c r="AC108" i="161"/>
  <c r="AD88" i="161"/>
  <c r="X96" i="161"/>
  <c r="M118" i="161"/>
  <c r="O125" i="161"/>
  <c r="D34" i="161"/>
  <c r="O107" i="161"/>
  <c r="AE27" i="161"/>
  <c r="M24" i="161"/>
  <c r="R82" i="161"/>
  <c r="D40" i="161"/>
  <c r="C115" i="161"/>
  <c r="U115" i="161"/>
  <c r="P74" i="161"/>
  <c r="Z112" i="161"/>
  <c r="H40" i="161"/>
  <c r="B11" i="161"/>
  <c r="S95" i="161"/>
  <c r="O55" i="161"/>
  <c r="L43" i="161"/>
  <c r="Q51" i="161"/>
  <c r="L123" i="161"/>
  <c r="AC98" i="161"/>
  <c r="K22" i="161"/>
  <c r="AA89" i="161"/>
  <c r="AA119" i="161"/>
  <c r="Q11" i="161"/>
  <c r="B44" i="161"/>
  <c r="F118" i="161"/>
  <c r="R32" i="161"/>
  <c r="E83" i="161"/>
  <c r="C28" i="161"/>
  <c r="T108" i="161"/>
  <c r="Q26" i="161"/>
  <c r="X65" i="161"/>
  <c r="B23" i="161"/>
  <c r="U94" i="161"/>
  <c r="B40" i="161"/>
  <c r="N70" i="161"/>
  <c r="L113" i="161"/>
  <c r="U112" i="161"/>
  <c r="AD82" i="161"/>
  <c r="L16" i="161"/>
  <c r="Q121" i="161"/>
  <c r="K77" i="161"/>
  <c r="N46" i="161"/>
  <c r="G74" i="161"/>
  <c r="D127" i="161"/>
  <c r="AB30" i="161"/>
  <c r="S108" i="161"/>
  <c r="P51" i="161"/>
  <c r="C75" i="161"/>
  <c r="N40" i="161"/>
  <c r="X26" i="161"/>
  <c r="S103" i="161"/>
  <c r="O79" i="161"/>
  <c r="N110" i="161"/>
  <c r="AC28" i="161"/>
  <c r="E91" i="161"/>
  <c r="X113" i="161"/>
  <c r="AC103" i="161"/>
  <c r="D80" i="161"/>
  <c r="C67" i="161"/>
  <c r="E17" i="161"/>
  <c r="L117" i="161"/>
  <c r="B24" i="161"/>
  <c r="K10" i="161"/>
  <c r="J106" i="161"/>
  <c r="S50" i="161"/>
  <c r="AC33" i="161"/>
  <c r="R94" i="161"/>
  <c r="V132" i="161"/>
  <c r="D84" i="161"/>
  <c r="Z130" i="161"/>
  <c r="D81" i="161"/>
  <c r="O74" i="161"/>
  <c r="M77" i="161"/>
  <c r="Q112" i="161"/>
  <c r="T7" i="161"/>
  <c r="T120" i="161"/>
  <c r="X81" i="161"/>
  <c r="D9" i="161"/>
  <c r="J112" i="161"/>
  <c r="B121" i="161"/>
  <c r="R126" i="161"/>
  <c r="R101" i="161"/>
  <c r="H116" i="161"/>
  <c r="AB15" i="161"/>
  <c r="AE43" i="161"/>
  <c r="J127" i="161"/>
  <c r="K41" i="161"/>
  <c r="E19" i="161"/>
  <c r="X4" i="161"/>
  <c r="G40" i="161"/>
  <c r="W41" i="161"/>
  <c r="L90" i="161"/>
  <c r="C22" i="161"/>
  <c r="R42" i="161"/>
  <c r="L129" i="161"/>
  <c r="W125" i="161"/>
  <c r="AB20" i="161"/>
  <c r="L27" i="161"/>
  <c r="J14" i="161"/>
  <c r="Q103" i="161"/>
  <c r="G70" i="161"/>
  <c r="H53" i="161"/>
  <c r="C41" i="161"/>
  <c r="W12" i="161"/>
  <c r="M28" i="161"/>
  <c r="X86" i="161"/>
  <c r="C45" i="161"/>
  <c r="C90" i="161"/>
  <c r="AA97" i="161"/>
  <c r="U54" i="161"/>
  <c r="N8" i="161"/>
  <c r="P90" i="161"/>
  <c r="X102" i="161"/>
  <c r="W54" i="161"/>
  <c r="R57" i="161"/>
  <c r="AB100" i="161"/>
  <c r="I59" i="161"/>
  <c r="E28" i="161"/>
  <c r="E58" i="161"/>
  <c r="AA50" i="161"/>
  <c r="V91" i="161"/>
  <c r="G80" i="161"/>
  <c r="Q107" i="161"/>
  <c r="AB95" i="161"/>
  <c r="V34" i="161"/>
  <c r="J64" i="161"/>
  <c r="AD74" i="161"/>
  <c r="W118" i="161"/>
  <c r="H15" i="161"/>
  <c r="AE21" i="161"/>
  <c r="AE125" i="161"/>
  <c r="I16" i="161"/>
  <c r="I20" i="161"/>
  <c r="R44" i="161"/>
  <c r="AE48" i="161"/>
  <c r="M99" i="161"/>
  <c r="AE96" i="161"/>
  <c r="F55" i="161"/>
  <c r="J16" i="161"/>
  <c r="C8" i="161"/>
  <c r="O40" i="161"/>
  <c r="T67" i="161"/>
  <c r="F90" i="161"/>
  <c r="O18" i="161"/>
  <c r="C12" i="161"/>
  <c r="H58" i="161"/>
  <c r="Z69" i="161"/>
  <c r="R72" i="161"/>
  <c r="P44" i="161"/>
  <c r="O19" i="161"/>
  <c r="AD6" i="161"/>
  <c r="X108" i="161"/>
  <c r="E52" i="161"/>
  <c r="C47" i="161"/>
  <c r="H57" i="161"/>
  <c r="M105" i="161"/>
  <c r="Q10" i="161"/>
  <c r="Z23" i="161"/>
  <c r="E20" i="161"/>
  <c r="R33" i="161"/>
  <c r="AA12" i="161"/>
  <c r="I35" i="161"/>
  <c r="K30" i="161"/>
  <c r="AA48" i="161"/>
  <c r="E24" i="161"/>
  <c r="S21" i="161"/>
  <c r="X115" i="161"/>
  <c r="R37" i="161"/>
  <c r="Z49" i="161"/>
  <c r="F18" i="161"/>
  <c r="L91" i="161"/>
  <c r="AD89" i="161"/>
  <c r="R66" i="161"/>
  <c r="K108" i="161"/>
  <c r="O15" i="161"/>
  <c r="M23" i="161"/>
  <c r="F46" i="161"/>
  <c r="AC40" i="161"/>
  <c r="C92" i="161"/>
  <c r="R20" i="161"/>
  <c r="K8" i="161"/>
  <c r="Y90" i="161"/>
  <c r="Z92" i="161"/>
  <c r="K74" i="161"/>
  <c r="M41" i="161"/>
  <c r="I90" i="161"/>
  <c r="V61" i="161"/>
  <c r="M67" i="161"/>
  <c r="M4" i="161"/>
  <c r="T68" i="161"/>
  <c r="Z53" i="161"/>
  <c r="Q37" i="161"/>
  <c r="D24" i="161"/>
  <c r="G19" i="161"/>
  <c r="AC43" i="161"/>
  <c r="J92" i="161"/>
  <c r="H104" i="161"/>
  <c r="Z26" i="161"/>
  <c r="Q110" i="161"/>
  <c r="I45" i="161"/>
  <c r="P104" i="161"/>
  <c r="G109" i="161"/>
  <c r="K131" i="161"/>
  <c r="K35" i="161"/>
  <c r="L121" i="161"/>
  <c r="W107" i="161"/>
  <c r="R38" i="161"/>
  <c r="I11" i="161"/>
  <c r="R22" i="161"/>
  <c r="AE24" i="161"/>
  <c r="I101" i="161"/>
  <c r="J87" i="161"/>
  <c r="D107" i="161"/>
  <c r="R61" i="161"/>
  <c r="P108" i="161"/>
  <c r="P65" i="161"/>
  <c r="F103" i="161"/>
  <c r="Y100" i="161"/>
  <c r="AE85" i="161"/>
  <c r="L72" i="161"/>
  <c r="I84" i="161"/>
  <c r="Q130" i="161"/>
  <c r="I89" i="161"/>
  <c r="W23" i="161"/>
  <c r="C95" i="161"/>
  <c r="AB3" i="161"/>
  <c r="D43" i="161"/>
  <c r="X95" i="161"/>
  <c r="Z42" i="161"/>
  <c r="G95" i="161"/>
  <c r="Z87" i="161"/>
  <c r="D11" i="161"/>
  <c r="J129" i="161"/>
  <c r="AA70" i="161"/>
  <c r="X85" i="161"/>
  <c r="Q30" i="161"/>
  <c r="J27" i="161"/>
  <c r="V89" i="161"/>
  <c r="AD19" i="161"/>
  <c r="G72" i="161"/>
  <c r="Q108" i="161"/>
  <c r="B66" i="161"/>
  <c r="U43" i="161"/>
  <c r="K70" i="161"/>
  <c r="AE65" i="161"/>
  <c r="P22" i="161"/>
  <c r="K47" i="161"/>
  <c r="X32" i="161"/>
  <c r="P27" i="161"/>
  <c r="AE42" i="161"/>
  <c r="G63" i="161"/>
  <c r="U100" i="161"/>
  <c r="AC114" i="161"/>
  <c r="AD57" i="161"/>
  <c r="AA25" i="161"/>
  <c r="U48" i="161"/>
  <c r="T20" i="161"/>
  <c r="AB42" i="161"/>
  <c r="Y5" i="161"/>
  <c r="F36" i="161"/>
  <c r="F16" i="161"/>
  <c r="K91" i="161"/>
  <c r="C16" i="161"/>
  <c r="H14" i="161"/>
  <c r="AD48" i="161"/>
  <c r="Q18" i="161"/>
  <c r="V47" i="161"/>
  <c r="AA102" i="161"/>
  <c r="V42" i="161"/>
  <c r="C66" i="161"/>
  <c r="F37" i="161"/>
  <c r="J70" i="161"/>
  <c r="AE3" i="161"/>
  <c r="S96" i="161"/>
  <c r="AD79" i="161"/>
  <c r="Q88" i="161"/>
  <c r="V9" i="161"/>
  <c r="Z66" i="161"/>
  <c r="Q14" i="161"/>
  <c r="I83" i="161"/>
  <c r="AD58" i="161"/>
  <c r="X56" i="161"/>
  <c r="W27" i="161"/>
  <c r="AC110" i="161"/>
  <c r="I5" i="161"/>
  <c r="AE18" i="161"/>
  <c r="T6" i="161"/>
  <c r="K24" i="161"/>
  <c r="AE38" i="161"/>
  <c r="AE78" i="161"/>
  <c r="X125" i="161"/>
  <c r="Q31" i="161"/>
  <c r="X7" i="161"/>
  <c r="V37" i="161"/>
  <c r="U34" i="161"/>
  <c r="R62" i="161"/>
  <c r="V99" i="161"/>
  <c r="AC73" i="161"/>
  <c r="AB72" i="161"/>
  <c r="Z51" i="161"/>
  <c r="Q119" i="161"/>
  <c r="AD43" i="161"/>
  <c r="H117" i="161"/>
  <c r="H62" i="161"/>
  <c r="M47" i="161"/>
  <c r="O10" i="161"/>
  <c r="K6" i="161"/>
  <c r="J25" i="161"/>
  <c r="B114" i="161"/>
  <c r="O81" i="161"/>
  <c r="K78" i="161"/>
  <c r="Q22" i="161"/>
  <c r="Q54" i="161"/>
  <c r="I72" i="161"/>
  <c r="H60" i="161"/>
  <c r="U66" i="161"/>
  <c r="H36" i="161"/>
  <c r="F129" i="161"/>
  <c r="D22" i="161"/>
  <c r="U65" i="161"/>
  <c r="H33" i="161"/>
  <c r="I68" i="161"/>
  <c r="Z79" i="161"/>
  <c r="C37" i="161"/>
  <c r="B61" i="161"/>
  <c r="H113" i="161"/>
  <c r="Z120" i="161"/>
  <c r="J17" i="161"/>
  <c r="C103" i="161"/>
  <c r="AC115" i="161"/>
  <c r="AE103" i="161"/>
  <c r="E81" i="161"/>
  <c r="Y13" i="161"/>
  <c r="K76" i="161"/>
  <c r="N92" i="161"/>
  <c r="AA44" i="161"/>
  <c r="I41" i="161"/>
  <c r="T52" i="161"/>
  <c r="N85" i="161"/>
  <c r="B106" i="161"/>
  <c r="H106" i="161"/>
  <c r="Q24" i="161"/>
  <c r="S127" i="161"/>
  <c r="D28" i="161"/>
  <c r="C69" i="161"/>
  <c r="V51" i="161"/>
  <c r="C56" i="161"/>
  <c r="R80" i="161"/>
  <c r="M79" i="161"/>
  <c r="R77" i="161"/>
  <c r="V72" i="161"/>
  <c r="B50" i="161"/>
  <c r="P50" i="161"/>
  <c r="V94" i="161"/>
  <c r="R130" i="161"/>
  <c r="Z116" i="161"/>
  <c r="G94" i="161"/>
  <c r="W16" i="161"/>
  <c r="K33" i="161"/>
  <c r="AC58" i="161"/>
  <c r="AD33" i="161"/>
  <c r="M80" i="161"/>
  <c r="H5" i="161"/>
  <c r="P25" i="161"/>
  <c r="T66" i="161"/>
  <c r="R10" i="161"/>
  <c r="H67" i="161"/>
  <c r="AA40" i="161"/>
  <c r="AC95" i="161"/>
  <c r="C20" i="161"/>
  <c r="L7" i="161"/>
  <c r="J51" i="161"/>
  <c r="B60" i="161"/>
  <c r="X19" i="161"/>
  <c r="X91" i="161"/>
  <c r="P13" i="161"/>
  <c r="S119" i="161"/>
  <c r="D51" i="161"/>
  <c r="B26" i="161"/>
  <c r="T35" i="161"/>
  <c r="F77" i="161"/>
  <c r="S81" i="161"/>
  <c r="Q61" i="161"/>
  <c r="AB29" i="161"/>
  <c r="G33" i="161"/>
  <c r="P29" i="161"/>
  <c r="E125" i="161"/>
  <c r="E23" i="161"/>
  <c r="Q39" i="161"/>
  <c r="J31" i="161"/>
  <c r="W14" i="161"/>
  <c r="L35" i="161"/>
  <c r="Q70" i="161"/>
  <c r="W18" i="161"/>
  <c r="M19" i="161"/>
  <c r="AC23" i="161"/>
  <c r="H83" i="161"/>
  <c r="L94" i="161"/>
  <c r="P46" i="161"/>
  <c r="AC59" i="161"/>
  <c r="AB58" i="161"/>
  <c r="Q25" i="161"/>
  <c r="I51" i="161"/>
  <c r="B30" i="161"/>
  <c r="X50" i="161"/>
  <c r="L11" i="161"/>
  <c r="X23" i="161"/>
  <c r="E111" i="161"/>
  <c r="M104" i="161"/>
  <c r="Y29" i="161"/>
  <c r="Y26" i="161"/>
  <c r="AC48" i="161"/>
  <c r="D66" i="161"/>
  <c r="M97" i="161"/>
  <c r="Z58" i="161"/>
  <c r="E25" i="161"/>
  <c r="N7" i="161"/>
  <c r="L116" i="161"/>
  <c r="Q6" i="161"/>
  <c r="Y35" i="161"/>
  <c r="I93" i="161"/>
  <c r="O33" i="161"/>
  <c r="E27" i="161"/>
  <c r="T4" i="161"/>
  <c r="H49" i="161"/>
  <c r="AA13" i="161"/>
  <c r="K86" i="161"/>
  <c r="B77" i="161"/>
  <c r="V64" i="161"/>
  <c r="F73" i="161"/>
  <c r="AE10" i="161"/>
  <c r="D14" i="161"/>
  <c r="K7" i="161"/>
  <c r="M12" i="161"/>
  <c r="G13" i="161"/>
  <c r="B59" i="161"/>
  <c r="AA71" i="161"/>
  <c r="D30" i="161"/>
  <c r="M68" i="161"/>
  <c r="Z104" i="161"/>
  <c r="O22" i="161"/>
  <c r="O41" i="161"/>
  <c r="J47" i="161"/>
  <c r="R92" i="161"/>
  <c r="O16" i="161"/>
  <c r="AD123" i="161"/>
  <c r="E80" i="161"/>
  <c r="X8" i="161"/>
  <c r="F9" i="161"/>
  <c r="W72" i="161"/>
  <c r="K17" i="161"/>
  <c r="W96" i="161"/>
  <c r="E56" i="161"/>
  <c r="T18" i="161"/>
  <c r="P21" i="161"/>
  <c r="AD77" i="161"/>
  <c r="U99" i="161"/>
  <c r="AD96" i="161"/>
  <c r="R87" i="161"/>
  <c r="E5" i="161"/>
  <c r="T29" i="161"/>
  <c r="S10" i="161"/>
  <c r="AC12" i="161"/>
  <c r="S12" i="161"/>
  <c r="B51" i="161"/>
  <c r="X106" i="161"/>
  <c r="AD54" i="161"/>
  <c r="D71" i="161"/>
  <c r="X61" i="161"/>
  <c r="C7" i="161"/>
  <c r="C63" i="161"/>
  <c r="AA10" i="161"/>
  <c r="T23" i="161"/>
  <c r="U41" i="161"/>
  <c r="T24" i="161"/>
  <c r="N51" i="161"/>
  <c r="E112" i="161"/>
  <c r="M62" i="161"/>
  <c r="L9" i="161"/>
  <c r="Y37" i="161"/>
  <c r="B21" i="161"/>
  <c r="C105" i="161"/>
  <c r="AD52" i="161"/>
  <c r="M16" i="161"/>
  <c r="R36" i="161"/>
  <c r="S9" i="161"/>
  <c r="B20" i="161"/>
  <c r="H59" i="161"/>
  <c r="L24" i="161"/>
  <c r="F39" i="161"/>
  <c r="V33" i="161"/>
  <c r="AB36" i="161"/>
  <c r="AB85" i="161"/>
  <c r="V118" i="161"/>
  <c r="D23" i="161"/>
  <c r="B103" i="161"/>
  <c r="Y109" i="161"/>
  <c r="S57" i="161"/>
  <c r="D36" i="161"/>
  <c r="L47" i="161"/>
  <c r="P20" i="161"/>
  <c r="D70" i="161"/>
  <c r="G104" i="161"/>
  <c r="C25" i="161"/>
  <c r="W43" i="161"/>
  <c r="AD34" i="161"/>
  <c r="P71" i="161"/>
  <c r="AD24" i="161"/>
  <c r="AE28" i="161"/>
  <c r="F22" i="161"/>
  <c r="I47" i="161"/>
  <c r="T59" i="161"/>
  <c r="Z57" i="161"/>
  <c r="L87" i="161"/>
  <c r="AC46" i="161"/>
  <c r="Y7" i="161"/>
  <c r="P92" i="161"/>
  <c r="T42" i="161"/>
  <c r="AE22" i="161"/>
  <c r="Z19" i="161"/>
  <c r="AD81" i="161"/>
  <c r="Z7" i="161"/>
  <c r="B108" i="161"/>
  <c r="AB6" i="161"/>
  <c r="T9" i="161"/>
  <c r="AD12" i="161"/>
  <c r="T46" i="161"/>
  <c r="Z108" i="161"/>
  <c r="AE6" i="161"/>
  <c r="X15" i="161"/>
  <c r="T17" i="161"/>
  <c r="AD63" i="161"/>
  <c r="G38" i="161"/>
  <c r="Y55" i="161"/>
  <c r="I3" i="161"/>
  <c r="T72" i="161"/>
  <c r="Y47" i="161"/>
  <c r="P8" i="161"/>
  <c r="M73" i="161"/>
  <c r="C127" i="161"/>
  <c r="N42" i="161"/>
  <c r="B87" i="161"/>
  <c r="E106" i="161"/>
  <c r="K36" i="161"/>
  <c r="U17" i="161"/>
  <c r="V7" i="161"/>
  <c r="AB114" i="161"/>
  <c r="R4" i="161"/>
  <c r="V36" i="161"/>
  <c r="N4" i="161"/>
  <c r="F82" i="161"/>
  <c r="L34" i="161"/>
  <c r="Y104" i="161"/>
  <c r="O83" i="161"/>
  <c r="E92" i="161"/>
  <c r="M3" i="161"/>
  <c r="B48" i="161"/>
  <c r="U120" i="161"/>
  <c r="E43" i="161"/>
  <c r="R75" i="161"/>
  <c r="U53" i="161"/>
  <c r="AA30" i="161"/>
  <c r="W51" i="161"/>
  <c r="P106" i="161"/>
  <c r="B9" i="161"/>
  <c r="AA69" i="161"/>
  <c r="AC107" i="161"/>
  <c r="N90" i="161"/>
  <c r="AD42" i="161"/>
  <c r="V6" i="161"/>
  <c r="F29" i="161"/>
  <c r="Z22" i="161"/>
  <c r="J44" i="161"/>
  <c r="K13" i="161"/>
  <c r="W99" i="161"/>
  <c r="Q23" i="161"/>
  <c r="E26" i="161"/>
  <c r="AD7" i="161"/>
  <c r="M10" i="161"/>
  <c r="U37" i="161"/>
  <c r="M114" i="161"/>
  <c r="B58" i="161"/>
  <c r="AD35" i="161"/>
  <c r="AE82" i="161"/>
  <c r="R68" i="161"/>
  <c r="AB39" i="161"/>
  <c r="L6" i="161"/>
  <c r="S94" i="161"/>
  <c r="P23" i="161"/>
  <c r="AD3" i="161"/>
  <c r="S49" i="161"/>
  <c r="AD10" i="161"/>
  <c r="AB40" i="161"/>
  <c r="U40" i="161"/>
  <c r="S23" i="161"/>
  <c r="X90" i="161"/>
  <c r="L18" i="161"/>
  <c r="Y8" i="161"/>
  <c r="Z64" i="161"/>
  <c r="N60" i="161"/>
  <c r="K11" i="161"/>
  <c r="C76" i="161"/>
  <c r="O61" i="161"/>
  <c r="M71" i="161"/>
  <c r="R25" i="161"/>
  <c r="W40" i="161"/>
  <c r="X82" i="161"/>
  <c r="AD49" i="161"/>
  <c r="O17" i="161"/>
  <c r="AD20" i="161"/>
  <c r="J122" i="161"/>
  <c r="S128" i="161"/>
  <c r="C39" i="161"/>
  <c r="O14" i="161"/>
  <c r="N128" i="161"/>
  <c r="AD78" i="161"/>
  <c r="O9" i="161"/>
  <c r="L48" i="161"/>
  <c r="P18" i="161"/>
  <c r="G47" i="161"/>
  <c r="R67" i="161"/>
  <c r="AE72" i="161"/>
  <c r="R70" i="161"/>
  <c r="Z34" i="161"/>
  <c r="J9" i="161"/>
  <c r="G17" i="161"/>
  <c r="AD46" i="161"/>
  <c r="N18" i="161"/>
  <c r="Q27" i="161"/>
  <c r="P89" i="161"/>
  <c r="X57" i="161"/>
  <c r="E128" i="161"/>
  <c r="H37" i="161"/>
  <c r="Z91" i="161"/>
  <c r="AE4" i="161"/>
  <c r="P17" i="161"/>
  <c r="E6" i="161"/>
  <c r="N119" i="161"/>
  <c r="W83" i="161"/>
  <c r="AA116" i="161"/>
  <c r="S131" i="161"/>
  <c r="AA15" i="161"/>
  <c r="K54" i="161"/>
  <c r="Z102" i="161"/>
  <c r="Z125" i="161"/>
  <c r="AA47" i="161"/>
  <c r="P113" i="161"/>
  <c r="Q38" i="161"/>
  <c r="F47" i="161"/>
  <c r="Z15" i="161"/>
  <c r="H79" i="161"/>
  <c r="AB121" i="161"/>
  <c r="AB102" i="161"/>
  <c r="T44" i="161"/>
  <c r="I76" i="161"/>
  <c r="AC93" i="161"/>
  <c r="K40" i="161"/>
  <c r="H73" i="161"/>
  <c r="P31" i="161"/>
  <c r="AE75" i="161"/>
  <c r="Q33" i="161"/>
  <c r="O37" i="161"/>
  <c r="F71" i="161"/>
  <c r="AC67" i="161"/>
  <c r="AC45" i="161"/>
  <c r="T63" i="161"/>
  <c r="I32" i="161"/>
  <c r="P15" i="161"/>
  <c r="B98" i="161"/>
  <c r="U102" i="161"/>
  <c r="L102" i="161"/>
  <c r="B10" i="161"/>
  <c r="AB90" i="161"/>
  <c r="T71" i="161"/>
  <c r="AD51" i="161"/>
  <c r="B62" i="161"/>
  <c r="W117" i="161"/>
  <c r="K92" i="161"/>
  <c r="L118" i="161"/>
  <c r="H95" i="161"/>
  <c r="Y46" i="161"/>
  <c r="O89" i="161"/>
  <c r="X93" i="161"/>
  <c r="O96" i="161"/>
  <c r="AD37" i="161"/>
  <c r="J18" i="161"/>
  <c r="H4" i="161"/>
  <c r="L99" i="161"/>
  <c r="G91" i="161"/>
  <c r="AE121" i="161"/>
  <c r="N11" i="161"/>
  <c r="L80" i="161"/>
  <c r="R121" i="161"/>
  <c r="AD95" i="161"/>
  <c r="AB22" i="161"/>
  <c r="Z38" i="161"/>
  <c r="U24" i="161"/>
  <c r="I123" i="161"/>
  <c r="I71" i="161"/>
  <c r="AC116" i="161"/>
  <c r="AD39" i="161"/>
  <c r="V73" i="161"/>
  <c r="G8" i="161"/>
  <c r="AA91" i="161"/>
  <c r="S44" i="161"/>
  <c r="B31" i="161"/>
  <c r="C60" i="161"/>
  <c r="Z80" i="161"/>
  <c r="L86" i="161"/>
  <c r="K94" i="161"/>
  <c r="O39" i="161"/>
  <c r="L84" i="161"/>
  <c r="AC5" i="161"/>
  <c r="AD17" i="161"/>
  <c r="C36" i="161"/>
  <c r="D106" i="161"/>
  <c r="AA37" i="161"/>
  <c r="I21" i="161"/>
  <c r="I6" i="161"/>
  <c r="Q41" i="161"/>
  <c r="AC7" i="161"/>
  <c r="C10" i="161"/>
  <c r="F75" i="161"/>
  <c r="C119" i="161"/>
  <c r="W15" i="161"/>
  <c r="X13" i="161"/>
  <c r="C3" i="161"/>
  <c r="L52" i="161"/>
  <c r="V76" i="161"/>
  <c r="W88" i="161"/>
  <c r="AD83" i="161"/>
  <c r="B29" i="161"/>
  <c r="I40" i="161"/>
  <c r="AD59" i="161"/>
  <c r="AE36" i="161"/>
  <c r="P16" i="161"/>
  <c r="P36" i="161"/>
  <c r="H94" i="161"/>
  <c r="R16" i="161"/>
  <c r="AD5" i="161"/>
  <c r="G4" i="161"/>
  <c r="I82" i="161"/>
  <c r="Q3" i="161"/>
  <c r="H6" i="161"/>
  <c r="X40" i="161"/>
  <c r="AC41" i="161"/>
  <c r="F40" i="16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<sst xmlns="http://schemas.openxmlformats.org/spreadsheetml/2006/main" count="1784" uniqueCount="230">
  <si>
    <t>Rijlabels</t>
  </si>
  <si>
    <t>Aantal van Customer</t>
  </si>
  <si>
    <t>Aantal van BU1</t>
  </si>
  <si>
    <t>EG</t>
  </si>
  <si>
    <t>SS</t>
  </si>
  <si>
    <t>(leeg)</t>
  </si>
  <si>
    <t>LJ</t>
  </si>
  <si>
    <t>TK</t>
  </si>
  <si>
    <t>GN</t>
  </si>
  <si>
    <t>Eindtotaal</t>
  </si>
  <si>
    <t>Go-live</t>
  </si>
  <si>
    <t>(Meerdere items)</t>
  </si>
  <si>
    <t>Kolomlabels</t>
  </si>
  <si>
    <t>FTI Consulting Belgium SRL</t>
  </si>
  <si>
    <t>Gambit Financial Solutions</t>
  </si>
  <si>
    <t>Creneau</t>
  </si>
  <si>
    <t>Kuantic Benelux</t>
  </si>
  <si>
    <t>Ohme Operations Ireland Ltd</t>
  </si>
  <si>
    <t>Keune Haircosmetics Belgium NV</t>
  </si>
  <si>
    <t>VDW Bikes BV</t>
  </si>
  <si>
    <t>Pulso Europe BV</t>
  </si>
  <si>
    <t>Galapagos Biopharma Netherlands (AlfaSigma)</t>
  </si>
  <si>
    <t>Soenen Golfkarton Nederland BV</t>
  </si>
  <si>
    <t>Natus Manufacturing Ltd</t>
  </si>
  <si>
    <t>Staubli Benelux</t>
  </si>
  <si>
    <t>Murprotec Nederland</t>
  </si>
  <si>
    <t>Checklist Domestic implementation</t>
  </si>
  <si>
    <t>HOME</t>
  </si>
  <si>
    <t xml:space="preserve">laatste update : </t>
  </si>
  <si>
    <t>Status voortgang</t>
  </si>
  <si>
    <t>SETUP uitsplitsing</t>
  </si>
  <si>
    <t>TEST uitsplitsing</t>
  </si>
  <si>
    <t>Overig</t>
  </si>
  <si>
    <t>Verantwoordelijke:</t>
  </si>
  <si>
    <t>Go Live:</t>
  </si>
  <si>
    <t>Case nr:</t>
  </si>
  <si>
    <t>Koppelingen:</t>
  </si>
  <si>
    <t xml:space="preserve">Protime </t>
  </si>
  <si>
    <t>Dienstverlening:</t>
  </si>
  <si>
    <t>TWK:</t>
  </si>
  <si>
    <t>Affiliate:</t>
  </si>
  <si>
    <t>VDN</t>
  </si>
  <si>
    <t>Launch</t>
  </si>
  <si>
    <t>Invoer klantgeg</t>
  </si>
  <si>
    <t>Documenten</t>
  </si>
  <si>
    <t>HRM</t>
  </si>
  <si>
    <t>Teams link</t>
  </si>
  <si>
    <t>Betaaldatum</t>
  </si>
  <si>
    <t># wns:</t>
  </si>
  <si>
    <t>Discovery</t>
  </si>
  <si>
    <t>Test per 1</t>
  </si>
  <si>
    <t>HRM consultant:</t>
  </si>
  <si>
    <t>Testrun 1</t>
  </si>
  <si>
    <t>Setup</t>
  </si>
  <si>
    <t>Test per 2</t>
  </si>
  <si>
    <t>Testrun 2</t>
  </si>
  <si>
    <t xml:space="preserve"> </t>
  </si>
  <si>
    <t>Test</t>
  </si>
  <si>
    <t>Journaal</t>
  </si>
  <si>
    <t>Eerste dag HRM</t>
  </si>
  <si>
    <t xml:space="preserve">Aanleverdata </t>
  </si>
  <si>
    <t>Go Live</t>
  </si>
  <si>
    <t>Overall</t>
  </si>
  <si>
    <t>vrijblijvend</t>
  </si>
  <si>
    <t>Taak</t>
  </si>
  <si>
    <t>Verantwoordelijke</t>
  </si>
  <si>
    <t>Datum invoer</t>
  </si>
  <si>
    <t>Status %</t>
  </si>
  <si>
    <t>Hide</t>
  </si>
  <si>
    <t>Tijd gepland</t>
  </si>
  <si>
    <t>Gedaan door</t>
  </si>
  <si>
    <t>Tijd besteed</t>
  </si>
  <si>
    <t>Opmerkingen - afspraken  / bijzonderheden / openstaand / case-ticket nr</t>
  </si>
  <si>
    <t>LAUNCH</t>
  </si>
  <si>
    <t>Maak de klant aan in de checklist</t>
  </si>
  <si>
    <t>Implementatie team</t>
  </si>
  <si>
    <t xml:space="preserve">Sales overdracht - bekijken overeenkomst </t>
  </si>
  <si>
    <t xml:space="preserve">Doornemen opdrachtbevestiging + checken of omgeving is aangevraagd door Projectoffice </t>
  </si>
  <si>
    <t>Interne kick off: Team (HR + salaris) Consultant informeren over salarisplanning en gezamenlijk datum afstemmen voor intake</t>
  </si>
  <si>
    <t>Klant bellen voor inplannen kick off + bevestiging via mail sturen</t>
  </si>
  <si>
    <t>Officiële aftrap - Kick off meeting (nav template kick off)</t>
  </si>
  <si>
    <t xml:space="preserve">Afspraken opschrijven in een mail naar de klant (welkomstmail) + globale planning + discovery documenten </t>
  </si>
  <si>
    <t>Opvragen betaalkalender</t>
  </si>
  <si>
    <t>Klant + consultants toevoegen aan teams</t>
  </si>
  <si>
    <t xml:space="preserve">Contactpersonen salesforce toevoegen + jezelf toevoegen als service owner </t>
  </si>
  <si>
    <t>DISCOVERY</t>
  </si>
  <si>
    <t>Klant invullen en terugsturen Inventarisatie document en gevraagde overige documenten</t>
  </si>
  <si>
    <t>Klant</t>
  </si>
  <si>
    <t>LET op we starten pas als de documenten COMPLEET zijn</t>
  </si>
  <si>
    <t>Aanleveren bestand stamgegevens in standaard import format</t>
  </si>
  <si>
    <t>Aanleveren inventarisatie document lease auto</t>
  </si>
  <si>
    <t>Aanleveren WHK beschikking</t>
  </si>
  <si>
    <t>Salaris implementatie consultant checkt of alle documenten compleet zijn</t>
  </si>
  <si>
    <t>SET UP</t>
  </si>
  <si>
    <t>Payroll</t>
  </si>
  <si>
    <t xml:space="preserve">Invoeren klantgegevens </t>
  </si>
  <si>
    <t>Salarisprocessen koppelen bij de klant</t>
  </si>
  <si>
    <t>Salarisadministratie</t>
  </si>
  <si>
    <t>NAW gegevens klant invoeren/aanvullen</t>
  </si>
  <si>
    <t>Bank gegevens invullen</t>
  </si>
  <si>
    <t>Loonheffingnummer invullen</t>
  </si>
  <si>
    <t>Branchetabel invoeren</t>
  </si>
  <si>
    <t>Inrichting salarisadministratie</t>
  </si>
  <si>
    <t>Normuren vullen</t>
  </si>
  <si>
    <t>Inrichten rekeningschema</t>
  </si>
  <si>
    <t>Loonheffingen en fonds</t>
  </si>
  <si>
    <t>Werknemersverzekeringen wijzigen</t>
  </si>
  <si>
    <t>Instellingen</t>
  </si>
  <si>
    <t>Reserveringen aanpassen</t>
  </si>
  <si>
    <t>Loonstroken en Jaaropgave</t>
  </si>
  <si>
    <t>Loonstrook instellingen aanpassen</t>
  </si>
  <si>
    <t>Extra velden op loonstrook (tbv reserveringen)</t>
  </si>
  <si>
    <t>Import medewerkers</t>
  </si>
  <si>
    <t>Controlleer en pas waarnodig het bestand import aan</t>
  </si>
  <si>
    <t>Activeren import stamgegevens</t>
  </si>
  <si>
    <t>Via Cloud diensten medewerkers importeren</t>
  </si>
  <si>
    <t>HRM consultant informeren dat ze kunnen starten</t>
  </si>
  <si>
    <t>Klant informeren : standaard mail nog op te maken</t>
  </si>
  <si>
    <t>Diversen</t>
  </si>
  <si>
    <t>Automatisch pensioenaangifte inregelen indien afgenomen (UPA)</t>
  </si>
  <si>
    <t>Afstemmen en inregelen welke output na elke run willen ontvangen middels het archief</t>
  </si>
  <si>
    <t>Afstemmen en aanmaken betaalkalender</t>
  </si>
  <si>
    <t>Koppeling aan salarisrobot</t>
  </si>
  <si>
    <t>Overlopende saldi reserveringen</t>
  </si>
  <si>
    <t>Inrichten betaalkalender</t>
  </si>
  <si>
    <t>HRM (kan starten na import stamgegevens)</t>
  </si>
  <si>
    <t>Implementatie Cobra8 HRM</t>
  </si>
  <si>
    <t>HRM consultant</t>
  </si>
  <si>
    <t>Medewerkers toegang geven</t>
  </si>
  <si>
    <t>Koppelingen</t>
  </si>
  <si>
    <t>Protime</t>
  </si>
  <si>
    <t>NVT</t>
  </si>
  <si>
    <t>DOCUMENTEN VOOR TEST</t>
  </si>
  <si>
    <t>Aanleveren loonstroken voorgaande maanden</t>
  </si>
  <si>
    <t>Aanleveren loonjournaalpost  met hierop de grootboeknummers of hist. overzicht</t>
  </si>
  <si>
    <t>Aanleveren huidig historisch salarisoverzicht (voor test)</t>
  </si>
  <si>
    <t>TEST periode 1</t>
  </si>
  <si>
    <t>Check journaalpost, loonstrook, historisch sal.overzicht</t>
  </si>
  <si>
    <r>
      <t>Schaduwdraaien</t>
    </r>
    <r>
      <rPr>
        <i/>
        <sz val="11"/>
        <rFont val="Calibri Light"/>
        <family val="2"/>
        <scheme val="major"/>
      </rPr>
      <t xml:space="preserve"> maand 1</t>
    </r>
  </si>
  <si>
    <t>Output run aanleveren ter controle</t>
  </si>
  <si>
    <t xml:space="preserve">Akkoord vragen op schaduwrun </t>
  </si>
  <si>
    <t>SD &amp; klant</t>
  </si>
  <si>
    <t>TEST periode 2</t>
  </si>
  <si>
    <t>check journaalpost, loonstrook, historisch sal.overzicht</t>
  </si>
  <si>
    <t>Grootboeknummers inrichten</t>
  </si>
  <si>
    <t>Op basis van test journaal inrichten</t>
  </si>
  <si>
    <t>akkoord op journaal</t>
  </si>
  <si>
    <t>Bespreken schaduwrun/journaal</t>
  </si>
  <si>
    <t>Data up do date houden in Cobra - na master upload</t>
  </si>
  <si>
    <t>Begeleiding bij officiele loonverwerking ( eerste 3 maanden)</t>
  </si>
  <si>
    <t>Go Live - Live per januari</t>
  </si>
  <si>
    <t>Inrichting vandaag beheer (proef- en loonverwerking en LA akkoord, jaaroverzichten gereed - indien wij dit laatste voor klant doen)</t>
  </si>
  <si>
    <t>Klantprocessen koppelen</t>
  </si>
  <si>
    <t>Verwerken saldi en jaarloon BT</t>
  </si>
  <si>
    <t>Klant vraagt proefrun aan</t>
  </si>
  <si>
    <t>Controle prerun, feedback naar SD Worx sturen</t>
  </si>
  <si>
    <t>Finaliseren run na verwerken feedback</t>
  </si>
  <si>
    <t>ESS module - inlog verstrekken naar medewerkers</t>
  </si>
  <si>
    <t>Output opleveren</t>
  </si>
  <si>
    <t>Klant bij afsluiten</t>
  </si>
  <si>
    <t xml:space="preserve"> Go Live - Live in een ander maand met twk januari</t>
  </si>
  <si>
    <t>Verwerken al gedane periodes</t>
  </si>
  <si>
    <t>Controle gedane periode verschillen bespreken met klant</t>
  </si>
  <si>
    <t>Akkoord klant op verwerkte periode</t>
  </si>
  <si>
    <t>klant</t>
  </si>
  <si>
    <t>Finaliseren periode na verwerken feedback</t>
  </si>
  <si>
    <t>9. Afsluiten implementatie</t>
  </si>
  <si>
    <t>Na de eerste live salarisverwerking mailt de projectleider naar Projectoffice Payroll implementatie van dit project is afgerond</t>
  </si>
  <si>
    <t>Evaluatie</t>
  </si>
  <si>
    <t>All</t>
  </si>
  <si>
    <t>Afsluiten project - per mail bevestigen inclusief duidelijke scheidslijn met opstart v/d reguliere dienstverlening.</t>
  </si>
  <si>
    <t>De projectmanager kopieert de aan de klant gestuurde mail en plakt deze in Teams als post in de map Klantdocumentatie zodat alle betrokkenen op de hoogte zijn.</t>
  </si>
  <si>
    <t>Facturatie checken met Sylvie</t>
  </si>
  <si>
    <t>Aanmaken event in salesforce</t>
  </si>
  <si>
    <t>Opleidingen</t>
  </si>
  <si>
    <t xml:space="preserve">Cobra Salaris Basis </t>
  </si>
  <si>
    <t>Cobra HRM</t>
  </si>
  <si>
    <t>Cobra Beheer 1</t>
  </si>
  <si>
    <t>Cobra Beheer 2</t>
  </si>
  <si>
    <t>Salaris Inrichten</t>
  </si>
  <si>
    <t>Owner</t>
  </si>
  <si>
    <t>Klantnummer</t>
  </si>
  <si>
    <t>Customer</t>
  </si>
  <si>
    <t>Service</t>
  </si>
  <si>
    <t>Aanleverdatum</t>
  </si>
  <si>
    <t>Test 1</t>
  </si>
  <si>
    <t>Test 2</t>
  </si>
  <si>
    <t>TWK</t>
  </si>
  <si>
    <t>Overall status</t>
  </si>
  <si>
    <t>Invoer klantgege</t>
  </si>
  <si>
    <t>salarisadmin</t>
  </si>
  <si>
    <t>loonheffingen</t>
  </si>
  <si>
    <t>Loonstroken en jaaropgave</t>
  </si>
  <si>
    <t>Import mw</t>
  </si>
  <si>
    <t>Testopvraag</t>
  </si>
  <si>
    <t># wns</t>
  </si>
  <si>
    <t>Laatste update</t>
  </si>
  <si>
    <t>Hegeman</t>
  </si>
  <si>
    <t>Nvt</t>
  </si>
  <si>
    <t>MPS</t>
  </si>
  <si>
    <t>Nick</t>
  </si>
  <si>
    <t>Mps + proff</t>
  </si>
  <si>
    <t xml:space="preserve">Mirjam </t>
  </si>
  <si>
    <t>ntb</t>
  </si>
  <si>
    <t>Ntb</t>
  </si>
  <si>
    <t xml:space="preserve">Wil in 2026 nog live met verzuim. Kickoff 8 mei
</t>
  </si>
  <si>
    <t>Doris</t>
  </si>
  <si>
    <t>Rebecca</t>
  </si>
  <si>
    <t>Doris plant vanaf 20 april. Daarvoor dus stamdata erin</t>
  </si>
  <si>
    <t>All in + proff + HR BPO</t>
  </si>
  <si>
    <t xml:space="preserve">Doris </t>
  </si>
  <si>
    <t>SAP</t>
  </si>
  <si>
    <t>Nick belt/mailt voor kickoff. Bij voorkeur op locatie. Evt Mohamed hierin meenemen.</t>
  </si>
  <si>
    <t>BPO</t>
  </si>
  <si>
    <t xml:space="preserve">Mohamed </t>
  </si>
  <si>
    <t>Case aangemaakt en on hold gezet. Wanneer deze oppopt de klant bellen. Klant wil in zomer pas gebeld worden om implementatie op te starten.</t>
  </si>
  <si>
    <t>MPS + PREM</t>
  </si>
  <si>
    <t>Pim</t>
  </si>
  <si>
    <t>In juni contact voor kickoff.</t>
  </si>
  <si>
    <t>MPS + Prof</t>
  </si>
  <si>
    <t>Files | Salesforce</t>
  </si>
  <si>
    <t>Ntv</t>
  </si>
  <si>
    <t>-</t>
  </si>
  <si>
    <t>Bouw BV</t>
  </si>
  <si>
    <t>Logistiek Logistics</t>
  </si>
  <si>
    <t xml:space="preserve">Uzizonder bv. </t>
  </si>
  <si>
    <t>Blue Stier Nederland</t>
  </si>
  <si>
    <t xml:space="preserve">Proximees </t>
  </si>
  <si>
    <t xml:space="preserve">Topsa Belgium </t>
  </si>
  <si>
    <t>Hegevrouw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</si>
</sst>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d/mm/yy;@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MS Sans Serif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name val="Calibri Light"/>
      <family val="2"/>
      <scheme val="major"/>
    </font>
    <font>
      <b/>
      <sz val="18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9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3"/>
      <name val="Calibri Light"/>
      <family val="2"/>
      <scheme val="major"/>
    </font>
    <font>
      <b/>
      <sz val="18"/>
      <color theme="3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name val="Calibri Light"/>
      <family val="2"/>
      <scheme val="major"/>
    </font>
    <font>
      <b/>
      <i/>
      <sz val="11"/>
      <color rgb="FFFF0000"/>
      <name val="Calibri Light"/>
      <family val="2"/>
      <scheme val="major"/>
    </font>
    <font>
      <sz val="9"/>
      <color rgb="FF000000"/>
      <name val="Verdana"/>
      <family val="2"/>
    </font>
    <font>
      <sz val="11"/>
      <color rgb="FFFF0000"/>
      <name val="Calibri"/>
      <family val="2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theme="0" tint="-0.14996795556505021"/>
      </top>
      <bottom/>
      <diagonal/>
    </border>
    <border>
      <left/>
      <right/>
      <top/>
      <bottom style="medium">
        <color theme="0" tint="-0.14996795556505021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3" fillId="0" borderId="0" applyNumberFormat="0" applyFill="0" applyBorder="0" applyAlignment="0" applyProtection="0"/>
    <xf numFmtId="0" fontId="5" fillId="0" borderId="0"/>
    <xf numFmtId="0" fontId="7" fillId="0" borderId="0"/>
    <xf numFmtId="9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4" applyFill="0">
      <alignment horizontal="left" vertical="center" indent="2"/>
    </xf>
    <xf numFmtId="0" fontId="37" fillId="0" borderId="0"/>
  </cellStyleXfs>
  <cellXfs count="16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7" fontId="2" fillId="0" borderId="0" xfId="0" applyNumberFormat="1" applyFont="1" applyAlignment="1">
      <alignment horizontal="center" vertical="top" wrapText="1"/>
    </xf>
    <xf numFmtId="17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0" fontId="0" fillId="2" borderId="0" xfId="0" applyFill="1" applyAlignment="1">
      <alignment vertical="top" wrapText="1"/>
    </xf>
    <xf numFmtId="0" fontId="2" fillId="0" borderId="0" xfId="0" applyFont="1" applyAlignment="1">
      <alignment horizontal="left" vertical="center" wrapText="1" indent="1"/>
    </xf>
    <xf numFmtId="16" fontId="0" fillId="0" borderId="0" xfId="0" applyNumberFormat="1"/>
    <xf numFmtId="0" fontId="1" fillId="0" borderId="0" xfId="0" applyFont="1"/>
    <xf numFmtId="0" fontId="0" fillId="0" borderId="0" xfId="0" applyAlignment="1">
      <alignment vertical="center"/>
    </xf>
    <xf numFmtId="0" fontId="1" fillId="6" borderId="0" xfId="0" applyFont="1" applyFill="1" applyAlignment="1">
      <alignment horizontal="center" vertical="top" wrapText="1"/>
    </xf>
    <xf numFmtId="17" fontId="2" fillId="6" borderId="0" xfId="0" applyNumberFormat="1" applyFont="1" applyFill="1" applyAlignment="1">
      <alignment horizontal="center" vertical="top" wrapText="1"/>
    </xf>
    <xf numFmtId="17" fontId="0" fillId="6" borderId="0" xfId="0" applyNumberFormat="1" applyFill="1" applyAlignment="1">
      <alignment horizontal="center" vertical="top" wrapText="1"/>
    </xf>
    <xf numFmtId="1" fontId="1" fillId="6" borderId="0" xfId="0" applyNumberFormat="1" applyFont="1" applyFill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6" fillId="0" borderId="0" xfId="0" applyFont="1" applyAlignment="1">
      <alignment vertical="top"/>
    </xf>
    <xf numFmtId="0" fontId="0" fillId="3" borderId="0" xfId="0" applyFill="1"/>
    <xf numFmtId="0" fontId="8" fillId="4" borderId="0" xfId="0" applyFont="1" applyFill="1"/>
    <xf numFmtId="0" fontId="12" fillId="7" borderId="0" xfId="0" applyFont="1" applyFill="1" applyAlignment="1">
      <alignment horizontal="center" vertical="center"/>
    </xf>
    <xf numFmtId="0" fontId="0" fillId="7" borderId="0" xfId="0" applyFill="1"/>
    <xf numFmtId="2" fontId="0" fillId="7" borderId="0" xfId="0" applyNumberFormat="1" applyFill="1"/>
    <xf numFmtId="0" fontId="3" fillId="7" borderId="0" xfId="1" applyFill="1"/>
    <xf numFmtId="0" fontId="1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/>
    </xf>
    <xf numFmtId="0" fontId="1" fillId="7" borderId="0" xfId="0" applyFont="1" applyFill="1"/>
    <xf numFmtId="0" fontId="1" fillId="7" borderId="0" xfId="0" applyFont="1" applyFill="1" applyAlignment="1">
      <alignment vertical="center"/>
    </xf>
    <xf numFmtId="2" fontId="1" fillId="7" borderId="0" xfId="0" applyNumberFormat="1" applyFont="1" applyFill="1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2" fontId="1" fillId="7" borderId="0" xfId="0" applyNumberFormat="1" applyFont="1" applyFill="1" applyAlignment="1">
      <alignment horizontal="center" vertical="center"/>
    </xf>
    <xf numFmtId="2" fontId="0" fillId="3" borderId="0" xfId="0" applyNumberFormat="1" applyFill="1"/>
    <xf numFmtId="0" fontId="1" fillId="3" borderId="0" xfId="0" applyFont="1" applyFill="1"/>
    <xf numFmtId="2" fontId="1" fillId="3" borderId="0" xfId="0" applyNumberFormat="1" applyFont="1" applyFill="1"/>
    <xf numFmtId="14" fontId="8" fillId="4" borderId="0" xfId="0" applyNumberFormat="1" applyFont="1" applyFill="1"/>
    <xf numFmtId="2" fontId="8" fillId="4" borderId="0" xfId="0" applyNumberFormat="1" applyFont="1" applyFill="1"/>
    <xf numFmtId="14" fontId="0" fillId="0" borderId="0" xfId="0" applyNumberFormat="1"/>
    <xf numFmtId="2" fontId="0" fillId="0" borderId="0" xfId="0" applyNumberFormat="1"/>
    <xf numFmtId="9" fontId="13" fillId="9" borderId="4" xfId="7" applyFont="1" applyFill="1" applyBorder="1" applyAlignment="1">
      <alignment horizontal="center" vertical="center"/>
    </xf>
    <xf numFmtId="2" fontId="1" fillId="0" borderId="0" xfId="0" applyNumberFormat="1" applyFont="1"/>
    <xf numFmtId="0" fontId="14" fillId="3" borderId="0" xfId="0" applyFont="1" applyFill="1"/>
    <xf numFmtId="9" fontId="0" fillId="0" borderId="0" xfId="0" applyNumberFormat="1" applyAlignment="1">
      <alignment horizontal="center" vertical="top" wrapText="1"/>
    </xf>
    <xf numFmtId="14" fontId="1" fillId="0" borderId="0" xfId="0" applyNumberFormat="1" applyFont="1"/>
    <xf numFmtId="0" fontId="9" fillId="7" borderId="0" xfId="8" applyFont="1" applyFill="1"/>
    <xf numFmtId="17" fontId="0" fillId="7" borderId="0" xfId="0" applyNumberFormat="1" applyFill="1"/>
    <xf numFmtId="2" fontId="13" fillId="9" borderId="0" xfId="7" applyNumberFormat="1" applyFont="1" applyFill="1" applyAlignment="1">
      <alignment horizontal="center" vertical="center"/>
    </xf>
    <xf numFmtId="9" fontId="13" fillId="9" borderId="2" xfId="7" applyFont="1" applyFill="1" applyBorder="1" applyAlignment="1">
      <alignment horizontal="center" vertical="center"/>
    </xf>
    <xf numFmtId="0" fontId="0" fillId="10" borderId="0" xfId="0" applyFill="1"/>
    <xf numFmtId="0" fontId="1" fillId="10" borderId="0" xfId="0" applyFont="1" applyFill="1"/>
    <xf numFmtId="14" fontId="1" fillId="10" borderId="0" xfId="0" applyNumberFormat="1" applyFont="1" applyFill="1"/>
    <xf numFmtId="164" fontId="2" fillId="0" borderId="0" xfId="0" applyNumberFormat="1" applyFont="1" applyAlignment="1">
      <alignment vertical="top" wrapText="1"/>
    </xf>
    <xf numFmtId="0" fontId="3" fillId="0" borderId="0" xfId="1" applyAlignment="1">
      <alignment vertical="center"/>
    </xf>
    <xf numFmtId="9" fontId="0" fillId="9" borderId="0" xfId="0" applyNumberFormat="1" applyFill="1" applyAlignment="1">
      <alignment horizontal="center" vertical="top" wrapText="1"/>
    </xf>
    <xf numFmtId="1" fontId="1" fillId="6" borderId="0" xfId="0" applyNumberFormat="1" applyFont="1" applyFill="1" applyAlignment="1">
      <alignment horizontal="center" vertical="top" textRotation="90" wrapText="1"/>
    </xf>
    <xf numFmtId="0" fontId="1" fillId="6" borderId="0" xfId="0" applyFont="1" applyFill="1" applyAlignment="1">
      <alignment horizontal="center" vertical="top" textRotation="90" wrapText="1"/>
    </xf>
    <xf numFmtId="17" fontId="1" fillId="6" borderId="0" xfId="0" applyNumberFormat="1" applyFont="1" applyFill="1" applyAlignment="1">
      <alignment horizontal="center" vertical="top" textRotation="90" wrapText="1"/>
    </xf>
    <xf numFmtId="0" fontId="9" fillId="6" borderId="0" xfId="0" applyFont="1" applyFill="1" applyAlignment="1">
      <alignment horizontal="center" vertical="top" textRotation="90" wrapText="1"/>
    </xf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vertical="center"/>
    </xf>
    <xf numFmtId="0" fontId="12" fillId="7" borderId="0" xfId="0" applyFont="1" applyFill="1" applyAlignment="1">
      <alignment vertical="center"/>
    </xf>
    <xf numFmtId="0" fontId="18" fillId="7" borderId="0" xfId="8" applyFont="1" applyFill="1" applyAlignment="1">
      <alignment horizontal="left"/>
    </xf>
    <xf numFmtId="0" fontId="15" fillId="0" borderId="0" xfId="0" applyFont="1"/>
    <xf numFmtId="0" fontId="16" fillId="0" borderId="0" xfId="0" applyFont="1"/>
    <xf numFmtId="2" fontId="1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2" fillId="7" borderId="0" xfId="8" applyFont="1" applyFill="1"/>
    <xf numFmtId="17" fontId="0" fillId="0" borderId="0" xfId="0" applyNumberFormat="1" applyAlignment="1">
      <alignment vertical="top" wrapText="1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/>
    </xf>
    <xf numFmtId="17" fontId="9" fillId="3" borderId="0" xfId="0" applyNumberFormat="1" applyFont="1" applyFill="1" applyAlignment="1">
      <alignment horizontal="center" vertical="top" textRotation="90" wrapText="1"/>
    </xf>
    <xf numFmtId="17" fontId="2" fillId="3" borderId="0" xfId="0" applyNumberFormat="1" applyFont="1" applyFill="1" applyAlignment="1">
      <alignment horizontal="center" vertical="top" wrapText="1"/>
    </xf>
    <xf numFmtId="9" fontId="9" fillId="3" borderId="0" xfId="0" applyNumberFormat="1" applyFont="1" applyFill="1" applyAlignment="1">
      <alignment horizontal="center" vertical="top" textRotation="90" wrapText="1"/>
    </xf>
    <xf numFmtId="0" fontId="21" fillId="0" borderId="0" xfId="0" applyFont="1"/>
    <xf numFmtId="0" fontId="22" fillId="4" borderId="0" xfId="0" applyFont="1" applyFill="1"/>
    <xf numFmtId="9" fontId="23" fillId="8" borderId="2" xfId="7" applyFont="1" applyFill="1" applyBorder="1" applyAlignment="1">
      <alignment horizontal="center" vertical="center"/>
    </xf>
    <xf numFmtId="2" fontId="22" fillId="4" borderId="0" xfId="0" applyNumberFormat="1" applyFont="1" applyFill="1"/>
    <xf numFmtId="2" fontId="23" fillId="4" borderId="0" xfId="0" applyNumberFormat="1" applyFont="1" applyFill="1"/>
    <xf numFmtId="0" fontId="24" fillId="0" borderId="0" xfId="0" applyFont="1"/>
    <xf numFmtId="9" fontId="25" fillId="7" borderId="3" xfId="7" applyFont="1" applyFill="1" applyBorder="1" applyAlignment="1">
      <alignment horizontal="center"/>
    </xf>
    <xf numFmtId="9" fontId="0" fillId="3" borderId="14" xfId="0" applyNumberFormat="1" applyFill="1" applyBorder="1"/>
    <xf numFmtId="9" fontId="0" fillId="3" borderId="15" xfId="0" applyNumberFormat="1" applyFill="1" applyBorder="1"/>
    <xf numFmtId="0" fontId="20" fillId="4" borderId="0" xfId="0" applyFont="1" applyFill="1"/>
    <xf numFmtId="0" fontId="26" fillId="0" borderId="0" xfId="0" applyFont="1"/>
    <xf numFmtId="0" fontId="28" fillId="7" borderId="0" xfId="8" applyFont="1" applyFill="1" applyAlignment="1">
      <alignment horizontal="left"/>
    </xf>
    <xf numFmtId="0" fontId="29" fillId="7" borderId="0" xfId="8" applyFont="1" applyFill="1" applyAlignment="1">
      <alignment horizontal="left"/>
    </xf>
    <xf numFmtId="0" fontId="21" fillId="11" borderId="5" xfId="0" applyFont="1" applyFill="1" applyBorder="1" applyAlignment="1">
      <alignment horizontal="center" wrapText="1"/>
    </xf>
    <xf numFmtId="0" fontId="21" fillId="11" borderId="0" xfId="0" applyFont="1" applyFill="1" applyAlignment="1">
      <alignment horizontal="center" wrapText="1"/>
    </xf>
    <xf numFmtId="0" fontId="21" fillId="11" borderId="12" xfId="0" applyFont="1" applyFill="1" applyBorder="1" applyAlignment="1">
      <alignment horizontal="center" wrapText="1"/>
    </xf>
    <xf numFmtId="0" fontId="21" fillId="11" borderId="13" xfId="0" applyFont="1" applyFill="1" applyBorder="1" applyAlignment="1">
      <alignment horizontal="center" wrapText="1"/>
    </xf>
    <xf numFmtId="0" fontId="24" fillId="11" borderId="5" xfId="0" applyFont="1" applyFill="1" applyBorder="1"/>
    <xf numFmtId="9" fontId="24" fillId="11" borderId="0" xfId="0" applyNumberFormat="1" applyFont="1" applyFill="1" applyAlignment="1">
      <alignment horizontal="left"/>
    </xf>
    <xf numFmtId="0" fontId="24" fillId="11" borderId="12" xfId="0" applyFont="1" applyFill="1" applyBorder="1"/>
    <xf numFmtId="9" fontId="24" fillId="11" borderId="13" xfId="0" applyNumberFormat="1" applyFont="1" applyFill="1" applyBorder="1" applyAlignment="1">
      <alignment horizontal="left"/>
    </xf>
    <xf numFmtId="9" fontId="24" fillId="11" borderId="12" xfId="0" applyNumberFormat="1" applyFont="1" applyFill="1" applyBorder="1"/>
    <xf numFmtId="0" fontId="24" fillId="11" borderId="6" xfId="0" applyFont="1" applyFill="1" applyBorder="1"/>
    <xf numFmtId="9" fontId="24" fillId="11" borderId="9" xfId="0" applyNumberFormat="1" applyFont="1" applyFill="1" applyBorder="1" applyAlignment="1">
      <alignment horizontal="left"/>
    </xf>
    <xf numFmtId="0" fontId="24" fillId="0" borderId="0" xfId="0" applyFont="1" applyAlignment="1">
      <alignment horizontal="left"/>
    </xf>
    <xf numFmtId="9" fontId="25" fillId="7" borderId="3" xfId="7" applyFont="1" applyFill="1" applyBorder="1" applyAlignment="1">
      <alignment horizontal="center" vertical="center"/>
    </xf>
    <xf numFmtId="2" fontId="25" fillId="11" borderId="0" xfId="7" applyNumberFormat="1" applyFont="1" applyFill="1" applyAlignment="1">
      <alignment horizontal="center" vertical="center" wrapText="1"/>
    </xf>
    <xf numFmtId="0" fontId="21" fillId="10" borderId="0" xfId="0" applyFont="1" applyFill="1"/>
    <xf numFmtId="9" fontId="30" fillId="8" borderId="2" xfId="7" applyFont="1" applyFill="1" applyBorder="1" applyAlignment="1">
      <alignment horizontal="center"/>
    </xf>
    <xf numFmtId="2" fontId="30" fillId="4" borderId="0" xfId="0" applyNumberFormat="1" applyFont="1" applyFill="1" applyAlignment="1">
      <alignment horizontal="center"/>
    </xf>
    <xf numFmtId="9" fontId="31" fillId="9" borderId="0" xfId="7" applyFont="1" applyFill="1" applyAlignment="1">
      <alignment horizontal="left" vertical="center"/>
    </xf>
    <xf numFmtId="2" fontId="25" fillId="11" borderId="0" xfId="7" applyNumberFormat="1" applyFont="1" applyFill="1" applyAlignment="1">
      <alignment horizontal="center" wrapText="1"/>
    </xf>
    <xf numFmtId="0" fontId="24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3" fillId="0" borderId="4" xfId="9" applyFont="1" applyAlignment="1">
      <alignment horizontal="left" vertical="center"/>
    </xf>
    <xf numFmtId="2" fontId="23" fillId="8" borderId="2" xfId="7" applyNumberFormat="1" applyFont="1" applyFill="1" applyBorder="1" applyAlignment="1">
      <alignment horizontal="center" vertical="center"/>
    </xf>
    <xf numFmtId="9" fontId="25" fillId="7" borderId="0" xfId="7" applyFont="1" applyFill="1" applyBorder="1" applyAlignment="1">
      <alignment horizontal="center"/>
    </xf>
    <xf numFmtId="17" fontId="1" fillId="3" borderId="0" xfId="0" applyNumberFormat="1" applyFont="1" applyFill="1" applyAlignment="1">
      <alignment horizontal="center" vertical="top" textRotation="90" wrapText="1"/>
    </xf>
    <xf numFmtId="17" fontId="0" fillId="3" borderId="0" xfId="0" applyNumberFormat="1" applyFill="1" applyAlignment="1">
      <alignment horizontal="center" vertical="top" wrapText="1"/>
    </xf>
    <xf numFmtId="0" fontId="24" fillId="0" borderId="0" xfId="9" applyFont="1" applyBorder="1" applyAlignment="1">
      <alignment horizontal="left" vertical="center" wrapText="1"/>
    </xf>
    <xf numFmtId="0" fontId="3" fillId="0" borderId="0" xfId="1"/>
    <xf numFmtId="0" fontId="1" fillId="6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1" fillId="7" borderId="0" xfId="8" applyFill="1" applyAlignment="1">
      <alignment horizontal="left"/>
    </xf>
    <xf numFmtId="165" fontId="1" fillId="6" borderId="0" xfId="0" applyNumberFormat="1" applyFont="1" applyFill="1" applyAlignment="1">
      <alignment horizontal="center" vertical="top" textRotation="90" wrapText="1"/>
    </xf>
    <xf numFmtId="165" fontId="1" fillId="6" borderId="0" xfId="0" applyNumberFormat="1" applyFont="1" applyFill="1" applyAlignment="1">
      <alignment horizontal="center" vertical="top" wrapText="1"/>
    </xf>
    <xf numFmtId="165" fontId="0" fillId="0" borderId="0" xfId="0" applyNumberFormat="1" applyAlignment="1">
      <alignment vertical="top" wrapText="1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left"/>
    </xf>
    <xf numFmtId="0" fontId="29" fillId="7" borderId="1" xfId="8" applyFont="1" applyFill="1" applyBorder="1" applyAlignment="1">
      <alignment horizontal="left"/>
    </xf>
    <xf numFmtId="0" fontId="1" fillId="7" borderId="1" xfId="0" applyFont="1" applyFill="1" applyBorder="1" applyAlignment="1">
      <alignment horizontal="center" vertical="center"/>
    </xf>
    <xf numFmtId="16" fontId="1" fillId="0" borderId="0" xfId="0" applyNumberFormat="1" applyFont="1"/>
    <xf numFmtId="14" fontId="12" fillId="7" borderId="0" xfId="0" applyNumberFormat="1" applyFont="1" applyFill="1" applyAlignment="1">
      <alignment vertical="center"/>
    </xf>
    <xf numFmtId="14" fontId="0" fillId="7" borderId="0" xfId="0" applyNumberFormat="1" applyFill="1"/>
    <xf numFmtId="14" fontId="1" fillId="7" borderId="0" xfId="0" applyNumberFormat="1" applyFont="1" applyFill="1" applyAlignment="1">
      <alignment vertical="center"/>
    </xf>
    <xf numFmtId="14" fontId="14" fillId="3" borderId="0" xfId="0" applyNumberFormat="1" applyFont="1" applyFill="1"/>
    <xf numFmtId="14" fontId="1" fillId="3" borderId="0" xfId="0" applyNumberFormat="1" applyFont="1" applyFill="1"/>
    <xf numFmtId="14" fontId="31" fillId="9" borderId="0" xfId="7" applyNumberFormat="1" applyFont="1" applyFill="1" applyAlignment="1">
      <alignment horizontal="left" vertical="center"/>
    </xf>
    <xf numFmtId="14" fontId="21" fillId="10" borderId="0" xfId="0" applyNumberFormat="1" applyFont="1" applyFill="1"/>
    <xf numFmtId="14" fontId="24" fillId="0" borderId="0" xfId="0" applyNumberFormat="1" applyFont="1" applyAlignment="1">
      <alignment horizontal="left"/>
    </xf>
    <xf numFmtId="14" fontId="24" fillId="0" borderId="0" xfId="0" applyNumberFormat="1" applyFont="1"/>
    <xf numFmtId="14" fontId="27" fillId="0" borderId="0" xfId="0" applyNumberFormat="1" applyFont="1"/>
    <xf numFmtId="0" fontId="24" fillId="0" borderId="0" xfId="0" applyFont="1" applyAlignment="1">
      <alignment horizontal="left" vertical="top"/>
    </xf>
    <xf numFmtId="9" fontId="25" fillId="7" borderId="0" xfId="7" applyFont="1" applyFill="1" applyBorder="1" applyAlignment="1">
      <alignment horizontal="center" vertical="center"/>
    </xf>
    <xf numFmtId="0" fontId="3" fillId="0" borderId="0" xfId="1" applyFill="1" applyAlignment="1">
      <alignment vertical="center"/>
    </xf>
    <xf numFmtId="9" fontId="25" fillId="0" borderId="0" xfId="7" applyFont="1" applyFill="1" applyBorder="1" applyAlignment="1">
      <alignment horizontal="center"/>
    </xf>
    <xf numFmtId="2" fontId="25" fillId="0" borderId="0" xfId="7" applyNumberFormat="1" applyFont="1" applyFill="1" applyAlignment="1">
      <alignment horizontal="center" vertical="center" wrapText="1"/>
    </xf>
    <xf numFmtId="0" fontId="35" fillId="0" borderId="0" xfId="0" applyFont="1"/>
    <xf numFmtId="17" fontId="36" fillId="0" borderId="0" xfId="0" applyNumberFormat="1" applyFont="1" applyAlignment="1">
      <alignment vertical="top" wrapText="1"/>
    </xf>
    <xf numFmtId="0" fontId="33" fillId="0" borderId="0" xfId="9" applyFont="1" applyBorder="1" applyAlignment="1">
      <alignment horizontal="left" vertical="center"/>
    </xf>
    <xf numFmtId="0" fontId="24" fillId="0" borderId="0" xfId="9" applyFont="1" applyBorder="1" applyAlignment="1">
      <alignment horizontal="left" vertical="center" wrapText="1"/>
    </xf>
    <xf numFmtId="0" fontId="32" fillId="0" borderId="0" xfId="9" applyFont="1" applyBorder="1" applyAlignment="1">
      <alignment horizontal="left" vertical="center"/>
    </xf>
    <xf numFmtId="0" fontId="24" fillId="0" borderId="0" xfId="9" applyFont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left" vertical="top"/>
    </xf>
    <xf numFmtId="0" fontId="21" fillId="11" borderId="10" xfId="0" applyFont="1" applyFill="1" applyBorder="1" applyAlignment="1">
      <alignment horizontal="center"/>
    </xf>
    <xf numFmtId="0" fontId="21" fillId="11" borderId="11" xfId="0" applyFont="1" applyFill="1" applyBorder="1" applyAlignment="1">
      <alignment horizontal="center"/>
    </xf>
    <xf numFmtId="0" fontId="21" fillId="11" borderId="7" xfId="0" applyFont="1" applyFill="1" applyBorder="1" applyAlignment="1">
      <alignment horizontal="center"/>
    </xf>
    <xf numFmtId="0" fontId="21" fillId="11" borderId="8" xfId="0" applyFont="1" applyFill="1" applyBorder="1" applyAlignment="1">
      <alignment horizontal="center"/>
    </xf>
    <xf numFmtId="0" fontId="19" fillId="5" borderId="0" xfId="0" applyFont="1" applyFill="1" applyAlignment="1">
      <alignment horizontal="left" vertical="top" wrapText="1"/>
    </xf>
    <xf numFmtId="0" fontId="24" fillId="0" borderId="0" xfId="0" applyFont="1" applyAlignment="1">
      <alignment horizontal="left" vertical="top" wrapText="1"/>
    </xf>
  </cellXfs>
  <cellStyles count="11">
    <cellStyle name="Hyperlink" xfId="1" builtinId="8"/>
    <cellStyle name="Hyperlink 2" xfId="4" xr:uid="{8103A88F-6A3B-498D-ACFF-3A6E52EA711C}"/>
    <cellStyle name="Hyperlink 3" xfId="2" xr:uid="{F95962B0-986D-4822-BD9E-9D16E0F9E4D2}"/>
    <cellStyle name="Normal" xfId="0" builtinId="0"/>
    <cellStyle name="Normal 2" xfId="3" xr:uid="{61DAB0DD-4F6A-4754-BA8B-A3C7B5987D60}"/>
    <cellStyle name="Normal 3" xfId="5" xr:uid="{3F99617F-C266-46A7-B8D3-2284172D47AC}"/>
    <cellStyle name="Percent" xfId="7" builtinId="5"/>
    <cellStyle name="Standaard 2" xfId="6" xr:uid="{02D4A0CE-E2E6-4C4C-B9CF-BF198B41EB0A}"/>
    <cellStyle name="Standaard 3" xfId="10" xr:uid="{594FC0DD-E11E-419A-9399-0DF753E8D4DE}"/>
    <cellStyle name="Taak" xfId="9" xr:uid="{E7AC5F94-2EC8-476E-B80E-2711B2C02C1C}"/>
    <cellStyle name="Title" xfId="8" builtinId="15"/>
  </cellStyles>
  <dxfs count="7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99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152400</xdr:colOff>
      <xdr:row>17</xdr:row>
      <xdr:rowOff>57150</xdr:rowOff>
    </xdr:from>
    <xdr:to>
      <xdr:col>45</xdr:col>
      <xdr:colOff>54194</xdr:colOff>
      <xdr:row>52</xdr:row>
      <xdr:rowOff>189373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4AD2A9A9-BAB9-A936-9828-7EEC508D0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5375" y="4019550"/>
          <a:ext cx="16646744" cy="70664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370416</xdr:colOff>
      <xdr:row>12</xdr:row>
      <xdr:rowOff>183694</xdr:rowOff>
    </xdr:from>
    <xdr:to>
      <xdr:col>25</xdr:col>
      <xdr:colOff>356023</xdr:colOff>
      <xdr:row>46</xdr:row>
      <xdr:rowOff>62463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6A7DBFE5-52E0-1063-A375-5EC38A16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4833" y="3104694"/>
          <a:ext cx="8727440" cy="635576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54</xdr:row>
      <xdr:rowOff>0</xdr:rowOff>
    </xdr:from>
    <xdr:to>
      <xdr:col>28</xdr:col>
      <xdr:colOff>585673</xdr:colOff>
      <xdr:row>78</xdr:row>
      <xdr:rowOff>57796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CD5D9F1F-E9C7-55DA-B567-7B1F0CBC6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8250" y="10922000"/>
          <a:ext cx="10555173" cy="46297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15</xdr:row>
      <xdr:rowOff>0</xdr:rowOff>
    </xdr:from>
    <xdr:to>
      <xdr:col>28</xdr:col>
      <xdr:colOff>376094</xdr:colOff>
      <xdr:row>49</xdr:row>
      <xdr:rowOff>37993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98DE7A25-A3CE-B1F7-E115-5CE979DE9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0" y="3577167"/>
          <a:ext cx="10345594" cy="681132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51</xdr:row>
      <xdr:rowOff>0</xdr:rowOff>
    </xdr:from>
    <xdr:to>
      <xdr:col>37</xdr:col>
      <xdr:colOff>548339</xdr:colOff>
      <xdr:row>73</xdr:row>
      <xdr:rowOff>57770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F3499299-393C-823E-98F3-F9DF4C2E6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8250" y="10742083"/>
          <a:ext cx="16042339" cy="443927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76</xdr:row>
      <xdr:rowOff>0</xdr:rowOff>
    </xdr:from>
    <xdr:to>
      <xdr:col>38</xdr:col>
      <xdr:colOff>382243</xdr:colOff>
      <xdr:row>104</xdr:row>
      <xdr:rowOff>61113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EC22E6A2-EE63-221B-2FB1-E1CFD5307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68250" y="15716250"/>
          <a:ext cx="16490076" cy="564911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106</xdr:row>
      <xdr:rowOff>0</xdr:rowOff>
    </xdr:from>
    <xdr:to>
      <xdr:col>28</xdr:col>
      <xdr:colOff>42672</xdr:colOff>
      <xdr:row>138</xdr:row>
      <xdr:rowOff>153312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934EFC40-3EB9-0A9B-F067-7B4EBF66B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68250" y="21695833"/>
          <a:ext cx="10012172" cy="6535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d.sharepoint.com/sites/BE_GPS_Team_/Shared%20Documents/Eva%20TEAM/Checklisten/Checklist%20NL%202023%20standaard.xlsx" TargetMode="External"/><Relationship Id="rId1" Type="http://schemas.openxmlformats.org/officeDocument/2006/relationships/externalLinkPath" Target="https://sd.sharepoint.com/sites/BE_GPS_Team_/Shared%20Documents/Eva%20TEAM/Checklisten/Checklist%20NL%202023%20standaar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Antwerpen\L\IP\NEDERLAND\checklisten%20Nederland\2020\Checkllist%20NL%202020-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znjflMvdUE-r5CTxSO8daEdi8l1xW-tJiaikSQ9ivVovm7n-pk4zQLJZggLdVcvT" itemId="01VLVYXJYABWFR7PT36JGLNXYLMAJOCYUW">
      <xxl21:absoluteUrl r:id="rId2"/>
    </xxl21:alternateUrls>
    <sheetNames>
      <sheetName val="NL"/>
      <sheetName val="BACKUPS"/>
      <sheetName val="Glasgow Planning"/>
      <sheetName val="Glasgow handleiding"/>
      <sheetName val="Gestopte klanten"/>
      <sheetName val="Jaarkalender"/>
      <sheetName val="Jaarplanning"/>
      <sheetName val="TW%"/>
      <sheetName val="DOSSIERS absoluut"/>
      <sheetName val="DOSSIERS relatief"/>
      <sheetName val="GEEN CONTROLE"/>
      <sheetName val="drop down NL"/>
      <sheetName val="Tota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L"/>
      <sheetName val="GEEN CONTROLE"/>
      <sheetName val="drop down NL"/>
    </sheetNames>
    <sheetDataSet>
      <sheetData sheetId="0"/>
      <sheetData sheetId="1"/>
      <sheetData sheetId="2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Weergave1" id="{4E3248D3-7982-4411-ACD2-DDEE3F5424AD}"/>
  <namedSheetView name="Weergave2" id="{513244BE-8CFA-4F26-9E1D-E889170F40B5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anie Schollaert" refreshedDate="45462.715967824071" createdVersion="8" refreshedVersion="8" minRefreshableVersion="3" recordCount="70" xr:uid="{793F70F9-CB86-43AF-B4A7-10780C8B8E23}">
  <cacheSource type="worksheet">
    <worksheetSource ref="A1:AE1048576" sheet="GENERAL"/>
  </cacheSource>
  <cacheFields count="28">
    <cacheField name="Affiliate" numFmtId="0">
      <sharedItems containsBlank="1"/>
    </cacheField>
    <cacheField name="Customer" numFmtId="0">
      <sharedItems containsBlank="1" count="135">
        <s v="Eye-Opener Design BV"/>
        <s v="Laboratoires Dr Ng Payot"/>
        <s v="Robovision BV"/>
        <s v="Sthree Services NV"/>
        <s v="Kitchenaid Netherlands BV (Whirlpool)"/>
        <s v="ICE"/>
        <s v="Arteveldehogeschool"/>
        <s v="Compass Lexecon Belgium SRL"/>
        <s v="ICM Solutions"/>
        <s v="Effik Benelux S.A."/>
        <s v="Gloster Furniture GmbH"/>
        <s v="AAK"/>
        <s v="Quesd (Quinta) Heropstart"/>
        <s v="Action Sports SRL"/>
        <s v="Aurify BV"/>
        <s v="Inka BV"/>
        <s v="Van Hoorebeke Timber NV"/>
        <s v="FTI Consulting Belgium SRL"/>
        <s v="Algam (nieuwe entiteit)"/>
        <s v="Ebury Partners Belgium NV"/>
        <s v="ARC BELGIUM"/>
        <s v="Vi-spring Ltd"/>
        <s v="Gambit Financial Solutions"/>
        <s v="Galapagos Biopharma Netherlands (AlfaSigma)"/>
        <s v="Creneau"/>
        <s v="PSI CRO Netherlands BV"/>
        <s v="Kuantic Benelux"/>
        <s v="VDW Bikes BV"/>
        <s v="Ohme Operations Ireland Ltd"/>
        <s v="Keune Haircosmetics Belgium NV"/>
        <s v="Pulso Europe BV"/>
        <s v="Innovative Automotive Services"/>
        <s v="Soenen Golfkarton Nederland BV"/>
        <s v="Natus Manufacturing Ltd"/>
        <s v="Staubli Benelux"/>
        <s v="John Wiley &amp; Sons Ltd. Netherlands"/>
        <s v="Promation BV"/>
        <s v="Murprotec Nederland"/>
        <s v="Blitz Motors International"/>
        <s v="Quality Guard NL BV"/>
        <s v="Iktos SA"/>
        <s v="RCF"/>
        <s v="Gierlinger Holding GmbH"/>
        <s v="Intertek Belgium NV"/>
        <s v="SDC - Societe Nouvelles des Cendres"/>
        <s v="Al-Haq Europe Asbl"/>
        <s v="Be-Mobile NV"/>
        <s v="European Real Estate"/>
        <m/>
        <s v="Play It BV" u="1"/>
        <s v="Demeyere Zwilling Nederland" u="1"/>
        <s v="TANNL (Twice As Nice)" u="1"/>
        <s v="EPI Ops" u="1"/>
        <s v="EPI Company" u="1"/>
        <s v="Bofrost Zentrale Belgien" u="1"/>
        <s v="2 Bridge NV" u="1"/>
        <s v="John Wiley &amp; Sons Ltd." u="1"/>
        <s v="Frupack Benelux BV" u="1"/>
        <s v="Fike Europe BV" u="1"/>
        <s v="ALIT" u="1"/>
        <s v="Kint Operations BV" u="1"/>
        <s v="ADVN" u="1"/>
        <s v="Fortum Energy Holding BV" u="1"/>
        <s v="AlfaSigma" u="1"/>
        <s v="International Trademark Association" u="1"/>
        <s v="Olympus" u="1"/>
        <s v="Linea 2000 BV" u="1"/>
        <s v="Ansell Healthcare Europe - NL Branch" u="1"/>
        <s v="Grimaldi Nederland BV" u="1"/>
        <s v="2 Bridge" u="1"/>
        <s v="Apex Financial Services B.V. (Apex)" u="1"/>
        <s v="Apex Fund Services (Netherlands) BV (Apex)" u="1"/>
        <s v="Darwin Depositary Services B.V. (Apex)" u="1"/>
        <s v="Fundrock Distribution SA Amstelveen (Apex)" u="1"/>
        <s v="MJ Hudson ESG B.V. (Apex)" u="1"/>
        <s v="SANNE Group (Netherlands) B.V. (Apex)" u="1"/>
        <s v="Diamond Europe" u="1"/>
        <s v="Risco Group NV/SA" u="1"/>
        <s v="Crenau" u="1"/>
        <s v="Eurofins Digital Testing &amp; Cyber Security NL BV (Resillion)" u="1"/>
        <s v="Fundrock SA - Netherlands branch (Apex)" u="1"/>
        <s v="TANN (Twice As Nice)" u="1"/>
        <s v="Premium Plus" u="1"/>
        <s v="Railrest " u="1"/>
        <s v="Democratic Society" u="1"/>
        <s v="Griffith Foods" u="1"/>
        <s v="Dashdoc BE BV" u="1"/>
        <s v="Dirafrost NV" u="1"/>
        <s v="Griffith" u="1"/>
        <s v="Accelerant Insurance Europe NV" u="1"/>
        <s v="TSC Subsea Limited" u="1"/>
        <s v="HDP Medical Int." u="1"/>
        <s v="Trinean NV" u="1"/>
        <s v="Vinçotte International NV" u="1"/>
        <s v="Innovative Automotive Services (opstart gaat niet door)" u="1"/>
        <s v="AB Safety NV" u="1"/>
        <s v="Recticel Engineered Foams" u="1"/>
        <s v="Imerys (laten staan owv toekenning affiliate en MSA/SOW dat nog ontbreekt)" u="1"/>
        <s v="Quality Guard" u="1"/>
        <s v="AMP" u="1"/>
        <s v="Antwerp Space" u="1"/>
        <s v="Form3 Europe" u="1"/>
        <s v="MaplesFS Service Company (Netherlands) B.V." u="1"/>
        <s v="Ibanfirst" u="1"/>
        <s v="Biamp Europe" u="1"/>
        <s v="Unoquip GmbH (= Uniqmedical GmbH)" u="1"/>
        <s v="Casino de Spa - Public Ltd Company" u="1"/>
        <s v="ITS Algorithmic Limited" u="1"/>
        <s v="Pumptech BV" u="1"/>
        <s v="LeadInfo" u="1"/>
        <s v="Testas NV" u="1"/>
        <s v="HDP Medical International" u="1"/>
        <s v="Axxes NL" u="1"/>
        <s v="Thrive BV" u="1"/>
        <s v="WAEG" u="1"/>
        <s v="Eddyfi Uk Limited" u="1"/>
        <s v="Implantologie Schilde BV" u="1"/>
        <s v="Recticel BV" u="1"/>
        <s v="Hydrobox" u="1"/>
        <s v="Zurflüh Feller" u="1"/>
        <s v="Tormans " u="1"/>
        <s v="DAS Audio GmbH" u="1"/>
        <s v="Roto Frank DST Benelux B.V" u="1"/>
        <s v="Uniqmedical GmbH" u="1"/>
        <s v="Belgian Mobile ID" u="1"/>
        <s v="Novosanis" u="1"/>
        <s v=" " u="1"/>
        <s v="Meliore" u="1"/>
        <s v="YPTF-Engineering" u="1"/>
        <s v="Romed" u="1"/>
        <s v="Securitas NV" u="1"/>
        <s v="SD Worx Sociaal Secretariaat" u="1"/>
        <s v="nieuwe entiteit SD Worx" u="1"/>
        <s v="EIG Global Energy (Europe) Ltd" u="1"/>
        <s v="Yuzzu NV" u="1"/>
      </sharedItems>
    </cacheField>
    <cacheField name="PayCo" numFmtId="0">
      <sharedItems containsBlank="1" count="10">
        <s v="LJ"/>
        <s v="SS"/>
        <s v="EG"/>
        <s v="TK"/>
        <s v="GN"/>
        <m/>
        <s v="OL" u="1"/>
        <s v="KVD" u="1"/>
        <s v="LJ/SS" u="1"/>
        <s v="LS" u="1"/>
      </sharedItems>
    </cacheField>
    <cacheField name="BU1" numFmtId="0">
      <sharedItems containsBlank="1"/>
    </cacheField>
    <cacheField name="PM" numFmtId="0">
      <sharedItems containsBlank="1"/>
    </cacheField>
    <cacheField name="eerste berekening" numFmtId="17">
      <sharedItems containsDate="1" containsBlank="1" containsMixedTypes="1" minDate="2022-09-01T00:00:00" maxDate="2024-09-25T00:00:00"/>
    </cacheField>
    <cacheField name="Go-live" numFmtId="0">
      <sharedItems containsDate="1" containsBlank="1" containsMixedTypes="1" minDate="2022-10-01T00:00:00" maxDate="1899-12-30T00:00:00" count="33">
        <d v="2023-10-01T00:00:00"/>
        <s v="?"/>
        <d v="2024-04-01T00:00:00"/>
        <d v="2023-12-01T00:00:00"/>
        <d v="2023-11-01T00:00:00"/>
        <n v="0.20833333333333334"/>
        <d v="2024-01-01T00:00:00"/>
        <d v="2024-09-01T00:00:00"/>
        <d v="2024-02-01T00:00:00"/>
        <d v="2024-03-01T00:00:00"/>
        <d v="2024-05-01T00:00:00"/>
        <d v="2024-06-01T00:00:00"/>
        <d v="2024-07-01T00:00:00"/>
        <d v="2024-08-01T00:00:00"/>
        <d v="2024-09-24T00:00:00"/>
        <d v="2024-10-01T00:00:00"/>
        <m/>
        <d v="2023-09-01T00:00:00" u="1"/>
        <s v="??" u="1"/>
        <s v="mrt/24" u="1"/>
        <n v="4.1666666666666664E-2" u="1"/>
        <d v="2023-04-01T00:00:00" u="1"/>
        <d v="2023-07-01T00:00:00" u="1"/>
        <s v="-" u="1"/>
        <d v="2023-08-01T00:00:00" u="1"/>
        <d v="2023-06-01T00:00:00" u="1"/>
        <d v="2023-05-01T00:00:00" u="1"/>
        <d v="2023-03-01T00:00:00" u="1"/>
        <d v="2022-12-01T00:00:00" u="1"/>
        <d v="2023-02-01T00:00:00" u="1"/>
        <d v="2022-11-01T00:00:00" u="1"/>
        <d v="2023-01-01T00:00:00" u="1"/>
        <d v="2022-10-01T00:00:00" u="1"/>
      </sharedItems>
    </cacheField>
    <cacheField name="# wns" numFmtId="0">
      <sharedItems containsDate="1" containsString="0" containsBlank="1" containsMixedTypes="1" minDate="1899-12-31T00:00:00" maxDate="1900-01-05T09:22:04"/>
    </cacheField>
    <cacheField name="Last update" numFmtId="0">
      <sharedItems containsNonDate="0" containsDate="1" containsString="0" containsBlank="1" minDate="2024-03-18T00:00:00" maxDate="2024-06-20T00:00:00"/>
    </cacheField>
    <cacheField name="Most current status/update" numFmtId="0">
      <sharedItems containsBlank="1"/>
    </cacheField>
    <cacheField name="TO DO / TO CHECK : " numFmtId="0">
      <sharedItems containsBlank="1"/>
    </cacheField>
    <cacheField name="Split" numFmtId="0">
      <sharedItems containsBlank="1"/>
    </cacheField>
    <cacheField name="Entiteit" numFmtId="1">
      <sharedItems containsBlank="1"/>
    </cacheField>
    <cacheField name="type opstart" numFmtId="1">
      <sharedItems containsBlank="1"/>
    </cacheField>
    <cacheField name="Sales Handover" numFmtId="1">
      <sharedItems containsBlank="1"/>
    </cacheField>
    <cacheField name="mail @ client" numFmtId="0">
      <sharedItems containsBlank="1"/>
    </cacheField>
    <cacheField name="Packs" numFmtId="0">
      <sharedItems containsBlank="1"/>
    </cacheField>
    <cacheField name="Mail Arbodienst" numFmtId="1">
      <sharedItems containsBlank="1"/>
    </cacheField>
    <cacheField name="e-herkenning" numFmtId="1">
      <sharedItems containsBlank="1"/>
    </cacheField>
    <cacheField name="LHN aangevraagd" numFmtId="1">
      <sharedItems containsBlank="1"/>
    </cacheField>
    <cacheField name="Status MySP kalender" numFmtId="1">
      <sharedItems containsBlank="1"/>
    </cacheField>
    <cacheField name="info WG volledig" numFmtId="1">
      <sharedItems containsBlank="1"/>
    </cacheField>
    <cacheField name="info WN" numFmtId="1">
      <sharedItems containsBlank="1"/>
    </cacheField>
    <cacheField name="Cobra" numFmtId="1">
      <sharedItems containsBlank="1"/>
    </cacheField>
    <cacheField name="1e berekening" numFmtId="0">
      <sharedItems containsNonDate="0" containsDate="1" containsString="0" containsBlank="1" minDate="2022-07-01T00:00:00" maxDate="2024-06-02T00:00:00"/>
    </cacheField>
    <cacheField name="Admin" numFmtId="1">
      <sharedItems containsNonDate="0" containsString="0" containsBlank="1"/>
    </cacheField>
    <cacheField name="Opmerkingen" numFmtId="0">
      <sharedItems containsBlank="1"/>
    </cacheField>
    <cacheField name="Afgerond / Geannuleerd / Hypercar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INLE1622"/>
    <x v="0"/>
    <x v="0"/>
    <s v="EG"/>
    <s v="-"/>
    <d v="2023-10-01T00:00:00"/>
    <x v="0"/>
    <n v="1"/>
    <d v="2024-03-29T00:00:00"/>
    <s v="Volledig bijberekend"/>
    <s v="mag overgedragen worden aan Muns"/>
    <s v="Ja"/>
    <s v="BE"/>
    <s v="Nieuw"/>
    <s v="ok"/>
    <s v="ok"/>
    <m/>
    <s v="ok"/>
    <s v="NVT"/>
    <s v="OK"/>
    <m/>
    <m/>
    <m/>
    <m/>
    <m/>
    <m/>
    <m/>
    <s v="Ongoing"/>
  </r>
  <r>
    <s v="INLL1446"/>
    <x v="1"/>
    <x v="1"/>
    <m/>
    <s v="-"/>
    <s v="?"/>
    <x v="1"/>
    <n v="1"/>
    <d v="2024-06-19T00:00:00"/>
    <s v="Klant heeft deel van opstartdoc op sharepoint gezet maar heel veel ontbreekt. Feedback aan klant bezorgd"/>
    <s v="LHnr aanvragen"/>
    <s v="nee"/>
    <s v="FR"/>
    <s v="Nieuw"/>
    <s v="ok"/>
    <s v="ok"/>
    <s v="NCSP"/>
    <s v="ok"/>
    <s v="NVT"/>
    <m/>
    <m/>
    <m/>
    <m/>
    <m/>
    <m/>
    <m/>
    <m/>
    <s v="Ongoing"/>
  </r>
  <r>
    <s v="INLR1639"/>
    <x v="2"/>
    <x v="1"/>
    <m/>
    <s v="-"/>
    <s v="Nvt"/>
    <x v="0"/>
    <n v="1"/>
    <d v="2024-05-16T00:00:00"/>
    <s v="Vaststelling Belastingplicht ontvangen, nog wachtende op sectorcode en Whk%"/>
    <s v="implementatie pending LH en whk + BD bellen voor zogezegde laattijdige aangifte"/>
    <s v="nee"/>
    <s v="BE"/>
    <s v="Nieuw"/>
    <s v="ok"/>
    <s v="ok"/>
    <s v="-"/>
    <m/>
    <m/>
    <m/>
    <m/>
    <s v="OK"/>
    <s v="OK"/>
    <m/>
    <m/>
    <m/>
    <m/>
    <m/>
  </r>
  <r>
    <s v="INLS1550"/>
    <x v="3"/>
    <x v="0"/>
    <s v="SS"/>
    <s v="-"/>
    <d v="2023-01-01T00:00:00"/>
    <x v="0"/>
    <n v="1"/>
    <d v="2024-03-29T00:00:00"/>
    <s v="Implementatie uitgevoerd - wn opgeladen - wachtperiode loonheffingen (klant betaalt wel vanaf commencement date 10/23)"/>
    <m/>
    <s v="Ja"/>
    <m/>
    <m/>
    <m/>
    <m/>
    <m/>
    <m/>
    <m/>
    <m/>
    <m/>
    <m/>
    <m/>
    <m/>
    <m/>
    <m/>
    <m/>
    <s v="Ongoing"/>
  </r>
  <r>
    <s v="INLK1630"/>
    <x v="4"/>
    <x v="0"/>
    <s v="SS"/>
    <s v="Leon Main"/>
    <d v="2024-04-01T00:00:00"/>
    <x v="2"/>
    <n v="5"/>
    <d v="2024-04-29T00:00:00"/>
    <s v="Eerste live payroll afgerond - mag overgedragen worden_x000a_Gepersonaliseerde GL hangende"/>
    <s v="mag overgedragen worden aan Omnia"/>
    <s v="nee"/>
    <s v="NL"/>
    <s v="Nieuw"/>
    <s v="ok"/>
    <s v="ok"/>
    <m/>
    <s v="ok"/>
    <m/>
    <s v="OK"/>
    <s v="Global"/>
    <s v="OK"/>
    <s v="OK"/>
    <m/>
    <d v="2024-01-01T00:00:00"/>
    <m/>
    <m/>
    <s v="Ongoing"/>
  </r>
  <r>
    <s v="INLI1562"/>
    <x v="5"/>
    <x v="2"/>
    <m/>
    <m/>
    <d v="2023-12-01T00:00:00"/>
    <x v="3"/>
    <n v="2"/>
    <d v="2024-03-29T00:00:00"/>
    <s v="Volledig bijberekend"/>
    <s v="mag overgedragen worden aan Omnia"/>
    <s v="nee"/>
    <s v="BE"/>
    <s v="Nieuw"/>
    <s v="ok"/>
    <s v="ok"/>
    <s v="new country starter pack"/>
    <s v="ok"/>
    <s v="NVT"/>
    <m/>
    <m/>
    <m/>
    <m/>
    <m/>
    <m/>
    <m/>
    <m/>
    <s v="Ongoing"/>
  </r>
  <r>
    <s v="INLA1642"/>
    <x v="6"/>
    <x v="0"/>
    <s v="EG"/>
    <m/>
    <d v="2022-09-01T00:00:00"/>
    <x v="4"/>
    <n v="1"/>
    <d v="2024-05-06T00:00:00"/>
    <s v="Volledig bijberekend - enige wn uit dienst - aanvraag afsluiten LHnr OK - nulaangiften tot en met 202405 OK"/>
    <m/>
    <s v="Ja"/>
    <s v="BE"/>
    <s v="Nieuw"/>
    <s v="ok"/>
    <s v="ok"/>
    <s v="geen"/>
    <s v="ok"/>
    <s v="NVT"/>
    <s v="OK"/>
    <m/>
    <s v="OK"/>
    <m/>
    <s v="OK"/>
    <d v="2022-07-01T00:00:00"/>
    <m/>
    <m/>
    <s v="Ongoing"/>
  </r>
  <r>
    <s v="INLC1645"/>
    <x v="7"/>
    <x v="1"/>
    <s v="GN"/>
    <s v="-"/>
    <d v="2024-01-01T00:00:00"/>
    <x v="5"/>
    <d v="1899-12-31T00:00:00"/>
    <d v="2024-06-12T00:00:00"/>
    <s v="Update wn info en brieven BD gevraagd aan klant, nieuwe CAO check wordt T&amp;L NL gedaan"/>
    <s v="Normuren, CAO, default aanvullen + wn opladen"/>
    <s v="nee"/>
    <s v="BE"/>
    <s v="Nieuw"/>
    <s v="ok"/>
    <s v="ok"/>
    <s v="geen"/>
    <m/>
    <s v="NVT"/>
    <m/>
    <m/>
    <m/>
    <m/>
    <m/>
    <m/>
    <m/>
    <m/>
    <s v="Ongoing"/>
  </r>
  <r>
    <s v="INLI1563"/>
    <x v="8"/>
    <x v="0"/>
    <s v="SS"/>
    <s v="-"/>
    <s v="??"/>
    <x v="6"/>
    <n v="19"/>
    <d v="2024-03-28T00:00:00"/>
    <s v="Communicatie aan klant met verzoek opstart te annuleren mits betaling opstartkost is gebeurd - wacht op feedback na reminder"/>
    <m/>
    <s v="Ja"/>
    <s v="LT"/>
    <s v="Nieuw"/>
    <s v="ok"/>
    <s v="ok"/>
    <s v="CSP"/>
    <m/>
    <s v="NVT"/>
    <m/>
    <m/>
    <m/>
    <m/>
    <m/>
    <m/>
    <m/>
    <m/>
    <s v="Geannuleerd"/>
  </r>
  <r>
    <s v="INLE1623"/>
    <x v="9"/>
    <x v="0"/>
    <s v="SS"/>
    <s v="-"/>
    <s v="??"/>
    <x v="7"/>
    <n v="1"/>
    <d v="2024-03-28T00:00:00"/>
    <s v="Go live uitgesteld naar september 2024 - klant zal pas opstart doc aanleveren in 2024/06"/>
    <m/>
    <s v="nee"/>
    <s v="BE"/>
    <s v="Nieuw"/>
    <s v="ok"/>
    <s v="ok"/>
    <s v="geen"/>
    <m/>
    <s v="NVT"/>
    <m/>
    <m/>
    <m/>
    <m/>
    <m/>
    <m/>
    <m/>
    <m/>
    <s v="Ongoing"/>
  </r>
  <r>
    <s v="INLG1420"/>
    <x v="10"/>
    <x v="0"/>
    <s v="SS"/>
    <s v="-"/>
    <d v="2023-12-01T00:00:00"/>
    <x v="8"/>
    <n v="1"/>
    <d v="2024-05-03T00:00:00"/>
    <s v="Aanvraag LH nr OK_x000a_Aanvraag klantennr Cobra OK"/>
    <m/>
    <s v="nee"/>
    <s v="DE"/>
    <s v="Nieuw"/>
    <s v="ok"/>
    <s v="ok"/>
    <s v="NCSP + DEP (10h)"/>
    <m/>
    <s v="NVT"/>
    <m/>
    <m/>
    <m/>
    <m/>
    <m/>
    <m/>
    <m/>
    <m/>
    <s v="Ongoing"/>
  </r>
  <r>
    <s v="INLA1648"/>
    <x v="11"/>
    <x v="2"/>
    <m/>
    <m/>
    <d v="2024-01-01T00:00:00"/>
    <x v="6"/>
    <n v="24"/>
    <d v="2024-03-29T00:00:00"/>
    <s v="Berekening maart ok"/>
    <s v="kan overgedragen worden"/>
    <m/>
    <m/>
    <m/>
    <m/>
    <m/>
    <m/>
    <m/>
    <m/>
    <m/>
    <m/>
    <m/>
    <m/>
    <m/>
    <m/>
    <m/>
    <m/>
    <s v="Ongoing"/>
  </r>
  <r>
    <s v="INLQ0103"/>
    <x v="12"/>
    <x v="1"/>
    <m/>
    <s v="-"/>
    <d v="2024-01-01T00:00:00"/>
    <x v="9"/>
    <n v="1"/>
    <d v="2024-06-19T00:00:00"/>
    <s v="mei payroll afgesloten"/>
    <s v="Overdragen"/>
    <s v="nee"/>
    <s v="BE"/>
    <s v="Nieuw"/>
    <s v="ok"/>
    <s v="ok"/>
    <s v="CSP + DEP (10u)"/>
    <m/>
    <m/>
    <m/>
    <m/>
    <m/>
    <m/>
    <m/>
    <d v="2024-02-01T00:00:00"/>
    <m/>
    <m/>
    <s v="Ongoing"/>
  </r>
  <r>
    <s v="INLA1649"/>
    <x v="13"/>
    <x v="0"/>
    <s v="SS"/>
    <s v="-"/>
    <d v="2024-01-01T00:00:00"/>
    <x v="9"/>
    <n v="2"/>
    <d v="2024-05-03T00:00:00"/>
    <s v="Backproces hangende - discussie/onduidelijkheid tov klant - call ingepland 6/5 - 8/5_x000a_0124 ter akkoord bij klant"/>
    <s v="Backprocessen vanaf januari 2024"/>
    <s v="nee"/>
    <s v="BE"/>
    <s v="Transfer"/>
    <s v="ok"/>
    <m/>
    <m/>
    <m/>
    <s v="NVT"/>
    <m/>
    <m/>
    <m/>
    <m/>
    <m/>
    <m/>
    <m/>
    <m/>
    <s v="Ongoing"/>
  </r>
  <r>
    <s v="INLA1650"/>
    <x v="14"/>
    <x v="0"/>
    <s v="SS"/>
    <s v="-"/>
    <d v="2024-01-01T00:00:00"/>
    <x v="2"/>
    <n v="2"/>
    <d v="2024-05-23T00:00:00"/>
    <s v="Go-live uitgesteld naar 202406 op vraag van klant (interne beslissing) - wacht op addendum AO's_x000a_Implementatie in cobra volledig in orde - nulaangifte 0324 + 0424 + 0524 OK"/>
    <s v="wns opladen in cobra"/>
    <s v="nee"/>
    <s v="BE"/>
    <s v="Nieuw"/>
    <s v="ok"/>
    <s v="ok"/>
    <s v="CSP + DEP (10h)"/>
    <s v="ok"/>
    <s v="NVT"/>
    <s v="OK"/>
    <m/>
    <m/>
    <m/>
    <m/>
    <m/>
    <m/>
    <m/>
    <s v="Ongoing"/>
  </r>
  <r>
    <s v="INLI1564"/>
    <x v="15"/>
    <x v="0"/>
    <s v="SS"/>
    <s v="-"/>
    <d v="2024-01-01T00:00:00"/>
    <x v="2"/>
    <n v="1"/>
    <d v="2024-05-03T00:00:00"/>
    <s v="LH nr bevestigd - wacht op whk % 2024 - wacht op implementatieformulier + WN data"/>
    <s v="deadline aangifte 0224 + 0324 = 21/5/2024"/>
    <s v="nee"/>
    <s v="BE"/>
    <s v="Nieuw"/>
    <s v="ok"/>
    <s v="ok"/>
    <s v="CSP + DEP (10h)"/>
    <m/>
    <s v="NVT"/>
    <m/>
    <m/>
    <m/>
    <m/>
    <m/>
    <m/>
    <m/>
    <m/>
    <s v="Ongoing"/>
  </r>
  <r>
    <s v="INLV1553"/>
    <x v="16"/>
    <x v="0"/>
    <s v="SS"/>
    <s v="-"/>
    <d v="2024-01-01T00:00:00"/>
    <x v="2"/>
    <n v="1"/>
    <d v="2024-05-02T00:00:00"/>
    <s v="Volledig bijberekend - kan overgedragen worden"/>
    <s v="mag overgedragen worden aan Michon"/>
    <s v="nee"/>
    <s v="BE"/>
    <s v="Nieuw"/>
    <s v="ok"/>
    <m/>
    <s v="CSP"/>
    <m/>
    <s v="NVT"/>
    <m/>
    <m/>
    <m/>
    <m/>
    <m/>
    <m/>
    <m/>
    <m/>
    <s v="Ongoing"/>
  </r>
  <r>
    <s v="INLF1410"/>
    <x v="17"/>
    <x v="1"/>
    <s v="GN"/>
    <s v="-"/>
    <m/>
    <x v="10"/>
    <n v="1"/>
    <d v="2024-06-12T00:00:00"/>
    <s v="Zoveelste reminder aan klant gestuurd voor opstartdocumenten"/>
    <s v="LHnr aanvragen"/>
    <s v="nee"/>
    <s v="BE"/>
    <s v="Nieuw"/>
    <s v="ok"/>
    <s v="ok"/>
    <s v="-"/>
    <m/>
    <m/>
    <m/>
    <m/>
    <m/>
    <m/>
    <m/>
    <m/>
    <m/>
    <m/>
    <s v="Ongoing"/>
  </r>
  <r>
    <s v="INLA1652"/>
    <x v="18"/>
    <x v="0"/>
    <s v="SS"/>
    <s v="-"/>
    <d v="2024-01-01T00:00:00"/>
    <x v="2"/>
    <n v="2"/>
    <d v="2024-05-07T00:00:00"/>
    <s v="Ber 202404 ter akkoord bij de klant"/>
    <m/>
    <s v="nee"/>
    <s v="BE"/>
    <s v="Nieuw"/>
    <s v="ok"/>
    <s v="ok"/>
    <m/>
    <m/>
    <m/>
    <m/>
    <m/>
    <m/>
    <s v="OK"/>
    <m/>
    <d v="2024-04-01T00:00:00"/>
    <m/>
    <m/>
    <s v="Ongoing"/>
  </r>
  <r>
    <s v="INLE1626"/>
    <x v="19"/>
    <x v="0"/>
    <s v="SS"/>
    <s v="-"/>
    <d v="2024-04-01T00:00:00"/>
    <x v="2"/>
    <n v="70"/>
    <d v="2024-04-30T00:00:00"/>
    <s v="Backproces + live payroll afgerond - mag overgedragen worden_x000a_Gepersonaliseerde betaallijst + standenregister ter akkoord bij klant/hangende"/>
    <s v="mag overgedragen worden aan Jamie"/>
    <s v="nee"/>
    <s v="NL"/>
    <s v="Transfer"/>
    <m/>
    <m/>
    <s v="-"/>
    <m/>
    <m/>
    <m/>
    <m/>
    <m/>
    <m/>
    <m/>
    <m/>
    <m/>
    <m/>
    <s v="Ongoing"/>
  </r>
  <r>
    <s v="INLA1651"/>
    <x v="20"/>
    <x v="0"/>
    <s v="SS"/>
    <s v="-"/>
    <d v="2024-03-01T00:00:00"/>
    <x v="2"/>
    <n v="2"/>
    <d v="2024-05-14T00:00:00"/>
    <s v="LH nr bevestigd maar aangepaste start belastingplicht hangende bij NL BD - Aanvraag aanmaak klantenomgeving Cobra OK"/>
    <s v="Implementatie starten in cobra _x000a_Vraag aan Steven voor naamswijziging LC 4350 (fiscale bijtelling maaltijd)_x000a_Deadline aangiften 2024 = 15/6/2024"/>
    <s v="Ja"/>
    <s v="BE"/>
    <s v="Nieuw"/>
    <s v="ok"/>
    <s v="ok"/>
    <s v="CSP"/>
    <s v="ok"/>
    <m/>
    <m/>
    <m/>
    <m/>
    <m/>
    <m/>
    <m/>
    <m/>
    <m/>
    <s v="Ongoing"/>
  </r>
  <r>
    <s v="INLV1294"/>
    <x v="21"/>
    <x v="2"/>
    <m/>
    <s v="-"/>
    <d v="2024-03-01T00:00:00"/>
    <x v="9"/>
    <n v="1"/>
    <d v="2024-05-03T00:00:00"/>
    <s v="aanvraag om LHnr te heropenen à BD gestuurd"/>
    <m/>
    <s v="nee"/>
    <s v="UK"/>
    <s v="Nieuw"/>
    <s v="ok"/>
    <s v="ok"/>
    <s v="CSP"/>
    <s v="ok"/>
    <s v="NVT"/>
    <m/>
    <m/>
    <m/>
    <m/>
    <m/>
    <m/>
    <m/>
    <m/>
    <s v="Ongoing"/>
  </r>
  <r>
    <s v="INLG1422"/>
    <x v="22"/>
    <x v="1"/>
    <s v="TK"/>
    <s v="-"/>
    <d v="2024-01-01T00:00:00"/>
    <x v="10"/>
    <n v="1"/>
    <d v="2024-06-12T00:00:00"/>
    <s v="Aanvraag LHnr ingediend 29/5 + klantnr en omgeving aangevraagd"/>
    <s v="check startdatum payroll (T&amp;L zegt 2023, sales 2024)"/>
    <s v="Ja"/>
    <s v="BE"/>
    <s v="Nieuw"/>
    <m/>
    <m/>
    <m/>
    <m/>
    <m/>
    <m/>
    <m/>
    <m/>
    <m/>
    <m/>
    <m/>
    <m/>
    <m/>
    <s v="Ongoing"/>
  </r>
  <r>
    <s v="INLG1423"/>
    <x v="23"/>
    <x v="1"/>
    <m/>
    <s v="Guillermo Rodriguez / Rhia Burns"/>
    <m/>
    <x v="11"/>
    <n v="20"/>
    <d v="2024-06-19T00:00:00"/>
    <s v="Payroll juni ter akkoord bij klant"/>
    <s v="Na afsluit payroll - overdragen"/>
    <s v="nee"/>
    <m/>
    <s v="Transfer"/>
    <m/>
    <m/>
    <s v="-"/>
    <m/>
    <m/>
    <m/>
    <m/>
    <m/>
    <m/>
    <m/>
    <m/>
    <m/>
    <s v="Transfer v SDNL"/>
    <s v="Ongoing"/>
  </r>
  <r>
    <s v="INLC1649"/>
    <x v="24"/>
    <x v="3"/>
    <m/>
    <s v="-"/>
    <d v="2024-06-01T00:00:00"/>
    <x v="11"/>
    <n v="2"/>
    <d v="2024-06-18T00:00:00"/>
    <s v="Documenten doorgenomen en laatste feedback gegeven over punt 5 + digitaal invullen Registratieformulier."/>
    <s v="Cobra omgeving aanvragen + LHnr aanvragen na ontvangst opstartdoc"/>
    <s v="nee"/>
    <s v="BE"/>
    <s v="Nieuw"/>
    <s v="ok"/>
    <m/>
    <s v="CSP + DEP 10u"/>
    <m/>
    <m/>
    <m/>
    <m/>
    <m/>
    <m/>
    <m/>
    <d v="2024-06-01T00:00:00"/>
    <m/>
    <m/>
    <s v="Ongoing"/>
  </r>
  <r>
    <s v="INLP1580"/>
    <x v="25"/>
    <x v="0"/>
    <m/>
    <s v="-"/>
    <d v="2024-04-01T00:00:00"/>
    <x v="2"/>
    <n v="1"/>
    <d v="2024-04-29T00:00:00"/>
    <s v="Nulaangiften + live payroll berekening afgerond - mag overgedragen worden"/>
    <s v="mag overgedragen worden aan Kelly"/>
    <s v="nee"/>
    <s v="NL"/>
    <s v="Nieuw"/>
    <s v="ok"/>
    <s v="ok"/>
    <m/>
    <m/>
    <m/>
    <m/>
    <m/>
    <m/>
    <m/>
    <m/>
    <m/>
    <m/>
    <m/>
    <s v="Ongoing"/>
  </r>
  <r>
    <s v="INLK1632"/>
    <x v="26"/>
    <x v="0"/>
    <m/>
    <s v="-"/>
    <d v="2023-10-01T00:00:00"/>
    <x v="10"/>
    <n v="4"/>
    <d v="2024-04-16T00:00:00"/>
    <s v="Feedback bezorgd aan klant - wacht op aanvullingen opstart doc"/>
    <s v=" "/>
    <s v="nee"/>
    <s v="BE"/>
    <s v="Nieuw"/>
    <s v="ok"/>
    <s v="ok"/>
    <s v="CSP + DEP 10u"/>
    <m/>
    <m/>
    <m/>
    <m/>
    <m/>
    <m/>
    <m/>
    <m/>
    <m/>
    <m/>
    <s v="Ongoing"/>
  </r>
  <r>
    <s v="INLV1554"/>
    <x v="27"/>
    <x v="0"/>
    <m/>
    <s v="-"/>
    <d v="2024-01-01T00:00:00"/>
    <x v="10"/>
    <n v="2"/>
    <d v="2024-05-29T00:00:00"/>
    <s v="Aanvraag LHnr OK - wacht op bev LHnr, sector, indeling WG &amp; whk % 2024_x000a_Wacht op aanvullingen wn data van klant_x000a_Klantnr cobra (100254) + omgeving is aangemaakt"/>
    <m/>
    <s v="nee"/>
    <s v="BE"/>
    <s v="Nieuw"/>
    <s v="ok"/>
    <s v="ok"/>
    <s v="-"/>
    <s v="ok"/>
    <m/>
    <m/>
    <m/>
    <m/>
    <m/>
    <m/>
    <m/>
    <m/>
    <m/>
    <s v="Ongoing"/>
  </r>
  <r>
    <s v="INLO1244"/>
    <x v="28"/>
    <x v="0"/>
    <m/>
    <s v="Jade Ferrie"/>
    <s v="?"/>
    <x v="11"/>
    <n v="1"/>
    <d v="2024-03-18T00:00:00"/>
    <s v="Opstart doc opgeladen op sharepoint + info aan klant"/>
    <m/>
    <s v="nee"/>
    <s v="IE"/>
    <s v="Nieuw"/>
    <s v="ok"/>
    <m/>
    <s v="CSP + DEP 20u"/>
    <m/>
    <m/>
    <m/>
    <m/>
    <m/>
    <m/>
    <m/>
    <m/>
    <m/>
    <m/>
    <s v="Ongoing"/>
  </r>
  <r>
    <s v="INLK1633"/>
    <x v="29"/>
    <x v="0"/>
    <m/>
    <s v="-"/>
    <s v="?"/>
    <x v="11"/>
    <n v="1"/>
    <d v="2024-05-29T00:00:00"/>
    <s v="Reminder aan klant voor stavaza opstart doc"/>
    <m/>
    <s v="Ja"/>
    <s v="BE"/>
    <s v="Nieuw"/>
    <s v="ok"/>
    <s v="ok"/>
    <s v="-"/>
    <s v="ok"/>
    <m/>
    <m/>
    <m/>
    <m/>
    <m/>
    <m/>
    <m/>
    <m/>
    <m/>
    <s v="Ongoing"/>
  </r>
  <r>
    <s v="INLP1581"/>
    <x v="30"/>
    <x v="0"/>
    <m/>
    <s v="-"/>
    <s v="?"/>
    <x v="12"/>
    <n v="1"/>
    <d v="2024-03-22T00:00:00"/>
    <s v="Opstart doc op sharepoint + info aan klant ok"/>
    <m/>
    <s v="nee"/>
    <s v="BE"/>
    <s v="Nieuw"/>
    <s v="ok"/>
    <s v="ok"/>
    <s v="CSP"/>
    <s v="ok"/>
    <m/>
    <m/>
    <m/>
    <m/>
    <m/>
    <m/>
    <m/>
    <m/>
    <m/>
    <s v="Ongoing"/>
  </r>
  <r>
    <s v="INLI1557"/>
    <x v="31"/>
    <x v="0"/>
    <s v="SS"/>
    <s v="-"/>
    <s v="?"/>
    <x v="1"/>
    <n v="1"/>
    <d v="2024-03-29T00:00:00"/>
    <s v="Opstartfactuur betaald, verschillende reminders aan klant gestuurd maar krijgen geen info"/>
    <m/>
    <s v="nee"/>
    <s v="BE"/>
    <s v="Nieuw"/>
    <s v="ok"/>
    <s v="ok"/>
    <m/>
    <m/>
    <m/>
    <m/>
    <m/>
    <m/>
    <m/>
    <m/>
    <m/>
    <m/>
    <m/>
    <s v="Ongoing"/>
  </r>
  <r>
    <s v="INLS1552"/>
    <x v="32"/>
    <x v="0"/>
    <m/>
    <s v="-"/>
    <d v="2024-04-01T00:00:00"/>
    <x v="12"/>
    <n v="1"/>
    <d v="2024-05-29T00:00:00"/>
    <s v="Bevestiging LHnr ontvangen - wacht op sector, indeling WG &amp; whk % 2024_x000a_Klant heeft voorschot uitbetaald voor 202404 - nog te bevestigen voor 202405_x000a_Klantnr cobra aangemaakt (100249) - aanmaak omgeving cobra is aangevraagd"/>
    <m/>
    <s v="nee"/>
    <s v="NL"/>
    <s v="Nieuw"/>
    <s v="ok"/>
    <s v="ok"/>
    <s v="CSP"/>
    <s v="ok"/>
    <s v="ok"/>
    <m/>
    <m/>
    <m/>
    <m/>
    <m/>
    <m/>
    <m/>
    <m/>
    <s v="Ongoing"/>
  </r>
  <r>
    <s v="INLN0405"/>
    <x v="33"/>
    <x v="0"/>
    <m/>
    <s v="-"/>
    <d v="2024-04-01T00:00:00"/>
    <x v="12"/>
    <n v="1"/>
    <d v="2024-05-29T00:00:00"/>
    <s v="LHnr aangevraagd_x000a_Aanvraag klantnr. + omgeving in cobra aangevraagd_x000a_Proforma 202404 + 202405 OK"/>
    <m/>
    <s v="nee"/>
    <s v="IE"/>
    <s v="Nieuw"/>
    <s v="ok"/>
    <m/>
    <s v="CSP"/>
    <m/>
    <m/>
    <m/>
    <m/>
    <m/>
    <m/>
    <m/>
    <m/>
    <m/>
    <m/>
    <s v="Ongoing"/>
  </r>
  <r>
    <s v="INLS1553"/>
    <x v="34"/>
    <x v="1"/>
    <s v="TK"/>
    <s v="-"/>
    <d v="2024-01-01T00:00:00"/>
    <x v="12"/>
    <n v="4"/>
    <d v="2024-06-19T00:00:00"/>
    <s v="Klantnummer en -omgeving ok. Salarisverw admin niet zichtbaar in Cobra, mail à Rens gestuurd"/>
    <s v="Brief volmacht aan BD sturen + implementatie starten"/>
    <m/>
    <s v="BE"/>
    <s v="Transfer"/>
    <s v="ok"/>
    <s v="ok"/>
    <s v="-"/>
    <m/>
    <m/>
    <m/>
    <m/>
    <m/>
    <m/>
    <m/>
    <m/>
    <m/>
    <m/>
    <s v="Ongoing"/>
  </r>
  <r>
    <s v="INLJ0262"/>
    <x v="35"/>
    <x v="1"/>
    <s v="TK"/>
    <s v="-"/>
    <m/>
    <x v="7"/>
    <n v="15"/>
    <d v="2024-06-12T00:00:00"/>
    <s v="Klantenmeeting 13/6 voor invullen opstartdoc"/>
    <m/>
    <s v="nee"/>
    <s v="NL"/>
    <s v="Nieuw"/>
    <s v="ok"/>
    <m/>
    <s v="DEP 10u"/>
    <m/>
    <m/>
    <m/>
    <m/>
    <m/>
    <m/>
    <m/>
    <m/>
    <m/>
    <m/>
    <s v="Ongoing"/>
  </r>
  <r>
    <s v="INLP1582"/>
    <x v="36"/>
    <x v="1"/>
    <s v="TK"/>
    <s v="-"/>
    <d v="2024-04-01T00:00:00"/>
    <x v="13"/>
    <n v="1"/>
    <d v="2024-06-12T00:00:00"/>
    <s v="LHnr aangevraagd + wachtperiode implementatie, opmaak AO en PO lopende, inlichtingenfiche wn moet klant nog aanvullen"/>
    <s v="Implementatie Cobra starten"/>
    <s v="Ja"/>
    <s v="BE"/>
    <s v="Nieuw"/>
    <s v="ok"/>
    <s v="ok"/>
    <s v="CSP"/>
    <m/>
    <m/>
    <m/>
    <m/>
    <m/>
    <m/>
    <m/>
    <m/>
    <m/>
    <m/>
    <s v="Ongoing"/>
  </r>
  <r>
    <s v="INLM1578"/>
    <x v="37"/>
    <x v="3"/>
    <m/>
    <s v="-"/>
    <d v="2024-01-01T00:00:00"/>
    <x v="12"/>
    <n v="7"/>
    <d v="2024-06-11T00:00:00"/>
    <s v="review documenten"/>
    <s v="wachten op nwe uploads docs"/>
    <s v="nee"/>
    <s v="NL"/>
    <s v="Transfer"/>
    <s v="ok"/>
    <s v="ok"/>
    <s v="-"/>
    <m/>
    <m/>
    <m/>
    <m/>
    <m/>
    <m/>
    <m/>
    <m/>
    <m/>
    <m/>
    <s v="Ongoing"/>
  </r>
  <r>
    <s v="INLB1510"/>
    <x v="38"/>
    <x v="0"/>
    <m/>
    <s v="-"/>
    <d v="2024-04-01T00:00:00"/>
    <x v="13"/>
    <n v="1"/>
    <d v="2024-05-29T00:00:00"/>
    <s v="Wacht op (aanvullingen) opstart doc"/>
    <m/>
    <s v="nee"/>
    <s v="BE"/>
    <s v="Nieuw"/>
    <s v="ok"/>
    <s v="ok"/>
    <s v="-"/>
    <s v="ok"/>
    <m/>
    <m/>
    <m/>
    <m/>
    <m/>
    <m/>
    <m/>
    <m/>
    <m/>
    <s v="Ongoing"/>
  </r>
  <r>
    <s v="INLQ1380"/>
    <x v="39"/>
    <x v="0"/>
    <m/>
    <s v="-"/>
    <s v="TBC"/>
    <x v="13"/>
    <n v="4"/>
    <d v="2024-05-07T00:00:00"/>
    <s v="Aanvraag sharepoint OK"/>
    <m/>
    <s v="nee"/>
    <s v="NL"/>
    <s v="Nieuw"/>
    <s v="ok"/>
    <m/>
    <m/>
    <m/>
    <m/>
    <m/>
    <m/>
    <m/>
    <m/>
    <m/>
    <m/>
    <m/>
    <m/>
    <s v="Ongoing"/>
  </r>
  <r>
    <s v="INLI1565"/>
    <x v="40"/>
    <x v="0"/>
    <m/>
    <s v="-"/>
    <d v="2024-06-01T00:00:00"/>
    <x v="7"/>
    <n v="1"/>
    <d v="2024-05-21T00:00:00"/>
    <s v="Aanvraag SP ok + communicatie aan klant"/>
    <m/>
    <s v="nee"/>
    <s v="FR"/>
    <s v="Nieuw"/>
    <s v="ok"/>
    <m/>
    <s v="CSP +DEP 10h"/>
    <m/>
    <m/>
    <m/>
    <m/>
    <m/>
    <m/>
    <m/>
    <m/>
    <m/>
    <m/>
    <s v="Ongoing"/>
  </r>
  <r>
    <s v="INLR1640"/>
    <x v="41"/>
    <x v="3"/>
    <s v="LJ"/>
    <s v="-"/>
    <d v="2024-05-01T00:00:00"/>
    <x v="7"/>
    <n v="1"/>
    <d v="2024-06-17T00:00:00"/>
    <s v="meeting klant 17/6"/>
    <s v="wachten op aangepaste docs"/>
    <s v="nee"/>
    <s v="DE"/>
    <s v="Nieuw"/>
    <s v="ok"/>
    <s v="ok"/>
    <s v="DEP 10u"/>
    <s v="ok"/>
    <s v="ok"/>
    <m/>
    <m/>
    <m/>
    <m/>
    <m/>
    <m/>
    <m/>
    <m/>
    <s v="Ongoing"/>
  </r>
  <r>
    <s v="INLG1424"/>
    <x v="42"/>
    <x v="4"/>
    <m/>
    <s v="-"/>
    <d v="2024-09-24T00:00:00"/>
    <x v="14"/>
    <n v="1"/>
    <d v="2024-06-19T00:00:00"/>
    <s v="wachten op sharepoint docs"/>
    <m/>
    <s v="nee"/>
    <s v="AT"/>
    <s v="Nieuw"/>
    <s v="ok"/>
    <s v="ok"/>
    <s v="NCSP"/>
    <m/>
    <m/>
    <m/>
    <m/>
    <m/>
    <m/>
    <m/>
    <m/>
    <m/>
    <m/>
    <s v="Ongoing"/>
  </r>
  <r>
    <s v="INLI1566"/>
    <x v="43"/>
    <x v="3"/>
    <m/>
    <s v="-"/>
    <d v="2024-05-01T00:00:00"/>
    <x v="7"/>
    <n v="1"/>
    <d v="2024-06-18T00:00:00"/>
    <s v="Klantmeeting 18/6: verhaal rond PO is onduidelijk. Lijkt erop alsof opstart niet nodig is, ivm bestaande entiteit I.Rotterdam en I.Belgium. Hij moet voor I.Rotterdam blijven werken…"/>
    <s v="Antwoord van T&amp;L Bart Bekaert afwachten"/>
    <s v="Ja"/>
    <s v="BE"/>
    <s v="Nieuw"/>
    <s v="ok"/>
    <s v="ok"/>
    <s v="-"/>
    <s v="ok"/>
    <s v="ok"/>
    <m/>
    <m/>
    <m/>
    <m/>
    <m/>
    <m/>
    <m/>
    <m/>
    <s v="Ongoing"/>
  </r>
  <r>
    <s v="INLS1554"/>
    <x v="44"/>
    <x v="3"/>
    <m/>
    <m/>
    <d v="2024-05-01T00:00:00"/>
    <x v="7"/>
    <n v="1"/>
    <d v="2024-06-17T00:00:00"/>
    <s v="registratieform review"/>
    <s v="wachten op update doc + machtigingsformulier"/>
    <s v="nee"/>
    <s v="FR"/>
    <s v="Nieuw"/>
    <s v="nok"/>
    <s v="ok"/>
    <s v="CSP +DEP 10h"/>
    <s v="ok"/>
    <s v="ok"/>
    <m/>
    <m/>
    <m/>
    <m/>
    <m/>
    <m/>
    <m/>
    <m/>
    <s v="Ongoing"/>
  </r>
  <r>
    <s v="INLA1653"/>
    <x v="45"/>
    <x v="4"/>
    <m/>
    <s v="-"/>
    <d v="2024-05-01T00:00:00"/>
    <x v="7"/>
    <n v="1"/>
    <d v="2024-06-17T00:00:00"/>
    <s v="wachten op sharepoint docs"/>
    <m/>
    <s v="nee"/>
    <m/>
    <s v="Nieuw"/>
    <s v="ok"/>
    <s v="ok"/>
    <s v="NCSP + DEP (10h)"/>
    <m/>
    <m/>
    <m/>
    <m/>
    <m/>
    <m/>
    <m/>
    <m/>
    <m/>
    <m/>
    <s v="Ongoing"/>
  </r>
  <r>
    <s v="INLB1511"/>
    <x v="46"/>
    <x v="3"/>
    <m/>
    <m/>
    <d v="2024-05-01T00:00:00"/>
    <x v="7"/>
    <n v="2"/>
    <d v="2024-06-17T00:00:00"/>
    <s v="Sharepoint ingesteld. Mails verstuurd"/>
    <s v="wachten op input klant"/>
    <s v="nee"/>
    <s v="BE"/>
    <s v="Transfer"/>
    <s v="ok"/>
    <s v="ok"/>
    <s v="neen"/>
    <s v="ok"/>
    <s v="ok"/>
    <s v="nvt"/>
    <m/>
    <m/>
    <m/>
    <m/>
    <m/>
    <m/>
    <m/>
    <s v="Ongoing"/>
  </r>
  <r>
    <s v="INLE1629"/>
    <x v="47"/>
    <x v="4"/>
    <m/>
    <m/>
    <d v="2024-04-01T00:00:00"/>
    <x v="15"/>
    <n v="5"/>
    <d v="2024-06-18T00:00:00"/>
    <s v="Sharepoint aangevraagd"/>
    <m/>
    <s v="nee"/>
    <s v="NL"/>
    <s v="Nieuw"/>
    <s v="ok"/>
    <s v="ok"/>
    <s v="-"/>
    <m/>
    <m/>
    <m/>
    <m/>
    <m/>
    <m/>
    <m/>
    <m/>
    <m/>
    <m/>
    <s v="Ongoing"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  <r>
    <m/>
    <x v="48"/>
    <x v="5"/>
    <m/>
    <m/>
    <m/>
    <x v="16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A9D1A-2DE2-48D0-B576-B5F7FC4D61DE}" name="Draaitabel2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B14:F29" firstHeaderRow="1" firstDataRow="2" firstDataCol="1" rowPageCount="1" colPageCount="1"/>
  <pivotFields count="28">
    <pivotField showAll="0"/>
    <pivotField axis="axisRow" dataField="1" showAll="0">
      <items count="136">
        <item m="1" x="126"/>
        <item m="1" x="95"/>
        <item m="1" x="89"/>
        <item m="1" x="99"/>
        <item m="1" x="100"/>
        <item m="1" x="112"/>
        <item m="1" x="124"/>
        <item m="1" x="106"/>
        <item x="7"/>
        <item m="1" x="121"/>
        <item m="1" x="115"/>
        <item m="1" x="133"/>
        <item m="1" x="101"/>
        <item m="1" x="88"/>
        <item m="1" x="91"/>
        <item m="1" x="111"/>
        <item m="1" x="118"/>
        <item m="1" x="103"/>
        <item m="1" x="97"/>
        <item m="1" x="116"/>
        <item m="1" x="94"/>
        <item m="1" x="109"/>
        <item m="1" x="127"/>
        <item m="1" x="132"/>
        <item m="1" x="125"/>
        <item m="1" x="49"/>
        <item m="1" x="108"/>
        <item m="1" x="98"/>
        <item m="1" x="117"/>
        <item m="1" x="96"/>
        <item m="1" x="129"/>
        <item m="1" x="122"/>
        <item m="1" x="110"/>
        <item m="1" x="113"/>
        <item m="1" x="120"/>
        <item m="1" x="92"/>
        <item m="1" x="90"/>
        <item m="1" x="93"/>
        <item m="1" x="114"/>
        <item m="1" x="128"/>
        <item m="1" x="119"/>
        <item x="48"/>
        <item m="1" x="102"/>
        <item m="1" x="107"/>
        <item m="1" x="86"/>
        <item m="1" x="134"/>
        <item m="1" x="130"/>
        <item m="1" x="104"/>
        <item m="1" x="123"/>
        <item m="1" x="82"/>
        <item m="1" x="58"/>
        <item m="1" x="131"/>
        <item x="31"/>
        <item m="1" x="83"/>
        <item m="1" x="87"/>
        <item m="1" x="57"/>
        <item m="1" x="64"/>
        <item m="1" x="79"/>
        <item x="0"/>
        <item m="1" x="84"/>
        <item x="1"/>
        <item x="2"/>
        <item m="1" x="105"/>
        <item m="1" x="59"/>
        <item x="3"/>
        <item m="1" x="85"/>
        <item m="1" x="65"/>
        <item x="4"/>
        <item m="1" x="50"/>
        <item m="1" x="70"/>
        <item m="1" x="71"/>
        <item m="1" x="72"/>
        <item m="1" x="80"/>
        <item m="1" x="74"/>
        <item m="1" x="75"/>
        <item m="1" x="67"/>
        <item m="1" x="60"/>
        <item m="1" x="76"/>
        <item x="5"/>
        <item x="6"/>
        <item x="8"/>
        <item x="9"/>
        <item m="1" x="61"/>
        <item x="10"/>
        <item x="11"/>
        <item x="12"/>
        <item m="1" x="81"/>
        <item m="1" x="77"/>
        <item m="1" x="66"/>
        <item x="13"/>
        <item m="1" x="73"/>
        <item m="1" x="51"/>
        <item x="14"/>
        <item x="15"/>
        <item x="16"/>
        <item m="1" x="68"/>
        <item x="17"/>
        <item m="1" x="62"/>
        <item x="18"/>
        <item x="19"/>
        <item x="20"/>
        <item x="21"/>
        <item m="1" x="52"/>
        <item m="1" x="53"/>
        <item x="22"/>
        <item m="1" x="63"/>
        <item m="1" x="78"/>
        <item x="24"/>
        <item m="1" x="54"/>
        <item x="25"/>
        <item x="26"/>
        <item m="1" x="69"/>
        <item m="1" x="55"/>
        <item x="28"/>
        <item x="29"/>
        <item x="27"/>
        <item x="30"/>
        <item x="23"/>
        <item x="32"/>
        <item x="33"/>
        <item x="34"/>
        <item m="1" x="56"/>
        <item x="36"/>
        <item x="37"/>
        <item x="35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Col" showAll="0">
      <items count="11">
        <item x="2"/>
        <item m="1" x="7"/>
        <item m="1" x="6"/>
        <item x="1"/>
        <item x="5"/>
        <item x="0"/>
        <item m="1" x="9"/>
        <item m="1" x="8"/>
        <item x="3"/>
        <item x="4"/>
        <item t="default"/>
      </items>
    </pivotField>
    <pivotField showAll="0"/>
    <pivotField showAll="0"/>
    <pivotField showAll="0"/>
    <pivotField axis="axisPage" multipleItemSelectionAllowed="1" showAll="0">
      <items count="34">
        <item m="1" x="32"/>
        <item m="1" x="30"/>
        <item m="1" x="28"/>
        <item m="1" x="31"/>
        <item h="1" m="1" x="29"/>
        <item h="1" m="1" x="27"/>
        <item h="1" m="1" x="21"/>
        <item m="1" x="26"/>
        <item h="1" m="1" x="25"/>
        <item h="1" m="1" x="22"/>
        <item h="1" x="16"/>
        <item h="1" m="1" x="24"/>
        <item h="1" m="1" x="17"/>
        <item h="1" x="6"/>
        <item h="1" x="0"/>
        <item h="1" m="1" x="23"/>
        <item h="1" m="1" x="18"/>
        <item h="1" x="3"/>
        <item h="1" x="4"/>
        <item h="1" x="8"/>
        <item h="1" m="1" x="20"/>
        <item h="1" x="2"/>
        <item h="1" x="9"/>
        <item h="1" m="1" x="19"/>
        <item x="10"/>
        <item x="11"/>
        <item h="1" x="5"/>
        <item h="1" x="1"/>
        <item h="1" x="7"/>
        <item x="12"/>
        <item h="1" x="13"/>
        <item h="1" x="14"/>
        <item h="1"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">
    <i>
      <x v="96"/>
    </i>
    <i>
      <x v="104"/>
    </i>
    <i>
      <x v="107"/>
    </i>
    <i>
      <x v="110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3"/>
    </i>
    <i t="grand">
      <x/>
    </i>
  </rowItems>
  <colFields count="1">
    <field x="2"/>
  </colFields>
  <colItems count="4">
    <i>
      <x v="3"/>
    </i>
    <i>
      <x v="5"/>
    </i>
    <i>
      <x v="8"/>
    </i>
    <i t="grand">
      <x/>
    </i>
  </colItems>
  <pageFields count="1">
    <pageField fld="6" hier="-1"/>
  </pageFields>
  <dataFields count="1">
    <dataField name="Aantal van Custom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E106E-129C-42FA-B416-EC05D3F4EB7C}" name="Draaitabel1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B2:D9" firstHeaderRow="0" firstDataRow="1" firstDataCol="1"/>
  <pivotFields count="28">
    <pivotField showAll="0"/>
    <pivotField dataField="1" showAll="0"/>
    <pivotField axis="axisRow" showAll="0">
      <items count="11">
        <item x="2"/>
        <item m="1" x="7"/>
        <item m="1" x="6"/>
        <item x="1"/>
        <item x="5"/>
        <item x="0"/>
        <item m="1" x="9"/>
        <item m="1" x="8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3"/>
    </i>
    <i>
      <x v="4"/>
    </i>
    <i>
      <x v="5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Aantal van Customer" fld="1" subtotal="count" baseField="0" baseItem="0"/>
    <dataField name="Aantal van BU1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dworxgroup.lightning.force.com/lightning/r/ServiceContract/810Ty00000By0d7IAB/related/AttachedContentDocuments/view?ws=%2Flightning%2Fr%2FTask%2F00TTy00000gshChMAI%2F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B2FA-4107-42C6-BBC1-45C1C2AD9A09}">
  <sheetPr codeName="Blad1"/>
  <dimension ref="B2:F29"/>
  <sheetViews>
    <sheetView workbookViewId="0">
      <selection activeCell="K10" sqref="K10"/>
    </sheetView>
  </sheetViews>
  <sheetFormatPr defaultRowHeight="14.4" x14ac:dyDescent="0.3"/>
  <cols>
    <col min="2" max="2" width="10" bestFit="1" customWidth="1"/>
    <col min="3" max="3" width="18.5546875" bestFit="1" customWidth="1"/>
    <col min="4" max="4" width="13.5546875" bestFit="1" customWidth="1"/>
    <col min="5" max="5" width="2.88671875" bestFit="1" customWidth="1"/>
    <col min="6" max="6" width="9.44140625" bestFit="1" customWidth="1"/>
    <col min="7" max="7" width="11" bestFit="1" customWidth="1"/>
    <col min="8" max="8" width="10.5546875" bestFit="1" customWidth="1"/>
    <col min="9" max="16" width="9.5546875" bestFit="1" customWidth="1"/>
    <col min="17" max="17" width="5.5546875" bestFit="1" customWidth="1"/>
    <col min="18" max="18" width="9.5546875" bestFit="1" customWidth="1"/>
    <col min="19" max="19" width="9.44140625" bestFit="1" customWidth="1"/>
    <col min="20" max="20" width="8" bestFit="1" customWidth="1"/>
    <col min="21" max="21" width="67.5546875" bestFit="1" customWidth="1"/>
    <col min="22" max="22" width="22.44140625" bestFit="1" customWidth="1"/>
    <col min="23" max="23" width="48.5546875" bestFit="1" customWidth="1"/>
    <col min="24" max="24" width="8.44140625" bestFit="1" customWidth="1"/>
    <col min="25" max="25" width="7.44140625" bestFit="1" customWidth="1"/>
    <col min="26" max="26" width="21.44140625" bestFit="1" customWidth="1"/>
    <col min="27" max="27" width="9.5546875" bestFit="1" customWidth="1"/>
    <col min="28" max="28" width="9" bestFit="1" customWidth="1"/>
    <col min="29" max="29" width="12.44140625" bestFit="1" customWidth="1"/>
    <col min="30" max="30" width="12.5546875" bestFit="1" customWidth="1"/>
    <col min="31" max="31" width="10.44140625" bestFit="1" customWidth="1"/>
    <col min="32" max="32" width="23.5546875" bestFit="1" customWidth="1"/>
    <col min="33" max="33" width="7" bestFit="1" customWidth="1"/>
    <col min="34" max="34" width="24.5546875" bestFit="1" customWidth="1"/>
    <col min="35" max="35" width="9.44140625" bestFit="1" customWidth="1"/>
    <col min="36" max="36" width="9" bestFit="1" customWidth="1"/>
    <col min="37" max="37" width="8.5546875" bestFit="1" customWidth="1"/>
    <col min="38" max="38" width="10.44140625" bestFit="1" customWidth="1"/>
    <col min="39" max="39" width="17.44140625" bestFit="1" customWidth="1"/>
    <col min="40" max="40" width="22.5546875" bestFit="1" customWidth="1"/>
    <col min="41" max="41" width="6.44140625" bestFit="1" customWidth="1"/>
    <col min="42" max="42" width="15.5546875" bestFit="1" customWidth="1"/>
    <col min="43" max="43" width="12" bestFit="1" customWidth="1"/>
    <col min="44" max="44" width="5.5546875" bestFit="1" customWidth="1"/>
    <col min="45" max="45" width="9.5546875" bestFit="1" customWidth="1"/>
    <col min="46" max="46" width="5.5546875" bestFit="1" customWidth="1"/>
    <col min="47" max="47" width="9.5546875" bestFit="1" customWidth="1"/>
  </cols>
  <sheetData>
    <row r="2" spans="2:6" x14ac:dyDescent="0.3">
      <c r="B2" s="1" t="s">
        <v>0</v>
      </c>
      <c r="C2" t="s">
        <v>1</v>
      </c>
      <c r="D2" t="s">
        <v>2</v>
      </c>
    </row>
    <row r="3" spans="2:6" x14ac:dyDescent="0.3">
      <c r="B3" s="2" t="s">
        <v>3</v>
      </c>
      <c r="C3">
        <v>3</v>
      </c>
    </row>
    <row r="4" spans="2:6" x14ac:dyDescent="0.3">
      <c r="B4" s="2" t="s">
        <v>4</v>
      </c>
      <c r="C4">
        <v>10</v>
      </c>
      <c r="D4">
        <v>6</v>
      </c>
    </row>
    <row r="5" spans="2:6" x14ac:dyDescent="0.3">
      <c r="B5" s="2" t="s">
        <v>5</v>
      </c>
    </row>
    <row r="6" spans="2:6" x14ac:dyDescent="0.3">
      <c r="B6" s="2" t="s">
        <v>6</v>
      </c>
      <c r="C6">
        <v>26</v>
      </c>
      <c r="D6">
        <v>15</v>
      </c>
    </row>
    <row r="7" spans="2:6" x14ac:dyDescent="0.3">
      <c r="B7" s="2" t="s">
        <v>7</v>
      </c>
      <c r="C7">
        <v>6</v>
      </c>
      <c r="D7">
        <v>1</v>
      </c>
    </row>
    <row r="8" spans="2:6" x14ac:dyDescent="0.3">
      <c r="B8" s="2" t="s">
        <v>8</v>
      </c>
      <c r="C8">
        <v>3</v>
      </c>
    </row>
    <row r="9" spans="2:6" x14ac:dyDescent="0.3">
      <c r="B9" s="2" t="s">
        <v>9</v>
      </c>
      <c r="C9">
        <v>48</v>
      </c>
      <c r="D9">
        <v>22</v>
      </c>
    </row>
    <row r="12" spans="2:6" x14ac:dyDescent="0.3">
      <c r="B12" s="1" t="s">
        <v>10</v>
      </c>
      <c r="C12" t="s">
        <v>11</v>
      </c>
    </row>
    <row r="14" spans="2:6" x14ac:dyDescent="0.3">
      <c r="B14" s="1" t="s">
        <v>1</v>
      </c>
      <c r="C14" s="1" t="s">
        <v>12</v>
      </c>
    </row>
    <row r="15" spans="2:6" x14ac:dyDescent="0.3">
      <c r="B15" s="1" t="s">
        <v>0</v>
      </c>
      <c r="C15" t="s">
        <v>4</v>
      </c>
      <c r="D15" t="s">
        <v>6</v>
      </c>
      <c r="E15" t="s">
        <v>7</v>
      </c>
      <c r="F15" t="s">
        <v>9</v>
      </c>
    </row>
    <row r="16" spans="2:6" x14ac:dyDescent="0.3">
      <c r="B16" s="2" t="s">
        <v>13</v>
      </c>
      <c r="C16">
        <v>1</v>
      </c>
      <c r="F16">
        <v>1</v>
      </c>
    </row>
    <row r="17" spans="2:6" x14ac:dyDescent="0.3">
      <c r="B17" s="2" t="s">
        <v>14</v>
      </c>
      <c r="C17">
        <v>1</v>
      </c>
      <c r="F17">
        <v>1</v>
      </c>
    </row>
    <row r="18" spans="2:6" x14ac:dyDescent="0.3">
      <c r="B18" s="2" t="s">
        <v>15</v>
      </c>
      <c r="E18">
        <v>1</v>
      </c>
      <c r="F18">
        <v>1</v>
      </c>
    </row>
    <row r="19" spans="2:6" x14ac:dyDescent="0.3">
      <c r="B19" s="2" t="s">
        <v>16</v>
      </c>
      <c r="D19">
        <v>1</v>
      </c>
      <c r="F19">
        <v>1</v>
      </c>
    </row>
    <row r="20" spans="2:6" x14ac:dyDescent="0.3">
      <c r="B20" s="2" t="s">
        <v>17</v>
      </c>
      <c r="D20">
        <v>1</v>
      </c>
      <c r="F20">
        <v>1</v>
      </c>
    </row>
    <row r="21" spans="2:6" x14ac:dyDescent="0.3">
      <c r="B21" s="2" t="s">
        <v>18</v>
      </c>
      <c r="D21">
        <v>1</v>
      </c>
      <c r="F21">
        <v>1</v>
      </c>
    </row>
    <row r="22" spans="2:6" x14ac:dyDescent="0.3">
      <c r="B22" s="2" t="s">
        <v>19</v>
      </c>
      <c r="D22">
        <v>1</v>
      </c>
      <c r="F22">
        <v>1</v>
      </c>
    </row>
    <row r="23" spans="2:6" x14ac:dyDescent="0.3">
      <c r="B23" s="2" t="s">
        <v>20</v>
      </c>
      <c r="D23">
        <v>1</v>
      </c>
      <c r="F23">
        <v>1</v>
      </c>
    </row>
    <row r="24" spans="2:6" x14ac:dyDescent="0.3">
      <c r="B24" s="2" t="s">
        <v>21</v>
      </c>
      <c r="C24">
        <v>1</v>
      </c>
      <c r="F24">
        <v>1</v>
      </c>
    </row>
    <row r="25" spans="2:6" x14ac:dyDescent="0.3">
      <c r="B25" s="2" t="s">
        <v>22</v>
      </c>
      <c r="D25">
        <v>1</v>
      </c>
      <c r="F25">
        <v>1</v>
      </c>
    </row>
    <row r="26" spans="2:6" x14ac:dyDescent="0.3">
      <c r="B26" s="2" t="s">
        <v>23</v>
      </c>
      <c r="D26">
        <v>1</v>
      </c>
      <c r="F26">
        <v>1</v>
      </c>
    </row>
    <row r="27" spans="2:6" x14ac:dyDescent="0.3">
      <c r="B27" s="2" t="s">
        <v>24</v>
      </c>
      <c r="C27">
        <v>1</v>
      </c>
      <c r="F27">
        <v>1</v>
      </c>
    </row>
    <row r="28" spans="2:6" x14ac:dyDescent="0.3">
      <c r="B28" s="2" t="s">
        <v>25</v>
      </c>
      <c r="E28">
        <v>1</v>
      </c>
      <c r="F28">
        <v>1</v>
      </c>
    </row>
    <row r="29" spans="2:6" x14ac:dyDescent="0.3">
      <c r="B29" s="2" t="s">
        <v>9</v>
      </c>
      <c r="C29">
        <v>4</v>
      </c>
      <c r="D29">
        <v>7</v>
      </c>
      <c r="E29">
        <v>2</v>
      </c>
      <c r="F2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7211-FFA0-4607-84BD-679657BD5EBD}">
  <sheetPr codeName="Blad5">
    <tabColor rgb="FFFF0000"/>
  </sheetPr>
  <dimension ref="A1:AF134"/>
  <sheetViews>
    <sheetView tabSelected="1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9" sqref="D9"/>
    </sheetView>
  </sheetViews>
  <sheetFormatPr defaultColWidth="8.88671875" defaultRowHeight="15" customHeight="1" x14ac:dyDescent="0.3"/>
  <cols>
    <col min="1" max="1" width="10.5546875" style="12" customWidth="1"/>
    <col min="2" max="2" width="44.109375" style="3" customWidth="1"/>
    <col min="3" max="3" width="19" style="3" customWidth="1"/>
    <col min="4" max="4" width="17.6640625" style="9" customWidth="1"/>
    <col min="5" max="5" width="17.44140625" style="3" customWidth="1"/>
    <col min="6" max="6" width="10.33203125" style="122" customWidth="1"/>
    <col min="7" max="7" width="11.44140625" style="4" customWidth="1"/>
    <col min="8" max="8" width="9.6640625" style="3" customWidth="1"/>
    <col min="9" max="9" width="11.44140625" style="5" customWidth="1"/>
    <col min="10" max="11" width="9.6640625" style="5" customWidth="1"/>
    <col min="12" max="12" width="7.5546875" style="6" customWidth="1"/>
    <col min="13" max="29" width="7.109375" style="6" customWidth="1"/>
    <col min="30" max="30" width="8.109375" style="7" customWidth="1"/>
    <col min="31" max="32" width="58.5546875" style="118" customWidth="1"/>
  </cols>
  <sheetData>
    <row r="1" spans="1:32" s="18" customFormat="1" ht="79.5" customHeight="1" x14ac:dyDescent="0.3">
      <c r="A1" s="56" t="s">
        <v>181</v>
      </c>
      <c r="B1" s="56" t="s">
        <v>182</v>
      </c>
      <c r="C1" s="56" t="s">
        <v>183</v>
      </c>
      <c r="D1" s="56" t="s">
        <v>180</v>
      </c>
      <c r="E1" s="56" t="s">
        <v>45</v>
      </c>
      <c r="F1" s="120" t="s">
        <v>184</v>
      </c>
      <c r="G1" s="58" t="s">
        <v>59</v>
      </c>
      <c r="H1" s="57" t="s">
        <v>10</v>
      </c>
      <c r="I1" s="57" t="s">
        <v>185</v>
      </c>
      <c r="J1" s="57" t="s">
        <v>186</v>
      </c>
      <c r="K1" s="57" t="s">
        <v>187</v>
      </c>
      <c r="L1" s="57" t="s">
        <v>188</v>
      </c>
      <c r="M1" s="57" t="s">
        <v>42</v>
      </c>
      <c r="N1" s="57" t="s">
        <v>49</v>
      </c>
      <c r="O1" s="57" t="s">
        <v>53</v>
      </c>
      <c r="P1" s="73" t="s">
        <v>189</v>
      </c>
      <c r="Q1" s="75" t="s">
        <v>190</v>
      </c>
      <c r="R1" s="75" t="s">
        <v>191</v>
      </c>
      <c r="S1" s="75" t="s">
        <v>107</v>
      </c>
      <c r="T1" s="75" t="s">
        <v>192</v>
      </c>
      <c r="U1" s="75" t="s">
        <v>193</v>
      </c>
      <c r="V1" s="75" t="s">
        <v>118</v>
      </c>
      <c r="W1" s="75" t="s">
        <v>45</v>
      </c>
      <c r="X1" s="57" t="s">
        <v>194</v>
      </c>
      <c r="Y1" s="113" t="s">
        <v>44</v>
      </c>
      <c r="Z1" s="113" t="s">
        <v>185</v>
      </c>
      <c r="AA1" s="113" t="s">
        <v>186</v>
      </c>
      <c r="AB1" s="113" t="s">
        <v>58</v>
      </c>
      <c r="AC1" s="57" t="s">
        <v>61</v>
      </c>
      <c r="AD1" s="55" t="s">
        <v>195</v>
      </c>
      <c r="AE1" s="117" t="s">
        <v>196</v>
      </c>
      <c r="AF1" s="117"/>
    </row>
    <row r="2" spans="1:32" s="18" customFormat="1" ht="42" customHeight="1" x14ac:dyDescent="0.3">
      <c r="A2" s="13"/>
      <c r="B2" s="13"/>
      <c r="C2" s="13"/>
      <c r="D2" s="13"/>
      <c r="E2" s="13"/>
      <c r="F2" s="121"/>
      <c r="G2" s="17"/>
      <c r="H2" s="13"/>
      <c r="I2" s="14"/>
      <c r="J2" s="14"/>
      <c r="K2" s="14"/>
      <c r="L2" s="15"/>
      <c r="M2" s="15"/>
      <c r="N2" s="15"/>
      <c r="O2" s="15"/>
      <c r="P2" s="74"/>
      <c r="Q2" s="74"/>
      <c r="R2" s="74"/>
      <c r="S2" s="74"/>
      <c r="T2" s="74"/>
      <c r="U2" s="74"/>
      <c r="V2" s="74"/>
      <c r="W2" s="74"/>
      <c r="X2" s="15"/>
      <c r="Y2" s="114"/>
      <c r="Z2" s="114"/>
      <c r="AA2" s="114"/>
      <c r="AB2" s="114"/>
      <c r="AC2" s="15"/>
      <c r="AD2" s="16"/>
      <c r="AE2" s="117"/>
      <c r="AF2" s="117"/>
    </row>
    <row r="3" spans="1:32" ht="28.8" x14ac:dyDescent="0.3">
      <c r="A3" s="53">
        <v>941480</v>
      </c>
      <c r="B3" s="3" t="str" cm="1">
        <f t="array" aca="1" ref="B3" ca="1">IFERROR(INDIRECT("'"&amp;$A3&amp;"'!A2"),"")</f>
        <v xml:space="preserve">Uzizonder bv. </v>
      </c>
      <c r="C3" s="3" t="str" cm="1">
        <f t="array" aca="1" ref="C3" ca="1">IFERROR(INDIRECT("'"&amp;$A3&amp;"'!B5"),"")</f>
        <v>All in + proff + HR BPO</v>
      </c>
      <c r="D3" s="9" t="str" cm="1">
        <f t="array" aca="1" ref="D3" ca="1">IFERROR(INDIRECT("'"&amp;$A3&amp;"'!B4"),"")</f>
        <v>Rebecca</v>
      </c>
      <c r="E3" s="9" t="str" cm="1">
        <f t="array" aca="1" ref="E3" ca="1">IFERROR(INDIRECT("'"&amp;$A3&amp;"'!B7")," ")</f>
        <v xml:space="preserve">Doris </v>
      </c>
      <c r="F3" s="122" cm="1">
        <f t="array" aca="1" ref="F3" ca="1">IFERROR(INDIRECT("'"&amp;$A3&amp;"'!D9")," ")</f>
        <v>0</v>
      </c>
      <c r="G3" s="52" t="str" cm="1">
        <f t="array" aca="1" ref="G3" ca="1">IFERROR(INDIRECT("'"&amp;$A3&amp;"'!B9")," ")</f>
        <v>Ntb</v>
      </c>
      <c r="H3" s="144" cm="1">
        <f t="array" aca="1" ref="H3" ca="1">IFERROR(INDIRECT("'"&amp;$A3&amp;"'!D4")," ")</f>
        <v>46113</v>
      </c>
      <c r="I3" s="5" cm="1">
        <f t="array" aca="1" ref="I3" ca="1">IFERROR(INDIRECT("'"&amp;$A3&amp;"'!D7")," ")</f>
        <v>0</v>
      </c>
      <c r="J3" s="5" t="str" cm="1">
        <f t="array" aca="1" ref="J3" ca="1">IFERROR(INDIRECT("'"&amp;$A3&amp;"'!D8")," ")</f>
        <v xml:space="preserve"> </v>
      </c>
      <c r="K3" s="5" cm="1">
        <f t="array" aca="1" ref="K3" ca="1">IFERROR(INDIRECT("'"&amp;$A3&amp;"'!D5")," ")</f>
        <v>0</v>
      </c>
      <c r="L3" s="54" cm="1">
        <f t="array" aca="1" ref="L3" ca="1">IFERROR(INDIRECT("'"&amp;$A3&amp;"'!Q10")," ")</f>
        <v>0</v>
      </c>
      <c r="M3" s="43" cm="1">
        <f t="array" aca="1" ref="M3" ca="1">IFERROR(INDIRECT("'"&amp;$A3&amp;"'!Q5")," ")</f>
        <v>0</v>
      </c>
      <c r="N3" s="43" cm="1">
        <f t="array" aca="1" ref="N3" ca="1">IFERROR(INDIRECT("'"&amp;$A3&amp;"'!Q6")," ")</f>
        <v>0</v>
      </c>
      <c r="O3" s="43" cm="1">
        <f t="array" aca="1" ref="O3" ca="1">IFERROR(INDIRECT("'"&amp;$A3&amp;"'!Q7")," ")</f>
        <v>0</v>
      </c>
      <c r="P3" s="43" cm="1">
        <f t="array" aca="1" ref="P3" ca="1">IFERROR(INDIRECT("'"&amp;$A3&amp;"'!S5")," ")</f>
        <v>0</v>
      </c>
      <c r="Q3" s="43" cm="1">
        <f t="array" aca="1" ref="Q3" ca="1">IFERROR(INDIRECT("'"&amp;$A3&amp;"'!S6")," ")</f>
        <v>0</v>
      </c>
      <c r="R3" s="43" cm="1">
        <f t="array" aca="1" ref="R3" ca="1">IFERROR(INDIRECT("'"&amp;$A3&amp;"'!S7")," ")</f>
        <v>0</v>
      </c>
      <c r="S3" s="43" cm="1">
        <f t="array" aca="1" ref="S3" ca="1">IFERROR(INDIRECT("'"&amp;$A3&amp;"'!S8")," ")</f>
        <v>0</v>
      </c>
      <c r="T3" s="43" cm="1">
        <f t="array" aca="1" ref="T3" ca="1">IFERROR(INDIRECT("'"&amp;$A3&amp;"'!S9")," ")</f>
        <v>0</v>
      </c>
      <c r="U3" s="43" cm="1">
        <f t="array" aca="1" ref="U3" ca="1">IFERROR(INDIRECT("'"&amp;$A3&amp;"'!S10")," ")</f>
        <v>0</v>
      </c>
      <c r="V3" s="43" cm="1">
        <f t="array" aca="1" ref="V3" ca="1">IFERROR(INDIRECT("'"&amp;$A3&amp;"'!S11")," ")</f>
        <v>0</v>
      </c>
      <c r="W3" s="43" cm="1">
        <f t="array" aca="1" ref="W3" ca="1">IFERROR(INDIRECT("'"&amp;$A3&amp;"'!W5")," ")</f>
        <v>0</v>
      </c>
      <c r="X3" s="43" cm="1">
        <f t="array" aca="1" ref="X3" ca="1">IFERROR(INDIRECT("'"&amp;$A3&amp;"'!s8")," ")</f>
        <v>0</v>
      </c>
      <c r="Y3" s="43" cm="1">
        <f t="array" aca="1" ref="Y3" ca="1">IFERROR(INDIRECT("'"&amp;$A3&amp;"'!U5")," ")</f>
        <v>0</v>
      </c>
      <c r="Z3" s="43" cm="1">
        <f t="array" aca="1" ref="Z3" ca="1">IFERROR(INDIRECT("'"&amp;$A3&amp;"'!U6")," ")</f>
        <v>0</v>
      </c>
      <c r="AA3" s="43" cm="1">
        <f t="array" aca="1" ref="AA3" ca="1">IFERROR(INDIRECT("'"&amp;$A3&amp;"'!U7")," ")</f>
        <v>0</v>
      </c>
      <c r="AB3" s="43" cm="1">
        <f t="array" aca="1" ref="AB3" ca="1">IFERROR(INDIRECT("'"&amp;$A3&amp;"'!U8")," ")</f>
        <v>0</v>
      </c>
      <c r="AC3" s="43" cm="1">
        <f t="array" aca="1" ref="AC3" ca="1">IFERROR(INDIRECT("'"&amp;$A3&amp;"'!s9")," ")</f>
        <v>0</v>
      </c>
      <c r="AD3" s="7" cm="1">
        <f t="array" aca="1" ref="AD3" ca="1">IFERROR(INDIRECT("'"&amp;$A3&amp;"'!F6")," ")</f>
        <v>45</v>
      </c>
      <c r="AE3" s="118" t="str" cm="1">
        <f t="array" aca="1" ref="AE3" ca="1">IFERROR(INDIRECT("'"&amp;$A3&amp;"'!L4")," ")</f>
        <v>Doris plant vanaf 20 april. Daarvoor dus stamdata erin</v>
      </c>
    </row>
    <row r="4" spans="1:32" ht="15" customHeight="1" x14ac:dyDescent="0.3">
      <c r="A4" s="140" t="s">
        <v>197</v>
      </c>
      <c r="B4" s="3" t="str" cm="1">
        <f t="array" aca="1" ref="B4" ca="1">IFERROR(INDIRECT("'"&amp;$A4&amp;"'!A2"),"")</f>
        <v>Hegevrouw</v>
      </c>
      <c r="C4" s="3" t="str" cm="1">
        <f t="array" aca="1" ref="C4" ca="1">IFERROR(INDIRECT("'"&amp;$A4&amp;"'!B5"),"")</f>
        <v>Ntb</v>
      </c>
      <c r="D4" s="9" t="str" cm="1">
        <f t="array" aca="1" ref="D4" ca="1">IFERROR(INDIRECT("'"&amp;$A4&amp;"'!B4"),"")</f>
        <v>Ntb</v>
      </c>
      <c r="E4" s="9" t="str" cm="1">
        <f t="array" aca="1" ref="E4" ca="1">IFERROR(INDIRECT("'"&amp;$A4&amp;"'!B7")," ")</f>
        <v>Ntb</v>
      </c>
      <c r="F4" s="122" t="str" cm="1">
        <f t="array" aca="1" ref="F4" ca="1">IFERROR(INDIRECT("'"&amp;$A4&amp;"'!D9")," ")</f>
        <v>-</v>
      </c>
      <c r="G4" s="52" t="str" cm="1">
        <f t="array" aca="1" ref="G4" ca="1">IFERROR(INDIRECT("'"&amp;$A4&amp;"'!B9")," ")</f>
        <v>Ntb</v>
      </c>
      <c r="H4" s="144" cm="1">
        <f t="array" aca="1" ref="H4" ca="1">IFERROR(INDIRECT("'"&amp;$A4&amp;"'!D4")," ")</f>
        <v>46388</v>
      </c>
      <c r="I4" s="5" cm="1">
        <f t="array" aca="1" ref="I4" ca="1">IFERROR(INDIRECT("'"&amp;$A4&amp;"'!D7")," ")</f>
        <v>0</v>
      </c>
      <c r="J4" s="5" t="str" cm="1">
        <f t="array" aca="1" ref="J4" ca="1">IFERROR(INDIRECT("'"&amp;$A4&amp;"'!D8")," ")</f>
        <v xml:space="preserve"> </v>
      </c>
      <c r="K4" s="5" cm="1">
        <f t="array" aca="1" ref="K4" ca="1">IFERROR(INDIRECT("'"&amp;$A4&amp;"'!D5")," ")</f>
        <v>0</v>
      </c>
      <c r="L4" s="54" cm="1">
        <f t="array" aca="1" ref="L4" ca="1">IFERROR(INDIRECT("'"&amp;$A4&amp;"'!Q10")," ")</f>
        <v>0</v>
      </c>
      <c r="M4" s="43" cm="1">
        <f t="array" aca="1" ref="M4" ca="1">IFERROR(INDIRECT("'"&amp;$A4&amp;"'!Q5")," ")</f>
        <v>0</v>
      </c>
      <c r="N4" s="43" cm="1">
        <f t="array" aca="1" ref="N4" ca="1">IFERROR(INDIRECT("'"&amp;$A4&amp;"'!Q6")," ")</f>
        <v>0</v>
      </c>
      <c r="O4" s="43" cm="1">
        <f t="array" aca="1" ref="O4" ca="1">IFERROR(INDIRECT("'"&amp;$A4&amp;"'!Q7")," ")</f>
        <v>0</v>
      </c>
      <c r="P4" s="43" cm="1">
        <f t="array" aca="1" ref="P4" ca="1">IFERROR(INDIRECT("'"&amp;$A4&amp;"'!S5")," ")</f>
        <v>0</v>
      </c>
      <c r="Q4" s="43" cm="1">
        <f t="array" aca="1" ref="Q4" ca="1">IFERROR(INDIRECT("'"&amp;$A4&amp;"'!S6")," ")</f>
        <v>0</v>
      </c>
      <c r="R4" s="43" cm="1">
        <f t="array" aca="1" ref="R4" ca="1">IFERROR(INDIRECT("'"&amp;$A4&amp;"'!S7")," ")</f>
        <v>0</v>
      </c>
      <c r="S4" s="43" cm="1">
        <f t="array" aca="1" ref="S4" ca="1">IFERROR(INDIRECT("'"&amp;$A4&amp;"'!S8")," ")</f>
        <v>0</v>
      </c>
      <c r="T4" s="43" cm="1">
        <f t="array" aca="1" ref="T4" ca="1">IFERROR(INDIRECT("'"&amp;$A4&amp;"'!S9")," ")</f>
        <v>0</v>
      </c>
      <c r="U4" s="43" cm="1">
        <f t="array" aca="1" ref="U4" ca="1">IFERROR(INDIRECT("'"&amp;$A4&amp;"'!S10")," ")</f>
        <v>0</v>
      </c>
      <c r="V4" s="43" cm="1">
        <f t="array" aca="1" ref="V4" ca="1">IFERROR(INDIRECT("'"&amp;$A4&amp;"'!S11")," ")</f>
        <v>0</v>
      </c>
      <c r="W4" s="43" cm="1">
        <f t="array" aca="1" ref="W4" ca="1">IFERROR(INDIRECT("'"&amp;$A4&amp;"'!W5")," ")</f>
        <v>0</v>
      </c>
      <c r="X4" s="43" cm="1">
        <f t="array" aca="1" ref="X4" ca="1">IFERROR(INDIRECT("'"&amp;$A4&amp;"'!s8")," ")</f>
        <v>0</v>
      </c>
      <c r="Y4" s="43" cm="1">
        <f t="array" aca="1" ref="Y4" ca="1">IFERROR(INDIRECT("'"&amp;$A4&amp;"'!U5")," ")</f>
        <v>0</v>
      </c>
      <c r="Z4" s="43" cm="1">
        <f t="array" aca="1" ref="Z4" ca="1">IFERROR(INDIRECT("'"&amp;$A4&amp;"'!U6")," ")</f>
        <v>0</v>
      </c>
      <c r="AA4" s="43" cm="1">
        <f t="array" aca="1" ref="AA4" ca="1">IFERROR(INDIRECT("'"&amp;$A4&amp;"'!U7")," ")</f>
        <v>0</v>
      </c>
      <c r="AB4" s="43" cm="1">
        <f t="array" aca="1" ref="AB4" ca="1">IFERROR(INDIRECT("'"&amp;$A4&amp;"'!U8")," ")</f>
        <v>0</v>
      </c>
      <c r="AC4" s="43" cm="1">
        <f t="array" aca="1" ref="AC4" ca="1">IFERROR(INDIRECT("'"&amp;$A4&amp;"'!s9")," ")</f>
        <v>0</v>
      </c>
      <c r="AD4" s="7" cm="1">
        <f t="array" aca="1" ref="AD4" ca="1">IFERROR(INDIRECT("'"&amp;$A4&amp;"'!F6")," ")</f>
        <v>0</v>
      </c>
      <c r="AE4" s="118" cm="1">
        <f t="array" aca="1" ref="AE4" ca="1">IFERROR(INDIRECT("'"&amp;$A4&amp;"'!L4")," ")</f>
        <v>0</v>
      </c>
    </row>
    <row r="5" spans="1:32" ht="15" customHeight="1" x14ac:dyDescent="0.3">
      <c r="A5" s="140">
        <v>941478</v>
      </c>
      <c r="B5" s="3" t="str" cm="1">
        <f t="array" aca="1" ref="B5" ca="1">IFERROR(INDIRECT("'"&amp;$A5&amp;"'!A2"),"")</f>
        <v xml:space="preserve">Topsa Belgium </v>
      </c>
      <c r="C5" s="3" t="str" cm="1">
        <f t="array" aca="1" ref="C5" ca="1">IFERROR(INDIRECT("'"&amp;$A5&amp;"'!B5"),"")</f>
        <v>MPS + Prof</v>
      </c>
      <c r="D5" s="9" t="str" cm="1">
        <f t="array" aca="1" ref="D5" ca="1">IFERROR(INDIRECT("'"&amp;$A5&amp;"'!B4"),"")</f>
        <v>Rebecca</v>
      </c>
      <c r="E5" s="9" t="str" cm="1">
        <f t="array" aca="1" ref="E5" ca="1">IFERROR(INDIRECT("'"&amp;$A5&amp;"'!B7")," ")</f>
        <v xml:space="preserve">Doris </v>
      </c>
      <c r="F5" s="122" t="str" cm="1">
        <f t="array" aca="1" ref="F5" ca="1">IFERROR(INDIRECT("'"&amp;$A5&amp;"'!D9")," ")</f>
        <v>Ntb</v>
      </c>
      <c r="G5" s="52" t="str" cm="1">
        <f t="array" aca="1" ref="G5" ca="1">IFERROR(INDIRECT("'"&amp;$A5&amp;"'!B9")," ")</f>
        <v>Ntv</v>
      </c>
      <c r="H5" s="144" cm="1">
        <f t="array" aca="1" ref="H5" ca="1">IFERROR(INDIRECT("'"&amp;$A5&amp;"'!D4")," ")</f>
        <v>46388</v>
      </c>
      <c r="I5" s="5" cm="1">
        <f t="array" aca="1" ref="I5" ca="1">IFERROR(INDIRECT("'"&amp;$A5&amp;"'!D7")," ")</f>
        <v>0</v>
      </c>
      <c r="J5" s="5" t="str" cm="1">
        <f t="array" aca="1" ref="J5" ca="1">IFERROR(INDIRECT("'"&amp;$A5&amp;"'!D8")," ")</f>
        <v xml:space="preserve"> </v>
      </c>
      <c r="K5" s="5" t="str" cm="1">
        <f t="array" aca="1" ref="K5" ca="1">IFERROR(INDIRECT("'"&amp;$A5&amp;"'!D5")," ")</f>
        <v>Nvt</v>
      </c>
      <c r="L5" s="54" cm="1">
        <f t="array" aca="1" ref="L5" ca="1">IFERROR(INDIRECT("'"&amp;$A5&amp;"'!Q10")," ")</f>
        <v>0</v>
      </c>
      <c r="M5" s="43" cm="1">
        <f t="array" aca="1" ref="M5" ca="1">IFERROR(INDIRECT("'"&amp;$A5&amp;"'!Q5")," ")</f>
        <v>0</v>
      </c>
      <c r="N5" s="43" cm="1">
        <f t="array" aca="1" ref="N5" ca="1">IFERROR(INDIRECT("'"&amp;$A5&amp;"'!Q6")," ")</f>
        <v>0</v>
      </c>
      <c r="O5" s="43" cm="1">
        <f t="array" aca="1" ref="O5" ca="1">IFERROR(INDIRECT("'"&amp;$A5&amp;"'!Q7")," ")</f>
        <v>0</v>
      </c>
      <c r="P5" s="43" cm="1">
        <f t="array" aca="1" ref="P5" ca="1">IFERROR(INDIRECT("'"&amp;$A5&amp;"'!S5")," ")</f>
        <v>0</v>
      </c>
      <c r="Q5" s="43" cm="1">
        <f t="array" aca="1" ref="Q5" ca="1">IFERROR(INDIRECT("'"&amp;$A5&amp;"'!S6")," ")</f>
        <v>0</v>
      </c>
      <c r="R5" s="43" cm="1">
        <f t="array" aca="1" ref="R5" ca="1">IFERROR(INDIRECT("'"&amp;$A5&amp;"'!S7")," ")</f>
        <v>0</v>
      </c>
      <c r="S5" s="43" cm="1">
        <f t="array" aca="1" ref="S5" ca="1">IFERROR(INDIRECT("'"&amp;$A5&amp;"'!S8")," ")</f>
        <v>0</v>
      </c>
      <c r="T5" s="43" cm="1">
        <f t="array" aca="1" ref="T5" ca="1">IFERROR(INDIRECT("'"&amp;$A5&amp;"'!S9")," ")</f>
        <v>0</v>
      </c>
      <c r="U5" s="43" cm="1">
        <f t="array" aca="1" ref="U5" ca="1">IFERROR(INDIRECT("'"&amp;$A5&amp;"'!S10")," ")</f>
        <v>0</v>
      </c>
      <c r="V5" s="43" cm="1">
        <f t="array" aca="1" ref="V5" ca="1">IFERROR(INDIRECT("'"&amp;$A5&amp;"'!S11")," ")</f>
        <v>0</v>
      </c>
      <c r="W5" s="43" cm="1">
        <f t="array" aca="1" ref="W5" ca="1">IFERROR(INDIRECT("'"&amp;$A5&amp;"'!W5")," ")</f>
        <v>0</v>
      </c>
      <c r="X5" s="43" cm="1">
        <f t="array" aca="1" ref="X5" ca="1">IFERROR(INDIRECT("'"&amp;$A5&amp;"'!s8")," ")</f>
        <v>0</v>
      </c>
      <c r="Y5" s="43" cm="1">
        <f t="array" aca="1" ref="Y5" ca="1">IFERROR(INDIRECT("'"&amp;$A5&amp;"'!U5")," ")</f>
        <v>0</v>
      </c>
      <c r="Z5" s="43" cm="1">
        <f t="array" aca="1" ref="Z5" ca="1">IFERROR(INDIRECT("'"&amp;$A5&amp;"'!U6")," ")</f>
        <v>0</v>
      </c>
      <c r="AA5" s="43" cm="1">
        <f t="array" aca="1" ref="AA5" ca="1">IFERROR(INDIRECT("'"&amp;$A5&amp;"'!U7")," ")</f>
        <v>0</v>
      </c>
      <c r="AB5" s="43" cm="1">
        <f t="array" aca="1" ref="AB5" ca="1">IFERROR(INDIRECT("'"&amp;$A5&amp;"'!U8")," ")</f>
        <v>0</v>
      </c>
      <c r="AC5" s="43" cm="1">
        <f t="array" aca="1" ref="AC5" ca="1">IFERROR(INDIRECT("'"&amp;$A5&amp;"'!s9")," ")</f>
        <v>0</v>
      </c>
      <c r="AD5" s="7" cm="1">
        <f t="array" aca="1" ref="AD5" ca="1">IFERROR(INDIRECT("'"&amp;$A5&amp;"'!F6")," ")</f>
        <v>70</v>
      </c>
      <c r="AE5" s="118" t="str" cm="1">
        <f t="array" aca="1" ref="AE5" ca="1">IFERROR(INDIRECT("'"&amp;$A5&amp;"'!L4")," ")</f>
        <v>In juni contact voor kickoff.</v>
      </c>
    </row>
    <row r="6" spans="1:32" ht="15" customHeight="1" x14ac:dyDescent="0.3">
      <c r="A6" s="140">
        <v>941485</v>
      </c>
      <c r="B6" s="3" t="str" cm="1">
        <f t="array" aca="1" ref="B6" ca="1">IFERROR(INDIRECT("'"&amp;$A6&amp;"'!A2"),"")</f>
        <v xml:space="preserve">Proximees </v>
      </c>
      <c r="C6" s="3" t="str" cm="1">
        <f t="array" aca="1" ref="C6" ca="1">IFERROR(INDIRECT("'"&amp;$A6&amp;"'!B5"),"")</f>
        <v>MPS + PREM</v>
      </c>
      <c r="D6" s="9" t="str" cm="1">
        <f t="array" aca="1" ref="D6" ca="1">IFERROR(INDIRECT("'"&amp;$A6&amp;"'!B4"),"")</f>
        <v>Rebecca</v>
      </c>
      <c r="E6" s="9" t="str" cm="1">
        <f t="array" aca="1" ref="E6" ca="1">IFERROR(INDIRECT("'"&amp;$A6&amp;"'!B7")," ")</f>
        <v>Pim</v>
      </c>
      <c r="F6" s="122" t="str" cm="1">
        <f t="array" aca="1" ref="F6" ca="1">IFERROR(INDIRECT("'"&amp;$A6&amp;"'!D9")," ")</f>
        <v>Ntb</v>
      </c>
      <c r="G6" s="52" t="str" cm="1">
        <f t="array" aca="1" ref="G6" ca="1">IFERROR(INDIRECT("'"&amp;$A6&amp;"'!B9")," ")</f>
        <v>Ntb</v>
      </c>
      <c r="H6" s="144" cm="1">
        <f t="array" aca="1" ref="H6" ca="1">IFERROR(INDIRECT("'"&amp;$A6&amp;"'!D4")," ")</f>
        <v>46388</v>
      </c>
      <c r="I6" s="5" cm="1">
        <f t="array" aca="1" ref="I6" ca="1">IFERROR(INDIRECT("'"&amp;$A6&amp;"'!D7")," ")</f>
        <v>0</v>
      </c>
      <c r="J6" s="5" t="str" cm="1">
        <f t="array" aca="1" ref="J6" ca="1">IFERROR(INDIRECT("'"&amp;$A6&amp;"'!D8")," ")</f>
        <v xml:space="preserve"> </v>
      </c>
      <c r="K6" s="5" cm="1">
        <f t="array" aca="1" ref="K6" ca="1">IFERROR(INDIRECT("'"&amp;$A6&amp;"'!D5")," ")</f>
        <v>0</v>
      </c>
      <c r="L6" s="54" cm="1">
        <f t="array" aca="1" ref="L6" ca="1">IFERROR(INDIRECT("'"&amp;$A6&amp;"'!Q10")," ")</f>
        <v>0</v>
      </c>
      <c r="M6" s="43" cm="1">
        <f t="array" aca="1" ref="M6" ca="1">IFERROR(INDIRECT("'"&amp;$A6&amp;"'!Q5")," ")</f>
        <v>0</v>
      </c>
      <c r="N6" s="43" cm="1">
        <f t="array" aca="1" ref="N6" ca="1">IFERROR(INDIRECT("'"&amp;$A6&amp;"'!Q6")," ")</f>
        <v>0</v>
      </c>
      <c r="O6" s="43" cm="1">
        <f t="array" aca="1" ref="O6" ca="1">IFERROR(INDIRECT("'"&amp;$A6&amp;"'!Q7")," ")</f>
        <v>0</v>
      </c>
      <c r="P6" s="43" cm="1">
        <f t="array" aca="1" ref="P6" ca="1">IFERROR(INDIRECT("'"&amp;$A6&amp;"'!S5")," ")</f>
        <v>0</v>
      </c>
      <c r="Q6" s="43" cm="1">
        <f t="array" aca="1" ref="Q6" ca="1">IFERROR(INDIRECT("'"&amp;$A6&amp;"'!S6")," ")</f>
        <v>0</v>
      </c>
      <c r="R6" s="43" cm="1">
        <f t="array" aca="1" ref="R6" ca="1">IFERROR(INDIRECT("'"&amp;$A6&amp;"'!S7")," ")</f>
        <v>0</v>
      </c>
      <c r="S6" s="43" cm="1">
        <f t="array" aca="1" ref="S6" ca="1">IFERROR(INDIRECT("'"&amp;$A6&amp;"'!S8")," ")</f>
        <v>0</v>
      </c>
      <c r="T6" s="43" cm="1">
        <f t="array" aca="1" ref="T6" ca="1">IFERROR(INDIRECT("'"&amp;$A6&amp;"'!S9")," ")</f>
        <v>0</v>
      </c>
      <c r="U6" s="43" cm="1">
        <f t="array" aca="1" ref="U6" ca="1">IFERROR(INDIRECT("'"&amp;$A6&amp;"'!S10")," ")</f>
        <v>0</v>
      </c>
      <c r="V6" s="43" cm="1">
        <f t="array" aca="1" ref="V6" ca="1">IFERROR(INDIRECT("'"&amp;$A6&amp;"'!S11")," ")</f>
        <v>0</v>
      </c>
      <c r="W6" s="43" cm="1">
        <f t="array" aca="1" ref="W6" ca="1">IFERROR(INDIRECT("'"&amp;$A6&amp;"'!W5")," ")</f>
        <v>0</v>
      </c>
      <c r="X6" s="43" cm="1">
        <f t="array" aca="1" ref="X6" ca="1">IFERROR(INDIRECT("'"&amp;$A6&amp;"'!s8")," ")</f>
        <v>0</v>
      </c>
      <c r="Y6" s="43" cm="1">
        <f t="array" aca="1" ref="Y6" ca="1">IFERROR(INDIRECT("'"&amp;$A6&amp;"'!U5")," ")</f>
        <v>0</v>
      </c>
      <c r="Z6" s="43" cm="1">
        <f t="array" aca="1" ref="Z6" ca="1">IFERROR(INDIRECT("'"&amp;$A6&amp;"'!U6")," ")</f>
        <v>0</v>
      </c>
      <c r="AA6" s="43" cm="1">
        <f t="array" aca="1" ref="AA6" ca="1">IFERROR(INDIRECT("'"&amp;$A6&amp;"'!U7")," ")</f>
        <v>0</v>
      </c>
      <c r="AB6" s="43" cm="1">
        <f t="array" aca="1" ref="AB6" ca="1">IFERROR(INDIRECT("'"&amp;$A6&amp;"'!U8")," ")</f>
        <v>0</v>
      </c>
      <c r="AC6" s="43" cm="1">
        <f t="array" aca="1" ref="AC6" ca="1">IFERROR(INDIRECT("'"&amp;$A6&amp;"'!s9")," ")</f>
        <v>0</v>
      </c>
      <c r="AD6" s="7" cm="1">
        <f t="array" aca="1" ref="AD6" ca="1">IFERROR(INDIRECT("'"&amp;$A6&amp;"'!F6")," ")</f>
        <v>220</v>
      </c>
      <c r="AE6" s="118" t="str" cm="1">
        <f t="array" aca="1" ref="AE6" ca="1">IFERROR(INDIRECT("'"&amp;$A6&amp;"'!L4")," ")</f>
        <v>Case aangemaakt en on hold gezet. Wanneer deze oppopt de klant bellen. Klant wil in zomer pas gebeld worden om implementatie op te starten.</v>
      </c>
    </row>
    <row r="7" spans="1:32" ht="15" customHeight="1" x14ac:dyDescent="0.3">
      <c r="A7" s="140">
        <v>941479</v>
      </c>
      <c r="B7" s="3" t="str" cm="1">
        <f t="array" aca="1" ref="B7" ca="1">IFERROR(INDIRECT("'"&amp;$A7&amp;"'!A2"),"")</f>
        <v>Blue Stier Nederland</v>
      </c>
      <c r="C7" s="3" t="str" cm="1">
        <f t="array" aca="1" ref="C7" ca="1">IFERROR(INDIRECT("'"&amp;$A7&amp;"'!B5"),"")</f>
        <v>BPO</v>
      </c>
      <c r="D7" s="9" t="str" cm="1">
        <f t="array" aca="1" ref="D7" ca="1">IFERROR(INDIRECT("'"&amp;$A7&amp;"'!B4"),"")</f>
        <v>Rebecca</v>
      </c>
      <c r="E7" s="9" t="str" cm="1">
        <f t="array" aca="1" ref="E7" ca="1">IFERROR(INDIRECT("'"&amp;$A7&amp;"'!B7")," ")</f>
        <v xml:space="preserve">Mohamed </v>
      </c>
      <c r="F7" s="122" t="str" cm="1">
        <f t="array" aca="1" ref="F7" ca="1">IFERROR(INDIRECT("'"&amp;$A7&amp;"'!D9")," ")</f>
        <v>Ntb</v>
      </c>
      <c r="G7" s="52" t="str" cm="1">
        <f t="array" aca="1" ref="G7" ca="1">IFERROR(INDIRECT("'"&amp;$A7&amp;"'!B9")," ")</f>
        <v>Ntb</v>
      </c>
      <c r="H7" s="70" cm="1">
        <f t="array" aca="1" ref="H7" ca="1">IFERROR(INDIRECT("'"&amp;$A7&amp;"'!D4")," ")</f>
        <v>46388</v>
      </c>
      <c r="I7" s="5" cm="1">
        <f t="array" aca="1" ref="I7" ca="1">IFERROR(INDIRECT("'"&amp;$A7&amp;"'!D7")," ")</f>
        <v>0</v>
      </c>
      <c r="J7" s="5" t="str" cm="1">
        <f t="array" aca="1" ref="J7" ca="1">IFERROR(INDIRECT("'"&amp;$A7&amp;"'!D8")," ")</f>
        <v xml:space="preserve"> </v>
      </c>
      <c r="K7" s="5" cm="1">
        <f t="array" aca="1" ref="K7" ca="1">IFERROR(INDIRECT("'"&amp;$A7&amp;"'!D5")," ")</f>
        <v>0</v>
      </c>
      <c r="L7" s="54" cm="1">
        <f t="array" aca="1" ref="L7" ca="1">IFERROR(INDIRECT("'"&amp;$A7&amp;"'!Q10")," ")</f>
        <v>0</v>
      </c>
      <c r="M7" s="43" cm="1">
        <f t="array" aca="1" ref="M7" ca="1">IFERROR(INDIRECT("'"&amp;$A7&amp;"'!Q5")," ")</f>
        <v>0</v>
      </c>
      <c r="N7" s="43" cm="1">
        <f t="array" aca="1" ref="N7" ca="1">IFERROR(INDIRECT("'"&amp;$A7&amp;"'!Q6")," ")</f>
        <v>0</v>
      </c>
      <c r="O7" s="43" cm="1">
        <f t="array" aca="1" ref="O7" ca="1">IFERROR(INDIRECT("'"&amp;$A7&amp;"'!Q7")," ")</f>
        <v>0</v>
      </c>
      <c r="P7" s="43" cm="1">
        <f t="array" aca="1" ref="P7" ca="1">IFERROR(INDIRECT("'"&amp;$A7&amp;"'!S5")," ")</f>
        <v>0</v>
      </c>
      <c r="Q7" s="43" cm="1">
        <f t="array" aca="1" ref="Q7" ca="1">IFERROR(INDIRECT("'"&amp;$A7&amp;"'!S6")," ")</f>
        <v>0</v>
      </c>
      <c r="R7" s="43" cm="1">
        <f t="array" aca="1" ref="R7" ca="1">IFERROR(INDIRECT("'"&amp;$A7&amp;"'!S7")," ")</f>
        <v>0</v>
      </c>
      <c r="S7" s="43" cm="1">
        <f t="array" aca="1" ref="S7" ca="1">IFERROR(INDIRECT("'"&amp;$A7&amp;"'!S8")," ")</f>
        <v>0</v>
      </c>
      <c r="T7" s="43" cm="1">
        <f t="array" aca="1" ref="T7" ca="1">IFERROR(INDIRECT("'"&amp;$A7&amp;"'!S9")," ")</f>
        <v>0</v>
      </c>
      <c r="U7" s="43" cm="1">
        <f t="array" aca="1" ref="U7" ca="1">IFERROR(INDIRECT("'"&amp;$A7&amp;"'!S10")," ")</f>
        <v>0</v>
      </c>
      <c r="V7" s="43" cm="1">
        <f t="array" aca="1" ref="V7" ca="1">IFERROR(INDIRECT("'"&amp;$A7&amp;"'!S11")," ")</f>
        <v>0</v>
      </c>
      <c r="W7" s="43" cm="1">
        <f t="array" aca="1" ref="W7" ca="1">IFERROR(INDIRECT("'"&amp;$A7&amp;"'!W5")," ")</f>
        <v>0</v>
      </c>
      <c r="X7" s="43" cm="1">
        <f t="array" aca="1" ref="X7" ca="1">IFERROR(INDIRECT("'"&amp;$A7&amp;"'!s8")," ")</f>
        <v>0</v>
      </c>
      <c r="Y7" s="43" cm="1">
        <f t="array" aca="1" ref="Y7" ca="1">IFERROR(INDIRECT("'"&amp;$A7&amp;"'!U5")," ")</f>
        <v>0</v>
      </c>
      <c r="Z7" s="43" cm="1">
        <f t="array" aca="1" ref="Z7" ca="1">IFERROR(INDIRECT("'"&amp;$A7&amp;"'!U6")," ")</f>
        <v>0</v>
      </c>
      <c r="AA7" s="43" cm="1">
        <f t="array" aca="1" ref="AA7" ca="1">IFERROR(INDIRECT("'"&amp;$A7&amp;"'!U7")," ")</f>
        <v>0</v>
      </c>
      <c r="AB7" s="43" cm="1">
        <f t="array" aca="1" ref="AB7" ca="1">IFERROR(INDIRECT("'"&amp;$A7&amp;"'!U8")," ")</f>
        <v>0</v>
      </c>
      <c r="AC7" s="43" cm="1">
        <f t="array" aca="1" ref="AC7" ca="1">IFERROR(INDIRECT("'"&amp;$A7&amp;"'!s9")," ")</f>
        <v>0</v>
      </c>
      <c r="AD7" s="7" cm="1">
        <f t="array" aca="1" ref="AD7" ca="1">IFERROR(INDIRECT("'"&amp;$A7&amp;"'!F6")," ")</f>
        <v>201</v>
      </c>
      <c r="AE7" s="118" t="str" cm="1">
        <f t="array" aca="1" ref="AE7" ca="1">IFERROR(INDIRECT("'"&amp;$A7&amp;"'!L4")," ")</f>
        <v>Nick belt/mailt voor kickoff. Bij voorkeur op locatie. Evt Mohamed hierin meenemen.</v>
      </c>
    </row>
    <row r="8" spans="1:32" ht="15" customHeight="1" x14ac:dyDescent="0.3">
      <c r="A8" s="53">
        <v>941490</v>
      </c>
      <c r="B8" s="3" t="str" cm="1">
        <f t="array" aca="1" ref="B8" ca="1">IFERROR(INDIRECT("'"&amp;$A8&amp;"'!A2"),"")</f>
        <v>Logistiek Logistics</v>
      </c>
      <c r="C8" s="3" t="str" cm="1">
        <f t="array" aca="1" ref="C8" ca="1">IFERROR(INDIRECT("'"&amp;$A8&amp;"'!B5"),"")</f>
        <v>MPS</v>
      </c>
      <c r="D8" s="9" t="str" cm="1">
        <f t="array" aca="1" ref="D8" ca="1">IFERROR(INDIRECT("'"&amp;$A8&amp;"'!B4"),"")</f>
        <v>Nick</v>
      </c>
      <c r="E8" s="9" t="str" cm="1">
        <f t="array" aca="1" ref="E8" ca="1">IFERROR(INDIRECT("'"&amp;$A8&amp;"'!B7")," ")</f>
        <v>Doris</v>
      </c>
      <c r="F8" s="122" cm="1">
        <f t="array" aca="1" ref="F8" ca="1">IFERROR(INDIRECT("'"&amp;$A8&amp;"'!D9")," ")</f>
        <v>0</v>
      </c>
      <c r="G8" s="52" cm="1">
        <f t="array" aca="1" ref="G8" ca="1">IFERROR(INDIRECT("'"&amp;$A8&amp;"'!B9")," ")</f>
        <v>0</v>
      </c>
      <c r="H8" s="144" cm="1">
        <f t="array" aca="1" ref="H8" ca="1">IFERROR(INDIRECT("'"&amp;$A8&amp;"'!D4")," ")</f>
        <v>46388</v>
      </c>
      <c r="I8" s="5" cm="1">
        <f t="array" aca="1" ref="I8" ca="1">IFERROR(INDIRECT("'"&amp;$A8&amp;"'!D7")," ")</f>
        <v>0</v>
      </c>
      <c r="J8" s="5" t="str" cm="1">
        <f t="array" aca="1" ref="J8" ca="1">IFERROR(INDIRECT("'"&amp;$A8&amp;"'!D8")," ")</f>
        <v xml:space="preserve"> </v>
      </c>
      <c r="K8" s="5" cm="1">
        <f t="array" aca="1" ref="K8" ca="1">IFERROR(INDIRECT("'"&amp;$A8&amp;"'!D5")," ")</f>
        <v>0</v>
      </c>
      <c r="L8" s="54" cm="1">
        <f t="array" aca="1" ref="L8" ca="1">IFERROR(INDIRECT("'"&amp;$A8&amp;"'!Q10")," ")</f>
        <v>0</v>
      </c>
      <c r="M8" s="43" cm="1">
        <f t="array" aca="1" ref="M8" ca="1">IFERROR(INDIRECT("'"&amp;$A8&amp;"'!Q5")," ")</f>
        <v>0</v>
      </c>
      <c r="N8" s="43" cm="1">
        <f t="array" aca="1" ref="N8" ca="1">IFERROR(INDIRECT("'"&amp;$A8&amp;"'!Q6")," ")</f>
        <v>0</v>
      </c>
      <c r="O8" s="43" cm="1">
        <f t="array" aca="1" ref="O8" ca="1">IFERROR(INDIRECT("'"&amp;$A8&amp;"'!Q7")," ")</f>
        <v>0</v>
      </c>
      <c r="P8" s="43" cm="1">
        <f t="array" aca="1" ref="P8" ca="1">IFERROR(INDIRECT("'"&amp;$A8&amp;"'!S5")," ")</f>
        <v>0</v>
      </c>
      <c r="Q8" s="43" cm="1">
        <f t="array" aca="1" ref="Q8" ca="1">IFERROR(INDIRECT("'"&amp;$A8&amp;"'!S6")," ")</f>
        <v>0</v>
      </c>
      <c r="R8" s="43" cm="1">
        <f t="array" aca="1" ref="R8" ca="1">IFERROR(INDIRECT("'"&amp;$A8&amp;"'!S7")," ")</f>
        <v>0</v>
      </c>
      <c r="S8" s="43" cm="1">
        <f t="array" aca="1" ref="S8" ca="1">IFERROR(INDIRECT("'"&amp;$A8&amp;"'!S8")," ")</f>
        <v>0</v>
      </c>
      <c r="T8" s="43" cm="1">
        <f t="array" aca="1" ref="T8" ca="1">IFERROR(INDIRECT("'"&amp;$A8&amp;"'!S9")," ")</f>
        <v>0</v>
      </c>
      <c r="U8" s="43" cm="1">
        <f t="array" aca="1" ref="U8" ca="1">IFERROR(INDIRECT("'"&amp;$A8&amp;"'!S10")," ")</f>
        <v>0</v>
      </c>
      <c r="V8" s="43" cm="1">
        <f t="array" aca="1" ref="V8" ca="1">IFERROR(INDIRECT("'"&amp;$A8&amp;"'!S11")," ")</f>
        <v>0</v>
      </c>
      <c r="W8" s="43" cm="1">
        <f t="array" aca="1" ref="W8" ca="1">IFERROR(INDIRECT("'"&amp;$A8&amp;"'!W5")," ")</f>
        <v>0</v>
      </c>
      <c r="X8" s="43" cm="1">
        <f t="array" aca="1" ref="X8" ca="1">IFERROR(INDIRECT("'"&amp;$A8&amp;"'!s8")," ")</f>
        <v>0</v>
      </c>
      <c r="Y8" s="43" cm="1">
        <f t="array" aca="1" ref="Y8" ca="1">IFERROR(INDIRECT("'"&amp;$A8&amp;"'!U5")," ")</f>
        <v>0</v>
      </c>
      <c r="Z8" s="43" cm="1">
        <f t="array" aca="1" ref="Z8" ca="1">IFERROR(INDIRECT("'"&amp;$A8&amp;"'!U6")," ")</f>
        <v>0</v>
      </c>
      <c r="AA8" s="43" cm="1">
        <f t="array" aca="1" ref="AA8" ca="1">IFERROR(INDIRECT("'"&amp;$A8&amp;"'!U7")," ")</f>
        <v>0</v>
      </c>
      <c r="AB8" s="43" cm="1">
        <f t="array" aca="1" ref="AB8" ca="1">IFERROR(INDIRECT("'"&amp;$A8&amp;"'!U8")," ")</f>
        <v>0</v>
      </c>
      <c r="AC8" s="43" cm="1">
        <f t="array" aca="1" ref="AC8" ca="1">IFERROR(INDIRECT("'"&amp;$A8&amp;"'!s9")," ")</f>
        <v>0</v>
      </c>
      <c r="AD8" s="7" cm="1">
        <f t="array" aca="1" ref="AD8" ca="1">IFERROR(INDIRECT("'"&amp;$A8&amp;"'!F6")," ")</f>
        <v>240</v>
      </c>
      <c r="AE8" s="118" t="str" cm="1">
        <f t="array" aca="1" ref="AE8" ca="1">IFERROR(INDIRECT("'"&amp;$A8&amp;"'!L4")," ")</f>
        <v xml:space="preserve">Wil in 2026 nog live met verzuim. Kickoff 8 mei
</v>
      </c>
    </row>
    <row r="9" spans="1:32" ht="15" customHeight="1" x14ac:dyDescent="0.3">
      <c r="A9" s="53">
        <v>941497</v>
      </c>
      <c r="B9" s="3" t="str" cm="1">
        <f t="array" aca="1" ref="B9" ca="1">IFERROR(INDIRECT("'"&amp;$A9&amp;"'!A2"),"")</f>
        <v>Bouw BV</v>
      </c>
      <c r="C9" s="3" t="str" cm="1">
        <f t="array" aca="1" ref="C9" ca="1">IFERROR(INDIRECT("'"&amp;$A9&amp;"'!B5"),"")</f>
        <v>Mps + proff</v>
      </c>
      <c r="D9" s="9" t="str" cm="1">
        <f t="array" aca="1" ref="D9" ca="1">IFERROR(INDIRECT("'"&amp;$A9&amp;"'!B4"),"")</f>
        <v>Nick</v>
      </c>
      <c r="E9" s="9" t="str" cm="1">
        <f t="array" aca="1" ref="E9" ca="1">IFERROR(INDIRECT("'"&amp;$A9&amp;"'!B7")," ")</f>
        <v xml:space="preserve">Mirjam </v>
      </c>
      <c r="F9" s="122" t="str" cm="1">
        <f t="array" aca="1" ref="F9" ca="1">IFERROR(INDIRECT("'"&amp;$A9&amp;"'!D9")," ")</f>
        <v>Ntb</v>
      </c>
      <c r="G9" s="52" t="str" cm="1">
        <f t="array" aca="1" ref="G9" ca="1">IFERROR(INDIRECT("'"&amp;$A9&amp;"'!B9")," ")</f>
        <v>ntb</v>
      </c>
      <c r="H9" s="144" cm="1">
        <f t="array" aca="1" ref="H9" ca="1">IFERROR(INDIRECT("'"&amp;$A9&amp;"'!D4")," ")</f>
        <v>46388</v>
      </c>
      <c r="I9" s="5" cm="1">
        <f t="array" aca="1" ref="I9" ca="1">IFERROR(INDIRECT("'"&amp;$A9&amp;"'!D7")," ")</f>
        <v>0</v>
      </c>
      <c r="J9" s="5" t="str" cm="1">
        <f t="array" aca="1" ref="J9" ca="1">IFERROR(INDIRECT("'"&amp;$A9&amp;"'!D8")," ")</f>
        <v xml:space="preserve"> </v>
      </c>
      <c r="K9" s="5" t="str" cm="1">
        <f t="array" aca="1" ref="K9" ca="1">IFERROR(INDIRECT("'"&amp;$A9&amp;"'!D5")," ")</f>
        <v>Nvt</v>
      </c>
      <c r="L9" s="54" cm="1">
        <f t="array" aca="1" ref="L9" ca="1">IFERROR(INDIRECT("'"&amp;$A9&amp;"'!Q10")," ")</f>
        <v>0</v>
      </c>
      <c r="M9" s="43" cm="1">
        <f t="array" aca="1" ref="M9" ca="1">IFERROR(INDIRECT("'"&amp;$A9&amp;"'!Q5")," ")</f>
        <v>0</v>
      </c>
      <c r="N9" s="43" cm="1">
        <f t="array" aca="1" ref="N9" ca="1">IFERROR(INDIRECT("'"&amp;$A9&amp;"'!Q6")," ")</f>
        <v>0</v>
      </c>
      <c r="O9" s="43" cm="1">
        <f t="array" aca="1" ref="O9" ca="1">IFERROR(INDIRECT("'"&amp;$A9&amp;"'!Q7")," ")</f>
        <v>0</v>
      </c>
      <c r="P9" s="43" cm="1">
        <f t="array" aca="1" ref="P9" ca="1">IFERROR(INDIRECT("'"&amp;$A9&amp;"'!S5")," ")</f>
        <v>0</v>
      </c>
      <c r="Q9" s="43" cm="1">
        <f t="array" aca="1" ref="Q9" ca="1">IFERROR(INDIRECT("'"&amp;$A9&amp;"'!S6")," ")</f>
        <v>0</v>
      </c>
      <c r="R9" s="43" cm="1">
        <f t="array" aca="1" ref="R9" ca="1">IFERROR(INDIRECT("'"&amp;$A9&amp;"'!S7")," ")</f>
        <v>0</v>
      </c>
      <c r="S9" s="43" cm="1">
        <f t="array" aca="1" ref="S9" ca="1">IFERROR(INDIRECT("'"&amp;$A9&amp;"'!S8")," ")</f>
        <v>0</v>
      </c>
      <c r="T9" s="43" cm="1">
        <f t="array" aca="1" ref="T9" ca="1">IFERROR(INDIRECT("'"&amp;$A9&amp;"'!S9")," ")</f>
        <v>0</v>
      </c>
      <c r="U9" s="43" cm="1">
        <f t="array" aca="1" ref="U9" ca="1">IFERROR(INDIRECT("'"&amp;$A9&amp;"'!S10")," ")</f>
        <v>0</v>
      </c>
      <c r="V9" s="43" cm="1">
        <f t="array" aca="1" ref="V9" ca="1">IFERROR(INDIRECT("'"&amp;$A9&amp;"'!S11")," ")</f>
        <v>0</v>
      </c>
      <c r="W9" s="43" cm="1">
        <f t="array" aca="1" ref="W9" ca="1">IFERROR(INDIRECT("'"&amp;$A9&amp;"'!W5")," ")</f>
        <v>0</v>
      </c>
      <c r="X9" s="43" cm="1">
        <f t="array" aca="1" ref="X9" ca="1">IFERROR(INDIRECT("'"&amp;$A9&amp;"'!s8")," ")</f>
        <v>0</v>
      </c>
      <c r="Y9" s="43" cm="1">
        <f t="array" aca="1" ref="Y9" ca="1">IFERROR(INDIRECT("'"&amp;$A9&amp;"'!U5")," ")</f>
        <v>0</v>
      </c>
      <c r="Z9" s="43" cm="1">
        <f t="array" aca="1" ref="Z9" ca="1">IFERROR(INDIRECT("'"&amp;$A9&amp;"'!U6")," ")</f>
        <v>0</v>
      </c>
      <c r="AA9" s="43" cm="1">
        <f t="array" aca="1" ref="AA9" ca="1">IFERROR(INDIRECT("'"&amp;$A9&amp;"'!U7")," ")</f>
        <v>0</v>
      </c>
      <c r="AB9" s="43" cm="1">
        <f t="array" aca="1" ref="AB9" ca="1">IFERROR(INDIRECT("'"&amp;$A9&amp;"'!U8")," ")</f>
        <v>0</v>
      </c>
      <c r="AC9" s="43" cm="1">
        <f t="array" aca="1" ref="AC9" ca="1">IFERROR(INDIRECT("'"&amp;$A9&amp;"'!s9")," ")</f>
        <v>0</v>
      </c>
      <c r="AD9" s="7" cm="1">
        <f t="array" aca="1" ref="AD9" ca="1">IFERROR(INDIRECT("'"&amp;$A9&amp;"'!F6")," ")</f>
        <v>75</v>
      </c>
      <c r="AE9" s="118" cm="1">
        <f t="array" aca="1" ref="AE9" ca="1">IFERROR(INDIRECT("'"&amp;$A9&amp;"'!L4")," ")</f>
        <v>0</v>
      </c>
    </row>
    <row r="10" spans="1:32" ht="15" customHeight="1" x14ac:dyDescent="0.3">
      <c r="B10" s="3" t="str" cm="1">
        <f t="array" aca="1" ref="B10" ca="1">IFERROR(INDIRECT("'"&amp;$A10&amp;"'!A2"),"")</f>
        <v/>
      </c>
      <c r="C10" s="3" t="str" cm="1">
        <f t="array" aca="1" ref="C10" ca="1">IFERROR(INDIRECT("'"&amp;$A10&amp;"'!B5"),"")</f>
        <v/>
      </c>
      <c r="D10" s="9" t="str" cm="1">
        <f t="array" aca="1" ref="D10" ca="1">IFERROR(INDIRECT("'"&amp;$A10&amp;"'!B4"),"")</f>
        <v/>
      </c>
      <c r="E10" s="9" t="str" cm="1">
        <f t="array" aca="1" ref="E10" ca="1">IFERROR(INDIRECT("'"&amp;$A10&amp;"'!B7")," ")</f>
        <v xml:space="preserve"> </v>
      </c>
      <c r="F10" s="122" t="str" cm="1">
        <f t="array" aca="1" ref="F10" ca="1">IFERROR(INDIRECT("'"&amp;$A10&amp;"'!D9")," ")</f>
        <v xml:space="preserve"> </v>
      </c>
      <c r="G10" s="52" t="str" cm="1">
        <f t="array" aca="1" ref="G10" ca="1">IFERROR(INDIRECT("'"&amp;$A10&amp;"'!B9")," ")</f>
        <v xml:space="preserve"> </v>
      </c>
      <c r="H10" s="70" t="str" cm="1">
        <f t="array" aca="1" ref="H10" ca="1">IFERROR(INDIRECT("'"&amp;$A10&amp;"'!D4")," ")</f>
        <v xml:space="preserve"> </v>
      </c>
      <c r="I10" s="5" t="str" cm="1">
        <f t="array" aca="1" ref="I10" ca="1">IFERROR(INDIRECT("'"&amp;$A10&amp;"'!D7")," ")</f>
        <v xml:space="preserve"> </v>
      </c>
      <c r="J10" s="5" t="str" cm="1">
        <f t="array" aca="1" ref="J10" ca="1">IFERROR(INDIRECT("'"&amp;$A10&amp;"'!D8")," ")</f>
        <v xml:space="preserve"> </v>
      </c>
      <c r="K10" s="5" t="str" cm="1">
        <f t="array" aca="1" ref="K10" ca="1">IFERROR(INDIRECT("'"&amp;$A10&amp;"'!D5")," ")</f>
        <v xml:space="preserve"> </v>
      </c>
      <c r="L10" s="54" t="str" cm="1">
        <f t="array" aca="1" ref="L10" ca="1">IFERROR(INDIRECT("'"&amp;$A10&amp;"'!Q10")," ")</f>
        <v xml:space="preserve"> </v>
      </c>
      <c r="M10" s="43" t="str" cm="1">
        <f t="array" aca="1" ref="M10" ca="1">IFERROR(INDIRECT("'"&amp;$A10&amp;"'!Q5")," ")</f>
        <v xml:space="preserve"> </v>
      </c>
      <c r="N10" s="43" t="str" cm="1">
        <f t="array" aca="1" ref="N10" ca="1">IFERROR(INDIRECT("'"&amp;$A10&amp;"'!Q6")," ")</f>
        <v xml:space="preserve"> </v>
      </c>
      <c r="O10" s="43" t="str" cm="1">
        <f t="array" aca="1" ref="O10" ca="1">IFERROR(INDIRECT("'"&amp;$A10&amp;"'!Q7")," ")</f>
        <v xml:space="preserve"> </v>
      </c>
      <c r="P10" s="43" t="str" cm="1">
        <f t="array" aca="1" ref="P10" ca="1">IFERROR(INDIRECT("'"&amp;$A10&amp;"'!S5")," ")</f>
        <v xml:space="preserve"> </v>
      </c>
      <c r="Q10" s="43" t="str" cm="1">
        <f t="array" aca="1" ref="Q10" ca="1">IFERROR(INDIRECT("'"&amp;$A10&amp;"'!S6")," ")</f>
        <v xml:space="preserve"> </v>
      </c>
      <c r="R10" s="43" t="str" cm="1">
        <f t="array" aca="1" ref="R10" ca="1">IFERROR(INDIRECT("'"&amp;$A10&amp;"'!S7")," ")</f>
        <v xml:space="preserve"> </v>
      </c>
      <c r="S10" s="43" t="str" cm="1">
        <f t="array" aca="1" ref="S10" ca="1">IFERROR(INDIRECT("'"&amp;$A10&amp;"'!S8")," ")</f>
        <v xml:space="preserve"> </v>
      </c>
      <c r="T10" s="43" t="str" cm="1">
        <f t="array" aca="1" ref="T10" ca="1">IFERROR(INDIRECT("'"&amp;$A10&amp;"'!S9")," ")</f>
        <v xml:space="preserve"> </v>
      </c>
      <c r="U10" s="43" t="str" cm="1">
        <f t="array" aca="1" ref="U10" ca="1">IFERROR(INDIRECT("'"&amp;$A10&amp;"'!S10")," ")</f>
        <v xml:space="preserve"> </v>
      </c>
      <c r="V10" s="43" t="str" cm="1">
        <f t="array" aca="1" ref="V10" ca="1">IFERROR(INDIRECT("'"&amp;$A10&amp;"'!S11")," ")</f>
        <v xml:space="preserve"> </v>
      </c>
      <c r="W10" s="43" t="str" cm="1">
        <f t="array" aca="1" ref="W10" ca="1">IFERROR(INDIRECT("'"&amp;$A10&amp;"'!W5")," ")</f>
        <v xml:space="preserve"> </v>
      </c>
      <c r="X10" s="43" t="str" cm="1">
        <f t="array" aca="1" ref="X10" ca="1">IFERROR(INDIRECT("'"&amp;$A10&amp;"'!s8")," ")</f>
        <v xml:space="preserve"> </v>
      </c>
      <c r="Y10" s="43" t="str" cm="1">
        <f t="array" aca="1" ref="Y10" ca="1">IFERROR(INDIRECT("'"&amp;$A10&amp;"'!U5")," ")</f>
        <v xml:space="preserve"> </v>
      </c>
      <c r="Z10" s="43" t="str" cm="1">
        <f t="array" aca="1" ref="Z10" ca="1">IFERROR(INDIRECT("'"&amp;$A10&amp;"'!U6")," ")</f>
        <v xml:space="preserve"> </v>
      </c>
      <c r="AA10" s="43" t="str" cm="1">
        <f t="array" aca="1" ref="AA10" ca="1">IFERROR(INDIRECT("'"&amp;$A10&amp;"'!U7")," ")</f>
        <v xml:space="preserve"> </v>
      </c>
      <c r="AB10" s="43" t="str" cm="1">
        <f t="array" aca="1" ref="AB10" ca="1">IFERROR(INDIRECT("'"&amp;$A10&amp;"'!U8")," ")</f>
        <v xml:space="preserve"> </v>
      </c>
      <c r="AC10" s="43" t="str" cm="1">
        <f t="array" aca="1" ref="AC10" ca="1">IFERROR(INDIRECT("'"&amp;$A10&amp;"'!s9")," ")</f>
        <v xml:space="preserve"> </v>
      </c>
      <c r="AD10" s="7" t="str" cm="1">
        <f t="array" aca="1" ref="AD10" ca="1">IFERROR(INDIRECT("'"&amp;$A10&amp;"'!F6")," ")</f>
        <v xml:space="preserve"> </v>
      </c>
      <c r="AE10" s="118" t="str" cm="1">
        <f t="array" aca="1" ref="AE10" ca="1">IFERROR(INDIRECT("'"&amp;$A10&amp;"'!L4")," ")</f>
        <v xml:space="preserve"> </v>
      </c>
    </row>
    <row r="11" spans="1:32" ht="15" customHeight="1" x14ac:dyDescent="0.3">
      <c r="B11" s="3" t="str" cm="1">
        <f t="array" aca="1" ref="B11" ca="1">IFERROR(INDIRECT("'"&amp;$A11&amp;"'!A2"),"")</f>
        <v/>
      </c>
      <c r="C11" s="3" t="str" cm="1">
        <f t="array" aca="1" ref="C11" ca="1">IFERROR(INDIRECT("'"&amp;$A11&amp;"'!B5"),"")</f>
        <v/>
      </c>
      <c r="D11" s="9" t="str" cm="1">
        <f t="array" aca="1" ref="D11" ca="1">IFERROR(INDIRECT("'"&amp;$A11&amp;"'!B4"),"")</f>
        <v/>
      </c>
      <c r="E11" s="9" t="str" cm="1">
        <f t="array" aca="1" ref="E11" ca="1">IFERROR(INDIRECT("'"&amp;$A11&amp;"'!B7")," ")</f>
        <v xml:space="preserve"> </v>
      </c>
      <c r="F11" s="122" t="str" cm="1">
        <f t="array" aca="1" ref="F11" ca="1">IFERROR(INDIRECT("'"&amp;$A11&amp;"'!D9")," ")</f>
        <v xml:space="preserve"> </v>
      </c>
      <c r="G11" s="52" t="str" cm="1">
        <f t="array" aca="1" ref="G11" ca="1">IFERROR(INDIRECT("'"&amp;$A11&amp;"'!B9")," ")</f>
        <v xml:space="preserve"> </v>
      </c>
      <c r="H11" s="144" t="str" cm="1">
        <f t="array" aca="1" ref="H11" ca="1">IFERROR(INDIRECT("'"&amp;$A11&amp;"'!D4")," ")</f>
        <v xml:space="preserve"> </v>
      </c>
      <c r="I11" s="5" t="str" cm="1">
        <f t="array" aca="1" ref="I11" ca="1">IFERROR(INDIRECT("'"&amp;$A11&amp;"'!D7")," ")</f>
        <v xml:space="preserve"> </v>
      </c>
      <c r="J11" s="5" t="str" cm="1">
        <f t="array" aca="1" ref="J11" ca="1">IFERROR(INDIRECT("'"&amp;$A11&amp;"'!D8")," ")</f>
        <v xml:space="preserve"> </v>
      </c>
      <c r="K11" s="5" t="str" cm="1">
        <f t="array" aca="1" ref="K11" ca="1">IFERROR(INDIRECT("'"&amp;$A11&amp;"'!D5")," ")</f>
        <v xml:space="preserve"> </v>
      </c>
      <c r="L11" s="54" t="str" cm="1">
        <f t="array" aca="1" ref="L11" ca="1">IFERROR(INDIRECT("'"&amp;$A11&amp;"'!Q10")," ")</f>
        <v xml:space="preserve"> </v>
      </c>
      <c r="M11" s="43" t="str" cm="1">
        <f t="array" aca="1" ref="M11" ca="1">IFERROR(INDIRECT("'"&amp;$A11&amp;"'!Q5")," ")</f>
        <v xml:space="preserve"> </v>
      </c>
      <c r="N11" s="43" t="str" cm="1">
        <f t="array" aca="1" ref="N11" ca="1">IFERROR(INDIRECT("'"&amp;$A11&amp;"'!Q6")," ")</f>
        <v xml:space="preserve"> </v>
      </c>
      <c r="O11" s="43" t="str" cm="1">
        <f t="array" aca="1" ref="O11" ca="1">IFERROR(INDIRECT("'"&amp;$A11&amp;"'!Q7")," ")</f>
        <v xml:space="preserve"> </v>
      </c>
      <c r="P11" s="43" t="str" cm="1">
        <f t="array" aca="1" ref="P11" ca="1">IFERROR(INDIRECT("'"&amp;$A11&amp;"'!S5")," ")</f>
        <v xml:space="preserve"> </v>
      </c>
      <c r="Q11" s="43" t="str" cm="1">
        <f t="array" aca="1" ref="Q11" ca="1">IFERROR(INDIRECT("'"&amp;$A11&amp;"'!S6")," ")</f>
        <v xml:space="preserve"> </v>
      </c>
      <c r="R11" s="43" t="str" cm="1">
        <f t="array" aca="1" ref="R11" ca="1">IFERROR(INDIRECT("'"&amp;$A11&amp;"'!S7")," ")</f>
        <v xml:space="preserve"> </v>
      </c>
      <c r="S11" s="43" t="str" cm="1">
        <f t="array" aca="1" ref="S11" ca="1">IFERROR(INDIRECT("'"&amp;$A11&amp;"'!S8")," ")</f>
        <v xml:space="preserve"> </v>
      </c>
      <c r="T11" s="43" t="str" cm="1">
        <f t="array" aca="1" ref="T11" ca="1">IFERROR(INDIRECT("'"&amp;$A11&amp;"'!S9")," ")</f>
        <v xml:space="preserve"> </v>
      </c>
      <c r="U11" s="43" t="str" cm="1">
        <f t="array" aca="1" ref="U11" ca="1">IFERROR(INDIRECT("'"&amp;$A11&amp;"'!S10")," ")</f>
        <v xml:space="preserve"> </v>
      </c>
      <c r="V11" s="43" t="str" cm="1">
        <f t="array" aca="1" ref="V11" ca="1">IFERROR(INDIRECT("'"&amp;$A11&amp;"'!S11")," ")</f>
        <v xml:space="preserve"> </v>
      </c>
      <c r="W11" s="43" t="str" cm="1">
        <f t="array" aca="1" ref="W11" ca="1">IFERROR(INDIRECT("'"&amp;$A11&amp;"'!W5")," ")</f>
        <v xml:space="preserve"> </v>
      </c>
      <c r="X11" s="43" t="str" cm="1">
        <f t="array" aca="1" ref="X11" ca="1">IFERROR(INDIRECT("'"&amp;$A11&amp;"'!s8")," ")</f>
        <v xml:space="preserve"> </v>
      </c>
      <c r="Y11" s="43" t="str" cm="1">
        <f t="array" aca="1" ref="Y11" ca="1">IFERROR(INDIRECT("'"&amp;$A11&amp;"'!U5")," ")</f>
        <v xml:space="preserve"> </v>
      </c>
      <c r="Z11" s="43" t="str" cm="1">
        <f t="array" aca="1" ref="Z11" ca="1">IFERROR(INDIRECT("'"&amp;$A11&amp;"'!U6")," ")</f>
        <v xml:space="preserve"> </v>
      </c>
      <c r="AA11" s="43" t="str" cm="1">
        <f t="array" aca="1" ref="AA11" ca="1">IFERROR(INDIRECT("'"&amp;$A11&amp;"'!U7")," ")</f>
        <v xml:space="preserve"> </v>
      </c>
      <c r="AB11" s="43" t="str" cm="1">
        <f t="array" aca="1" ref="AB11" ca="1">IFERROR(INDIRECT("'"&amp;$A11&amp;"'!U8")," ")</f>
        <v xml:space="preserve"> </v>
      </c>
      <c r="AC11" s="43" t="str" cm="1">
        <f t="array" aca="1" ref="AC11" ca="1">IFERROR(INDIRECT("'"&amp;$A11&amp;"'!s9")," ")</f>
        <v xml:space="preserve"> </v>
      </c>
      <c r="AD11" s="7" t="str" cm="1">
        <f t="array" aca="1" ref="AD11" ca="1">IFERROR(INDIRECT("'"&amp;$A11&amp;"'!F6")," ")</f>
        <v xml:space="preserve"> </v>
      </c>
      <c r="AE11" s="118" t="str" cm="1">
        <f t="array" aca="1" ref="AE11" ca="1">IFERROR(INDIRECT("'"&amp;$A11&amp;"'!L4")," ")</f>
        <v xml:space="preserve"> </v>
      </c>
    </row>
    <row r="12" spans="1:32" ht="15" customHeight="1" x14ac:dyDescent="0.3">
      <c r="B12" s="3" t="str" cm="1">
        <f t="array" aca="1" ref="B12" ca="1">IFERROR(INDIRECT("'"&amp;$A12&amp;"'!A2"),"")</f>
        <v/>
      </c>
      <c r="C12" s="3" t="str" cm="1">
        <f t="array" aca="1" ref="C12" ca="1">IFERROR(INDIRECT("'"&amp;$A12&amp;"'!B5"),"")</f>
        <v/>
      </c>
      <c r="D12" s="9" t="str" cm="1">
        <f t="array" aca="1" ref="D12" ca="1">IFERROR(INDIRECT("'"&amp;$A12&amp;"'!B4"),"")</f>
        <v/>
      </c>
      <c r="E12" s="9" t="str" cm="1">
        <f t="array" aca="1" ref="E12" ca="1">IFERROR(INDIRECT("'"&amp;$A12&amp;"'!B7")," ")</f>
        <v xml:space="preserve"> </v>
      </c>
      <c r="F12" s="122" t="str" cm="1">
        <f t="array" aca="1" ref="F12" ca="1">IFERROR(INDIRECT("'"&amp;$A12&amp;"'!D9")," ")</f>
        <v xml:space="preserve"> </v>
      </c>
      <c r="G12" s="52" t="str" cm="1">
        <f t="array" aca="1" ref="G12" ca="1">IFERROR(INDIRECT("'"&amp;$A12&amp;"'!B9")," ")</f>
        <v xml:space="preserve"> </v>
      </c>
      <c r="H12" s="144" t="str" cm="1">
        <f t="array" aca="1" ref="H12" ca="1">IFERROR(INDIRECT("'"&amp;$A12&amp;"'!D4")," ")</f>
        <v xml:space="preserve"> </v>
      </c>
      <c r="I12" s="5" t="str" cm="1">
        <f t="array" aca="1" ref="I12" ca="1">IFERROR(INDIRECT("'"&amp;$A12&amp;"'!D7")," ")</f>
        <v xml:space="preserve"> </v>
      </c>
      <c r="J12" s="5" t="str" cm="1">
        <f t="array" aca="1" ref="J12" ca="1">IFERROR(INDIRECT("'"&amp;$A12&amp;"'!D8")," ")</f>
        <v xml:space="preserve"> </v>
      </c>
      <c r="K12" s="5" t="str" cm="1">
        <f t="array" aca="1" ref="K12" ca="1">IFERROR(INDIRECT("'"&amp;$A12&amp;"'!D5")," ")</f>
        <v xml:space="preserve"> </v>
      </c>
      <c r="L12" s="54" t="str" cm="1">
        <f t="array" aca="1" ref="L12" ca="1">IFERROR(INDIRECT("'"&amp;$A12&amp;"'!Q10")," ")</f>
        <v xml:space="preserve"> </v>
      </c>
      <c r="M12" s="43" t="str" cm="1">
        <f t="array" aca="1" ref="M12" ca="1">IFERROR(INDIRECT("'"&amp;$A12&amp;"'!Q5")," ")</f>
        <v xml:space="preserve"> </v>
      </c>
      <c r="N12" s="43" t="str" cm="1">
        <f t="array" aca="1" ref="N12" ca="1">IFERROR(INDIRECT("'"&amp;$A12&amp;"'!Q6")," ")</f>
        <v xml:space="preserve"> </v>
      </c>
      <c r="O12" s="43" t="str" cm="1">
        <f t="array" aca="1" ref="O12" ca="1">IFERROR(INDIRECT("'"&amp;$A12&amp;"'!Q7")," ")</f>
        <v xml:space="preserve"> </v>
      </c>
      <c r="P12" s="43" t="str" cm="1">
        <f t="array" aca="1" ref="P12" ca="1">IFERROR(INDIRECT("'"&amp;$A12&amp;"'!S5")," ")</f>
        <v xml:space="preserve"> </v>
      </c>
      <c r="Q12" s="43" t="str" cm="1">
        <f t="array" aca="1" ref="Q12" ca="1">IFERROR(INDIRECT("'"&amp;$A12&amp;"'!S6")," ")</f>
        <v xml:space="preserve"> </v>
      </c>
      <c r="R12" s="43" t="str" cm="1">
        <f t="array" aca="1" ref="R12" ca="1">IFERROR(INDIRECT("'"&amp;$A12&amp;"'!S7")," ")</f>
        <v xml:space="preserve"> </v>
      </c>
      <c r="S12" s="43" t="str" cm="1">
        <f t="array" aca="1" ref="S12" ca="1">IFERROR(INDIRECT("'"&amp;$A12&amp;"'!S8")," ")</f>
        <v xml:space="preserve"> </v>
      </c>
      <c r="T12" s="43" t="str" cm="1">
        <f t="array" aca="1" ref="T12" ca="1">IFERROR(INDIRECT("'"&amp;$A12&amp;"'!S9")," ")</f>
        <v xml:space="preserve"> </v>
      </c>
      <c r="U12" s="43" t="str" cm="1">
        <f t="array" aca="1" ref="U12" ca="1">IFERROR(INDIRECT("'"&amp;$A12&amp;"'!S10")," ")</f>
        <v xml:space="preserve"> </v>
      </c>
      <c r="V12" s="43" t="str" cm="1">
        <f t="array" aca="1" ref="V12" ca="1">IFERROR(INDIRECT("'"&amp;$A12&amp;"'!S11")," ")</f>
        <v xml:space="preserve"> </v>
      </c>
      <c r="W12" s="43" t="str" cm="1">
        <f t="array" aca="1" ref="W12" ca="1">IFERROR(INDIRECT("'"&amp;$A12&amp;"'!W5")," ")</f>
        <v xml:space="preserve"> </v>
      </c>
      <c r="X12" s="43" t="str" cm="1">
        <f t="array" aca="1" ref="X12" ca="1">IFERROR(INDIRECT("'"&amp;$A12&amp;"'!s8")," ")</f>
        <v xml:space="preserve"> </v>
      </c>
      <c r="Y12" s="43" t="str" cm="1">
        <f t="array" aca="1" ref="Y12" ca="1">IFERROR(INDIRECT("'"&amp;$A12&amp;"'!U5")," ")</f>
        <v xml:space="preserve"> </v>
      </c>
      <c r="Z12" s="43" t="str" cm="1">
        <f t="array" aca="1" ref="Z12" ca="1">IFERROR(INDIRECT("'"&amp;$A12&amp;"'!U6")," ")</f>
        <v xml:space="preserve"> </v>
      </c>
      <c r="AA12" s="43" t="str" cm="1">
        <f t="array" aca="1" ref="AA12" ca="1">IFERROR(INDIRECT("'"&amp;$A12&amp;"'!U7")," ")</f>
        <v xml:space="preserve"> </v>
      </c>
      <c r="AB12" s="43" t="str" cm="1">
        <f t="array" aca="1" ref="AB12" ca="1">IFERROR(INDIRECT("'"&amp;$A12&amp;"'!U8")," ")</f>
        <v xml:space="preserve"> </v>
      </c>
      <c r="AC12" s="43" t="str" cm="1">
        <f t="array" aca="1" ref="AC12" ca="1">IFERROR(INDIRECT("'"&amp;$A12&amp;"'!s9")," ")</f>
        <v xml:space="preserve"> </v>
      </c>
      <c r="AD12" s="7" t="str" cm="1">
        <f t="array" aca="1" ref="AD12" ca="1">IFERROR(INDIRECT("'"&amp;$A12&amp;"'!F6")," ")</f>
        <v xml:space="preserve"> </v>
      </c>
      <c r="AE12" s="118" t="str" cm="1">
        <f t="array" aca="1" ref="AE12" ca="1">IFERROR(INDIRECT("'"&amp;$A12&amp;"'!L4")," ")</f>
        <v xml:space="preserve"> </v>
      </c>
    </row>
    <row r="13" spans="1:32" ht="15" customHeight="1" x14ac:dyDescent="0.3">
      <c r="B13" s="3" t="str" cm="1">
        <f t="array" aca="1" ref="B13" ca="1">IFERROR(INDIRECT("'"&amp;$A13&amp;"'!A2"),"")</f>
        <v/>
      </c>
      <c r="C13" s="3" t="str" cm="1">
        <f t="array" aca="1" ref="C13" ca="1">IFERROR(INDIRECT("'"&amp;$A13&amp;"'!B5"),"")</f>
        <v/>
      </c>
      <c r="D13" s="9" t="str" cm="1">
        <f t="array" aca="1" ref="D13" ca="1">IFERROR(INDIRECT("'"&amp;$A13&amp;"'!B4"),"")</f>
        <v/>
      </c>
      <c r="E13" s="9" t="str" cm="1">
        <f t="array" aca="1" ref="E13" ca="1">IFERROR(INDIRECT("'"&amp;$A13&amp;"'!B7")," ")</f>
        <v xml:space="preserve"> </v>
      </c>
      <c r="F13" s="122" t="str" cm="1">
        <f t="array" aca="1" ref="F13" ca="1">IFERROR(INDIRECT("'"&amp;$A13&amp;"'!D9")," ")</f>
        <v xml:space="preserve"> </v>
      </c>
      <c r="G13" s="52" t="str" cm="1">
        <f t="array" aca="1" ref="G13" ca="1">IFERROR(INDIRECT("'"&amp;$A13&amp;"'!B9")," ")</f>
        <v xml:space="preserve"> </v>
      </c>
      <c r="H13" s="144" t="str" cm="1">
        <f t="array" aca="1" ref="H13" ca="1">IFERROR(INDIRECT("'"&amp;$A13&amp;"'!D4")," ")</f>
        <v xml:space="preserve"> </v>
      </c>
      <c r="I13" s="5" t="str" cm="1">
        <f t="array" aca="1" ref="I13" ca="1">IFERROR(INDIRECT("'"&amp;$A13&amp;"'!D7")," ")</f>
        <v xml:space="preserve"> </v>
      </c>
      <c r="J13" s="5" t="str" cm="1">
        <f t="array" aca="1" ref="J13" ca="1">IFERROR(INDIRECT("'"&amp;$A13&amp;"'!D8")," ")</f>
        <v xml:space="preserve"> </v>
      </c>
      <c r="K13" s="5" t="str" cm="1">
        <f t="array" aca="1" ref="K13" ca="1">IFERROR(INDIRECT("'"&amp;$A13&amp;"'!D5")," ")</f>
        <v xml:space="preserve"> </v>
      </c>
      <c r="L13" s="54" t="str" cm="1">
        <f t="array" aca="1" ref="L13" ca="1">IFERROR(INDIRECT("'"&amp;$A13&amp;"'!Q10")," ")</f>
        <v xml:space="preserve"> </v>
      </c>
      <c r="M13" s="43" t="str" cm="1">
        <f t="array" aca="1" ref="M13" ca="1">IFERROR(INDIRECT("'"&amp;$A13&amp;"'!Q5")," ")</f>
        <v xml:space="preserve"> </v>
      </c>
      <c r="N13" s="43" t="str" cm="1">
        <f t="array" aca="1" ref="N13" ca="1">IFERROR(INDIRECT("'"&amp;$A13&amp;"'!Q6")," ")</f>
        <v xml:space="preserve"> </v>
      </c>
      <c r="O13" s="43" t="str" cm="1">
        <f t="array" aca="1" ref="O13" ca="1">IFERROR(INDIRECT("'"&amp;$A13&amp;"'!Q7")," ")</f>
        <v xml:space="preserve"> </v>
      </c>
      <c r="P13" s="43" t="str" cm="1">
        <f t="array" aca="1" ref="P13" ca="1">IFERROR(INDIRECT("'"&amp;$A13&amp;"'!S5")," ")</f>
        <v xml:space="preserve"> </v>
      </c>
      <c r="Q13" s="43" t="str" cm="1">
        <f t="array" aca="1" ref="Q13" ca="1">IFERROR(INDIRECT("'"&amp;$A13&amp;"'!S6")," ")</f>
        <v xml:space="preserve"> </v>
      </c>
      <c r="R13" s="43" t="str" cm="1">
        <f t="array" aca="1" ref="R13" ca="1">IFERROR(INDIRECT("'"&amp;$A13&amp;"'!S7")," ")</f>
        <v xml:space="preserve"> </v>
      </c>
      <c r="S13" s="43" t="str" cm="1">
        <f t="array" aca="1" ref="S13" ca="1">IFERROR(INDIRECT("'"&amp;$A13&amp;"'!S8")," ")</f>
        <v xml:space="preserve"> </v>
      </c>
      <c r="T13" s="43" t="str" cm="1">
        <f t="array" aca="1" ref="T13" ca="1">IFERROR(INDIRECT("'"&amp;$A13&amp;"'!S9")," ")</f>
        <v xml:space="preserve"> </v>
      </c>
      <c r="U13" s="43" t="str" cm="1">
        <f t="array" aca="1" ref="U13" ca="1">IFERROR(INDIRECT("'"&amp;$A13&amp;"'!S10")," ")</f>
        <v xml:space="preserve"> </v>
      </c>
      <c r="V13" s="43" t="str" cm="1">
        <f t="array" aca="1" ref="V13" ca="1">IFERROR(INDIRECT("'"&amp;$A13&amp;"'!S11")," ")</f>
        <v xml:space="preserve"> </v>
      </c>
      <c r="W13" s="43" t="str" cm="1">
        <f t="array" aca="1" ref="W13" ca="1">IFERROR(INDIRECT("'"&amp;$A13&amp;"'!W5")," ")</f>
        <v xml:space="preserve"> </v>
      </c>
      <c r="X13" s="43" t="str" cm="1">
        <f t="array" aca="1" ref="X13" ca="1">IFERROR(INDIRECT("'"&amp;$A13&amp;"'!s8")," ")</f>
        <v xml:space="preserve"> </v>
      </c>
      <c r="Y13" s="43" t="str" cm="1">
        <f t="array" aca="1" ref="Y13" ca="1">IFERROR(INDIRECT("'"&amp;$A13&amp;"'!U5")," ")</f>
        <v xml:space="preserve"> </v>
      </c>
      <c r="Z13" s="43" t="str" cm="1">
        <f t="array" aca="1" ref="Z13" ca="1">IFERROR(INDIRECT("'"&amp;$A13&amp;"'!U6")," ")</f>
        <v xml:space="preserve"> </v>
      </c>
      <c r="AA13" s="43" t="str" cm="1">
        <f t="array" aca="1" ref="AA13" ca="1">IFERROR(INDIRECT("'"&amp;$A13&amp;"'!U7")," ")</f>
        <v xml:space="preserve"> </v>
      </c>
      <c r="AB13" s="43" t="str" cm="1">
        <f t="array" aca="1" ref="AB13" ca="1">IFERROR(INDIRECT("'"&amp;$A13&amp;"'!U8")," ")</f>
        <v xml:space="preserve"> </v>
      </c>
      <c r="AC13" s="43" t="str" cm="1">
        <f t="array" aca="1" ref="AC13" ca="1">IFERROR(INDIRECT("'"&amp;$A13&amp;"'!s9")," ")</f>
        <v xml:space="preserve"> </v>
      </c>
      <c r="AD13" s="7" t="str" cm="1">
        <f t="array" aca="1" ref="AD13" ca="1">IFERROR(INDIRECT("'"&amp;$A13&amp;"'!F6")," ")</f>
        <v xml:space="preserve"> </v>
      </c>
      <c r="AE13" s="118" t="str" cm="1">
        <f t="array" aca="1" ref="AE13" ca="1">IFERROR(INDIRECT("'"&amp;$A13&amp;"'!L4")," ")</f>
        <v xml:space="preserve"> </v>
      </c>
    </row>
    <row r="14" spans="1:32" ht="15" customHeight="1" x14ac:dyDescent="0.3">
      <c r="B14" s="3" t="str" cm="1">
        <f t="array" aca="1" ref="B14" ca="1">IFERROR(INDIRECT("'"&amp;$A14&amp;"'!A2"),"")</f>
        <v/>
      </c>
      <c r="C14" s="3" t="str" cm="1">
        <f t="array" aca="1" ref="C14" ca="1">IFERROR(INDIRECT("'"&amp;$A14&amp;"'!B5"),"")</f>
        <v/>
      </c>
      <c r="D14" s="9" t="str" cm="1">
        <f t="array" aca="1" ref="D14" ca="1">IFERROR(INDIRECT("'"&amp;$A14&amp;"'!B4"),"")</f>
        <v/>
      </c>
      <c r="E14" s="9" t="str" cm="1">
        <f t="array" aca="1" ref="E14" ca="1">IFERROR(INDIRECT("'"&amp;$A14&amp;"'!B7")," ")</f>
        <v xml:space="preserve"> </v>
      </c>
      <c r="F14" s="122" t="str" cm="1">
        <f t="array" aca="1" ref="F14" ca="1">IFERROR(INDIRECT("'"&amp;$A14&amp;"'!D9")," ")</f>
        <v xml:space="preserve"> </v>
      </c>
      <c r="G14" s="52" t="str" cm="1">
        <f t="array" aca="1" ref="G14" ca="1">IFERROR(INDIRECT("'"&amp;$A14&amp;"'!B9")," ")</f>
        <v xml:space="preserve"> </v>
      </c>
      <c r="H14" s="144" t="str" cm="1">
        <f t="array" aca="1" ref="H14" ca="1">IFERROR(INDIRECT("'"&amp;$A14&amp;"'!D4")," ")</f>
        <v xml:space="preserve"> </v>
      </c>
      <c r="I14" s="5" t="str" cm="1">
        <f t="array" aca="1" ref="I14" ca="1">IFERROR(INDIRECT("'"&amp;$A14&amp;"'!D7")," ")</f>
        <v xml:space="preserve"> </v>
      </c>
      <c r="J14" s="5" t="str" cm="1">
        <f t="array" aca="1" ref="J14" ca="1">IFERROR(INDIRECT("'"&amp;$A14&amp;"'!D8")," ")</f>
        <v xml:space="preserve"> </v>
      </c>
      <c r="K14" s="5" t="str" cm="1">
        <f t="array" aca="1" ref="K14" ca="1">IFERROR(INDIRECT("'"&amp;$A14&amp;"'!D5")," ")</f>
        <v xml:space="preserve"> </v>
      </c>
      <c r="L14" s="54" t="str" cm="1">
        <f t="array" aca="1" ref="L14" ca="1">IFERROR(INDIRECT("'"&amp;$A14&amp;"'!Q10")," ")</f>
        <v xml:space="preserve"> </v>
      </c>
      <c r="M14" s="43" t="str" cm="1">
        <f t="array" aca="1" ref="M14" ca="1">IFERROR(INDIRECT("'"&amp;$A14&amp;"'!Q5")," ")</f>
        <v xml:space="preserve"> </v>
      </c>
      <c r="N14" s="43" t="str" cm="1">
        <f t="array" aca="1" ref="N14" ca="1">IFERROR(INDIRECT("'"&amp;$A14&amp;"'!Q6")," ")</f>
        <v xml:space="preserve"> </v>
      </c>
      <c r="O14" s="43" t="str" cm="1">
        <f t="array" aca="1" ref="O14" ca="1">IFERROR(INDIRECT("'"&amp;$A14&amp;"'!Q7")," ")</f>
        <v xml:space="preserve"> </v>
      </c>
      <c r="P14" s="43" t="str" cm="1">
        <f t="array" aca="1" ref="P14" ca="1">IFERROR(INDIRECT("'"&amp;$A14&amp;"'!S5")," ")</f>
        <v xml:space="preserve"> </v>
      </c>
      <c r="Q14" s="43" t="str" cm="1">
        <f t="array" aca="1" ref="Q14" ca="1">IFERROR(INDIRECT("'"&amp;$A14&amp;"'!S6")," ")</f>
        <v xml:space="preserve"> </v>
      </c>
      <c r="R14" s="43" t="str" cm="1">
        <f t="array" aca="1" ref="R14" ca="1">IFERROR(INDIRECT("'"&amp;$A14&amp;"'!S7")," ")</f>
        <v xml:space="preserve"> </v>
      </c>
      <c r="S14" s="43" t="str" cm="1">
        <f t="array" aca="1" ref="S14" ca="1">IFERROR(INDIRECT("'"&amp;$A14&amp;"'!S8")," ")</f>
        <v xml:space="preserve"> </v>
      </c>
      <c r="T14" s="43" t="str" cm="1">
        <f t="array" aca="1" ref="T14" ca="1">IFERROR(INDIRECT("'"&amp;$A14&amp;"'!S9")," ")</f>
        <v xml:space="preserve"> </v>
      </c>
      <c r="U14" s="43" t="str" cm="1">
        <f t="array" aca="1" ref="U14" ca="1">IFERROR(INDIRECT("'"&amp;$A14&amp;"'!S10")," ")</f>
        <v xml:space="preserve"> </v>
      </c>
      <c r="V14" s="43" t="str" cm="1">
        <f t="array" aca="1" ref="V14" ca="1">IFERROR(INDIRECT("'"&amp;$A14&amp;"'!S11")," ")</f>
        <v xml:space="preserve"> </v>
      </c>
      <c r="W14" s="43" t="str" cm="1">
        <f t="array" aca="1" ref="W14" ca="1">IFERROR(INDIRECT("'"&amp;$A14&amp;"'!W5")," ")</f>
        <v xml:space="preserve"> </v>
      </c>
      <c r="X14" s="43" t="str" cm="1">
        <f t="array" aca="1" ref="X14" ca="1">IFERROR(INDIRECT("'"&amp;$A14&amp;"'!s8")," ")</f>
        <v xml:space="preserve"> </v>
      </c>
      <c r="Y14" s="43" t="str" cm="1">
        <f t="array" aca="1" ref="Y14" ca="1">IFERROR(INDIRECT("'"&amp;$A14&amp;"'!U5")," ")</f>
        <v xml:space="preserve"> </v>
      </c>
      <c r="Z14" s="43" t="str" cm="1">
        <f t="array" aca="1" ref="Z14" ca="1">IFERROR(INDIRECT("'"&amp;$A14&amp;"'!U6")," ")</f>
        <v xml:space="preserve"> </v>
      </c>
      <c r="AA14" s="43" t="str" cm="1">
        <f t="array" aca="1" ref="AA14" ca="1">IFERROR(INDIRECT("'"&amp;$A14&amp;"'!U7")," ")</f>
        <v xml:space="preserve"> </v>
      </c>
      <c r="AB14" s="43" t="str" cm="1">
        <f t="array" aca="1" ref="AB14" ca="1">IFERROR(INDIRECT("'"&amp;$A14&amp;"'!U8")," ")</f>
        <v xml:space="preserve"> </v>
      </c>
      <c r="AC14" s="43" t="str" cm="1">
        <f t="array" aca="1" ref="AC14" ca="1">IFERROR(INDIRECT("'"&amp;$A14&amp;"'!s9")," ")</f>
        <v xml:space="preserve"> </v>
      </c>
      <c r="AD14" s="7" t="str" cm="1">
        <f t="array" aca="1" ref="AD14" ca="1">IFERROR(INDIRECT("'"&amp;$A14&amp;"'!F6")," ")</f>
        <v xml:space="preserve"> </v>
      </c>
      <c r="AE14" s="118" t="str" cm="1">
        <f t="array" aca="1" ref="AE14" ca="1">IFERROR(INDIRECT("'"&amp;$A14&amp;"'!L4")," ")</f>
        <v xml:space="preserve"> </v>
      </c>
    </row>
    <row r="15" spans="1:32" ht="15" customHeight="1" x14ac:dyDescent="0.3">
      <c r="B15" s="3" t="str" cm="1">
        <f t="array" aca="1" ref="B15" ca="1">IFERROR(INDIRECT("'"&amp;$A15&amp;"'!A2"),"")</f>
        <v/>
      </c>
      <c r="C15" s="3" t="str" cm="1">
        <f t="array" aca="1" ref="C15" ca="1">IFERROR(INDIRECT("'"&amp;$A15&amp;"'!B5"),"")</f>
        <v/>
      </c>
      <c r="D15" s="9" t="str" cm="1">
        <f t="array" aca="1" ref="D15" ca="1">IFERROR(INDIRECT("'"&amp;$A15&amp;"'!B4"),"")</f>
        <v/>
      </c>
      <c r="E15" s="9" t="str" cm="1">
        <f t="array" aca="1" ref="E15" ca="1">IFERROR(INDIRECT("'"&amp;$A15&amp;"'!B7")," ")</f>
        <v xml:space="preserve"> </v>
      </c>
      <c r="F15" s="122" t="str" cm="1">
        <f t="array" aca="1" ref="F15" ca="1">IFERROR(INDIRECT("'"&amp;$A15&amp;"'!D9")," ")</f>
        <v xml:space="preserve"> </v>
      </c>
      <c r="G15" s="52" t="str" cm="1">
        <f t="array" aca="1" ref="G15" ca="1">IFERROR(INDIRECT("'"&amp;$A15&amp;"'!B9")," ")</f>
        <v xml:space="preserve"> </v>
      </c>
      <c r="H15" s="144" t="str" cm="1">
        <f t="array" aca="1" ref="H15" ca="1">IFERROR(INDIRECT("'"&amp;$A15&amp;"'!D4")," ")</f>
        <v xml:space="preserve"> </v>
      </c>
      <c r="I15" s="5" t="str" cm="1">
        <f t="array" aca="1" ref="I15" ca="1">IFERROR(INDIRECT("'"&amp;$A15&amp;"'!D7")," ")</f>
        <v xml:space="preserve"> </v>
      </c>
      <c r="J15" s="5" t="str" cm="1">
        <f t="array" aca="1" ref="J15" ca="1">IFERROR(INDIRECT("'"&amp;$A15&amp;"'!D8")," ")</f>
        <v xml:space="preserve"> </v>
      </c>
      <c r="K15" s="5" t="str" cm="1">
        <f t="array" aca="1" ref="K15" ca="1">IFERROR(INDIRECT("'"&amp;$A15&amp;"'!D5")," ")</f>
        <v xml:space="preserve"> </v>
      </c>
      <c r="L15" s="54" t="str" cm="1">
        <f t="array" aca="1" ref="L15" ca="1">IFERROR(INDIRECT("'"&amp;$A15&amp;"'!Q10")," ")</f>
        <v xml:space="preserve"> </v>
      </c>
      <c r="M15" s="43" t="str" cm="1">
        <f t="array" aca="1" ref="M15" ca="1">IFERROR(INDIRECT("'"&amp;$A15&amp;"'!Q5")," ")</f>
        <v xml:space="preserve"> </v>
      </c>
      <c r="N15" s="43" t="str" cm="1">
        <f t="array" aca="1" ref="N15" ca="1">IFERROR(INDIRECT("'"&amp;$A15&amp;"'!Q6")," ")</f>
        <v xml:space="preserve"> </v>
      </c>
      <c r="O15" s="43" t="str" cm="1">
        <f t="array" aca="1" ref="O15" ca="1">IFERROR(INDIRECT("'"&amp;$A15&amp;"'!Q7")," ")</f>
        <v xml:space="preserve"> </v>
      </c>
      <c r="P15" s="43" t="str" cm="1">
        <f t="array" aca="1" ref="P15" ca="1">IFERROR(INDIRECT("'"&amp;$A15&amp;"'!S5")," ")</f>
        <v xml:space="preserve"> </v>
      </c>
      <c r="Q15" s="43" t="str" cm="1">
        <f t="array" aca="1" ref="Q15" ca="1">IFERROR(INDIRECT("'"&amp;$A15&amp;"'!S6")," ")</f>
        <v xml:space="preserve"> </v>
      </c>
      <c r="R15" s="43" t="str" cm="1">
        <f t="array" aca="1" ref="R15" ca="1">IFERROR(INDIRECT("'"&amp;$A15&amp;"'!S7")," ")</f>
        <v xml:space="preserve"> </v>
      </c>
      <c r="S15" s="43" t="str" cm="1">
        <f t="array" aca="1" ref="S15" ca="1">IFERROR(INDIRECT("'"&amp;$A15&amp;"'!S8")," ")</f>
        <v xml:space="preserve"> </v>
      </c>
      <c r="T15" s="43" t="str" cm="1">
        <f t="array" aca="1" ref="T15" ca="1">IFERROR(INDIRECT("'"&amp;$A15&amp;"'!S9")," ")</f>
        <v xml:space="preserve"> </v>
      </c>
      <c r="U15" s="43" t="str" cm="1">
        <f t="array" aca="1" ref="U15" ca="1">IFERROR(INDIRECT("'"&amp;$A15&amp;"'!S10")," ")</f>
        <v xml:space="preserve"> </v>
      </c>
      <c r="V15" s="43" t="str" cm="1">
        <f t="array" aca="1" ref="V15" ca="1">IFERROR(INDIRECT("'"&amp;$A15&amp;"'!S11")," ")</f>
        <v xml:space="preserve"> </v>
      </c>
      <c r="W15" s="43" t="str" cm="1">
        <f t="array" aca="1" ref="W15" ca="1">IFERROR(INDIRECT("'"&amp;$A15&amp;"'!W5")," ")</f>
        <v xml:space="preserve"> </v>
      </c>
      <c r="X15" s="43" t="str" cm="1">
        <f t="array" aca="1" ref="X15" ca="1">IFERROR(INDIRECT("'"&amp;$A15&amp;"'!s8")," ")</f>
        <v xml:space="preserve"> </v>
      </c>
      <c r="Y15" s="43" t="str" cm="1">
        <f t="array" aca="1" ref="Y15" ca="1">IFERROR(INDIRECT("'"&amp;$A15&amp;"'!U5")," ")</f>
        <v xml:space="preserve"> </v>
      </c>
      <c r="Z15" s="43" t="str" cm="1">
        <f t="array" aca="1" ref="Z15" ca="1">IFERROR(INDIRECT("'"&amp;$A15&amp;"'!U6")," ")</f>
        <v xml:space="preserve"> </v>
      </c>
      <c r="AA15" s="43" t="str" cm="1">
        <f t="array" aca="1" ref="AA15" ca="1">IFERROR(INDIRECT("'"&amp;$A15&amp;"'!U7")," ")</f>
        <v xml:space="preserve"> </v>
      </c>
      <c r="AB15" s="43" t="str" cm="1">
        <f t="array" aca="1" ref="AB15" ca="1">IFERROR(INDIRECT("'"&amp;$A15&amp;"'!U8")," ")</f>
        <v xml:space="preserve"> </v>
      </c>
      <c r="AC15" s="43" t="str" cm="1">
        <f t="array" aca="1" ref="AC15" ca="1">IFERROR(INDIRECT("'"&amp;$A15&amp;"'!s9")," ")</f>
        <v xml:space="preserve"> </v>
      </c>
      <c r="AD15" s="7" t="str" cm="1">
        <f t="array" aca="1" ref="AD15" ca="1">IFERROR(INDIRECT("'"&amp;$A15&amp;"'!F6")," ")</f>
        <v xml:space="preserve"> </v>
      </c>
      <c r="AE15" s="118" t="str" cm="1">
        <f t="array" aca="1" ref="AE15" ca="1">IFERROR(INDIRECT("'"&amp;$A15&amp;"'!L4")," ")</f>
        <v xml:space="preserve"> </v>
      </c>
    </row>
    <row r="16" spans="1:32" ht="15" customHeight="1" x14ac:dyDescent="0.3">
      <c r="B16" s="3" t="str" cm="1">
        <f t="array" aca="1" ref="B16" ca="1">IFERROR(INDIRECT("'"&amp;$A16&amp;"'!A2"),"")</f>
        <v/>
      </c>
      <c r="C16" s="3" t="str" cm="1">
        <f t="array" aca="1" ref="C16" ca="1">IFERROR(INDIRECT("'"&amp;$A16&amp;"'!B5"),"")</f>
        <v/>
      </c>
      <c r="D16" s="9" t="str" cm="1">
        <f t="array" aca="1" ref="D16" ca="1">IFERROR(INDIRECT("'"&amp;$A16&amp;"'!B4"),"")</f>
        <v/>
      </c>
      <c r="E16" s="9" t="str" cm="1">
        <f t="array" aca="1" ref="E16" ca="1">IFERROR(INDIRECT("'"&amp;$A16&amp;"'!B7")," ")</f>
        <v xml:space="preserve"> </v>
      </c>
      <c r="F16" s="122" t="str" cm="1">
        <f t="array" aca="1" ref="F16" ca="1">IFERROR(INDIRECT("'"&amp;$A16&amp;"'!D9")," ")</f>
        <v xml:space="preserve"> </v>
      </c>
      <c r="G16" s="52" t="str" cm="1">
        <f t="array" aca="1" ref="G16" ca="1">IFERROR(INDIRECT("'"&amp;$A16&amp;"'!B9")," ")</f>
        <v xml:space="preserve"> </v>
      </c>
      <c r="H16" s="70" t="str" cm="1">
        <f t="array" aca="1" ref="H16" ca="1">IFERROR(INDIRECT("'"&amp;$A16&amp;"'!D4")," ")</f>
        <v xml:space="preserve"> </v>
      </c>
      <c r="I16" s="5" t="str" cm="1">
        <f t="array" aca="1" ref="I16" ca="1">IFERROR(INDIRECT("'"&amp;$A16&amp;"'!D7")," ")</f>
        <v xml:space="preserve"> </v>
      </c>
      <c r="J16" s="5" t="str" cm="1">
        <f t="array" aca="1" ref="J16" ca="1">IFERROR(INDIRECT("'"&amp;$A16&amp;"'!D8")," ")</f>
        <v xml:space="preserve"> </v>
      </c>
      <c r="K16" s="5" t="str" cm="1">
        <f t="array" aca="1" ref="K16" ca="1">IFERROR(INDIRECT("'"&amp;$A16&amp;"'!D5")," ")</f>
        <v xml:space="preserve"> </v>
      </c>
      <c r="L16" s="54" t="str" cm="1">
        <f t="array" aca="1" ref="L16" ca="1">IFERROR(INDIRECT("'"&amp;$A16&amp;"'!Q10")," ")</f>
        <v xml:space="preserve"> </v>
      </c>
      <c r="M16" s="43" t="str" cm="1">
        <f t="array" aca="1" ref="M16" ca="1">IFERROR(INDIRECT("'"&amp;$A16&amp;"'!Q5")," ")</f>
        <v xml:space="preserve"> </v>
      </c>
      <c r="N16" s="43" t="str" cm="1">
        <f t="array" aca="1" ref="N16" ca="1">IFERROR(INDIRECT("'"&amp;$A16&amp;"'!Q6")," ")</f>
        <v xml:space="preserve"> </v>
      </c>
      <c r="O16" s="43" t="str" cm="1">
        <f t="array" aca="1" ref="O16" ca="1">IFERROR(INDIRECT("'"&amp;$A16&amp;"'!Q7")," ")</f>
        <v xml:space="preserve"> </v>
      </c>
      <c r="P16" s="43" t="str" cm="1">
        <f t="array" aca="1" ref="P16" ca="1">IFERROR(INDIRECT("'"&amp;$A16&amp;"'!S5")," ")</f>
        <v xml:space="preserve"> </v>
      </c>
      <c r="Q16" s="43" t="str" cm="1">
        <f t="array" aca="1" ref="Q16" ca="1">IFERROR(INDIRECT("'"&amp;$A16&amp;"'!S6")," ")</f>
        <v xml:space="preserve"> </v>
      </c>
      <c r="R16" s="43" t="str" cm="1">
        <f t="array" aca="1" ref="R16" ca="1">IFERROR(INDIRECT("'"&amp;$A16&amp;"'!S7")," ")</f>
        <v xml:space="preserve"> </v>
      </c>
      <c r="S16" s="43" t="str" cm="1">
        <f t="array" aca="1" ref="S16" ca="1">IFERROR(INDIRECT("'"&amp;$A16&amp;"'!S8")," ")</f>
        <v xml:space="preserve"> </v>
      </c>
      <c r="T16" s="43" t="str" cm="1">
        <f t="array" aca="1" ref="T16" ca="1">IFERROR(INDIRECT("'"&amp;$A16&amp;"'!S9")," ")</f>
        <v xml:space="preserve"> </v>
      </c>
      <c r="U16" s="43" t="str" cm="1">
        <f t="array" aca="1" ref="U16" ca="1">IFERROR(INDIRECT("'"&amp;$A16&amp;"'!S10")," ")</f>
        <v xml:space="preserve"> </v>
      </c>
      <c r="V16" s="43" t="str" cm="1">
        <f t="array" aca="1" ref="V16" ca="1">IFERROR(INDIRECT("'"&amp;$A16&amp;"'!S11")," ")</f>
        <v xml:space="preserve"> </v>
      </c>
      <c r="W16" s="43" t="str" cm="1">
        <f t="array" aca="1" ref="W16" ca="1">IFERROR(INDIRECT("'"&amp;$A16&amp;"'!W5")," ")</f>
        <v xml:space="preserve"> </v>
      </c>
      <c r="X16" s="43" t="str" cm="1">
        <f t="array" aca="1" ref="X16" ca="1">IFERROR(INDIRECT("'"&amp;$A16&amp;"'!s8")," ")</f>
        <v xml:space="preserve"> </v>
      </c>
      <c r="Y16" s="43" t="str" cm="1">
        <f t="array" aca="1" ref="Y16" ca="1">IFERROR(INDIRECT("'"&amp;$A16&amp;"'!U5")," ")</f>
        <v xml:space="preserve"> </v>
      </c>
      <c r="Z16" s="43" t="str" cm="1">
        <f t="array" aca="1" ref="Z16" ca="1">IFERROR(INDIRECT("'"&amp;$A16&amp;"'!U6")," ")</f>
        <v xml:space="preserve"> </v>
      </c>
      <c r="AA16" s="43" t="str" cm="1">
        <f t="array" aca="1" ref="AA16" ca="1">IFERROR(INDIRECT("'"&amp;$A16&amp;"'!U7")," ")</f>
        <v xml:space="preserve"> </v>
      </c>
      <c r="AB16" s="43" t="str" cm="1">
        <f t="array" aca="1" ref="AB16" ca="1">IFERROR(INDIRECT("'"&amp;$A16&amp;"'!U8")," ")</f>
        <v xml:space="preserve"> </v>
      </c>
      <c r="AC16" s="43" t="str" cm="1">
        <f t="array" aca="1" ref="AC16" ca="1">IFERROR(INDIRECT("'"&amp;$A16&amp;"'!s9")," ")</f>
        <v xml:space="preserve"> </v>
      </c>
      <c r="AD16" s="7" t="str" cm="1">
        <f t="array" aca="1" ref="AD16" ca="1">IFERROR(INDIRECT("'"&amp;$A16&amp;"'!F6")," ")</f>
        <v xml:space="preserve"> </v>
      </c>
      <c r="AE16" s="118" t="str" cm="1">
        <f t="array" aca="1" ref="AE16" ca="1">IFERROR(INDIRECT("'"&amp;$A16&amp;"'!L4")," ")</f>
        <v xml:space="preserve"> </v>
      </c>
    </row>
    <row r="17" spans="2:31" ht="15" customHeight="1" x14ac:dyDescent="0.3">
      <c r="B17" s="8" t="str" cm="1">
        <f t="array" aca="1" ref="B17" ca="1">IFERROR(INDIRECT("'"&amp;$A17&amp;"'!A2"),"")</f>
        <v/>
      </c>
      <c r="C17" s="8" t="str" cm="1">
        <f t="array" aca="1" ref="C17" ca="1">IFERROR(INDIRECT("'"&amp;$A17&amp;"'!B5"),"")</f>
        <v/>
      </c>
      <c r="D17" s="9" t="str" cm="1">
        <f t="array" aca="1" ref="D17" ca="1">IFERROR(INDIRECT("'"&amp;$A17&amp;"'!B4"),"")</f>
        <v/>
      </c>
      <c r="E17" s="9" t="str" cm="1">
        <f t="array" aca="1" ref="E17" ca="1">IFERROR(INDIRECT("'"&amp;$A17&amp;"'!B7")," ")</f>
        <v xml:space="preserve"> </v>
      </c>
      <c r="F17" s="122" t="str" cm="1">
        <f t="array" aca="1" ref="F17" ca="1">IFERROR(INDIRECT("'"&amp;$A17&amp;"'!D9")," ")</f>
        <v xml:space="preserve"> </v>
      </c>
      <c r="G17" s="52" t="str" cm="1">
        <f t="array" aca="1" ref="G17" ca="1">IFERROR(INDIRECT("'"&amp;$A17&amp;"'!B9")," ")</f>
        <v xml:space="preserve"> </v>
      </c>
      <c r="H17" s="144" t="str" cm="1">
        <f t="array" aca="1" ref="H17" ca="1">IFERROR(INDIRECT("'"&amp;$A17&amp;"'!D4")," ")</f>
        <v xml:space="preserve"> </v>
      </c>
      <c r="I17" s="5" t="str" cm="1">
        <f t="array" aca="1" ref="I17" ca="1">IFERROR(INDIRECT("'"&amp;$A17&amp;"'!D7")," ")</f>
        <v xml:space="preserve"> </v>
      </c>
      <c r="J17" s="5" t="str" cm="1">
        <f t="array" aca="1" ref="J17" ca="1">IFERROR(INDIRECT("'"&amp;$A17&amp;"'!D8")," ")</f>
        <v xml:space="preserve"> </v>
      </c>
      <c r="K17" s="5" t="str" cm="1">
        <f t="array" aca="1" ref="K17" ca="1">IFERROR(INDIRECT("'"&amp;$A17&amp;"'!D5")," ")</f>
        <v xml:space="preserve"> </v>
      </c>
      <c r="L17" s="54" t="str" cm="1">
        <f t="array" aca="1" ref="L17" ca="1">IFERROR(INDIRECT("'"&amp;$A17&amp;"'!Q10")," ")</f>
        <v xml:space="preserve"> </v>
      </c>
      <c r="M17" s="43" t="str" cm="1">
        <f t="array" aca="1" ref="M17" ca="1">IFERROR(INDIRECT("'"&amp;$A17&amp;"'!Q5")," ")</f>
        <v xml:space="preserve"> </v>
      </c>
      <c r="N17" s="43" t="str" cm="1">
        <f t="array" aca="1" ref="N17" ca="1">IFERROR(INDIRECT("'"&amp;$A17&amp;"'!Q6")," ")</f>
        <v xml:space="preserve"> </v>
      </c>
      <c r="O17" s="43" t="str" cm="1">
        <f t="array" aca="1" ref="O17" ca="1">IFERROR(INDIRECT("'"&amp;$A17&amp;"'!Q7")," ")</f>
        <v xml:space="preserve"> </v>
      </c>
      <c r="P17" s="43" t="str" cm="1">
        <f t="array" aca="1" ref="P17" ca="1">IFERROR(INDIRECT("'"&amp;$A17&amp;"'!S5")," ")</f>
        <v xml:space="preserve"> </v>
      </c>
      <c r="Q17" s="43" t="str" cm="1">
        <f t="array" aca="1" ref="Q17" ca="1">IFERROR(INDIRECT("'"&amp;$A17&amp;"'!S6")," ")</f>
        <v xml:space="preserve"> </v>
      </c>
      <c r="R17" s="43" t="str" cm="1">
        <f t="array" aca="1" ref="R17" ca="1">IFERROR(INDIRECT("'"&amp;$A17&amp;"'!S7")," ")</f>
        <v xml:space="preserve"> </v>
      </c>
      <c r="S17" s="43" t="str" cm="1">
        <f t="array" aca="1" ref="S17" ca="1">IFERROR(INDIRECT("'"&amp;$A17&amp;"'!S8")," ")</f>
        <v xml:space="preserve"> </v>
      </c>
      <c r="T17" s="43" t="str" cm="1">
        <f t="array" aca="1" ref="T17" ca="1">IFERROR(INDIRECT("'"&amp;$A17&amp;"'!S9")," ")</f>
        <v xml:space="preserve"> </v>
      </c>
      <c r="U17" s="43" t="str" cm="1">
        <f t="array" aca="1" ref="U17" ca="1">IFERROR(INDIRECT("'"&amp;$A17&amp;"'!S10")," ")</f>
        <v xml:space="preserve"> </v>
      </c>
      <c r="V17" s="43" t="str" cm="1">
        <f t="array" aca="1" ref="V17" ca="1">IFERROR(INDIRECT("'"&amp;$A17&amp;"'!S11")," ")</f>
        <v xml:space="preserve"> </v>
      </c>
      <c r="W17" s="43" t="str" cm="1">
        <f t="array" aca="1" ref="W17" ca="1">IFERROR(INDIRECT("'"&amp;$A17&amp;"'!W5")," ")</f>
        <v xml:space="preserve"> </v>
      </c>
      <c r="X17" s="43" t="str" cm="1">
        <f t="array" aca="1" ref="X17" ca="1">IFERROR(INDIRECT("'"&amp;$A17&amp;"'!s8")," ")</f>
        <v xml:space="preserve"> </v>
      </c>
      <c r="Y17" s="43" t="str" cm="1">
        <f t="array" aca="1" ref="Y17" ca="1">IFERROR(INDIRECT("'"&amp;$A17&amp;"'!U5")," ")</f>
        <v xml:space="preserve"> </v>
      </c>
      <c r="Z17" s="43" t="str" cm="1">
        <f t="array" aca="1" ref="Z17" ca="1">IFERROR(INDIRECT("'"&amp;$A17&amp;"'!U6")," ")</f>
        <v xml:space="preserve"> </v>
      </c>
      <c r="AA17" s="43" t="str" cm="1">
        <f t="array" aca="1" ref="AA17" ca="1">IFERROR(INDIRECT("'"&amp;$A17&amp;"'!U7")," ")</f>
        <v xml:space="preserve"> </v>
      </c>
      <c r="AB17" s="43" t="str" cm="1">
        <f t="array" aca="1" ref="AB17" ca="1">IFERROR(INDIRECT("'"&amp;$A17&amp;"'!U8")," ")</f>
        <v xml:space="preserve"> </v>
      </c>
      <c r="AC17" s="43" t="str" cm="1">
        <f t="array" aca="1" ref="AC17" ca="1">IFERROR(INDIRECT("'"&amp;$A17&amp;"'!s9")," ")</f>
        <v xml:space="preserve"> </v>
      </c>
      <c r="AD17" s="7" t="str" cm="1">
        <f t="array" aca="1" ref="AD17" ca="1">IFERROR(INDIRECT("'"&amp;$A17&amp;"'!F6")," ")</f>
        <v xml:space="preserve"> </v>
      </c>
      <c r="AE17" s="118" t="str" cm="1">
        <f t="array" aca="1" ref="AE17" ca="1">IFERROR(INDIRECT("'"&amp;$A17&amp;"'!L4")," ")</f>
        <v xml:space="preserve"> </v>
      </c>
    </row>
    <row r="18" spans="2:31" ht="15" customHeight="1" x14ac:dyDescent="0.3">
      <c r="B18" s="8" t="str" cm="1">
        <f t="array" aca="1" ref="B18" ca="1">IFERROR(INDIRECT("'"&amp;$A18&amp;"'!A2"),"")</f>
        <v/>
      </c>
      <c r="C18" s="8" t="str" cm="1">
        <f t="array" aca="1" ref="C18" ca="1">IFERROR(INDIRECT("'"&amp;$A18&amp;"'!B5"),"")</f>
        <v/>
      </c>
      <c r="D18" s="9" t="str" cm="1">
        <f t="array" aca="1" ref="D18" ca="1">IFERROR(INDIRECT("'"&amp;$A18&amp;"'!B4"),"")</f>
        <v/>
      </c>
      <c r="E18" s="9" t="str" cm="1">
        <f t="array" aca="1" ref="E18" ca="1">IFERROR(INDIRECT("'"&amp;$A18&amp;"'!B7")," ")</f>
        <v xml:space="preserve"> </v>
      </c>
      <c r="F18" s="122" t="str" cm="1">
        <f t="array" aca="1" ref="F18" ca="1">IFERROR(INDIRECT("'"&amp;$A18&amp;"'!D9")," ")</f>
        <v xml:space="preserve"> </v>
      </c>
      <c r="G18" s="52" t="str" cm="1">
        <f t="array" aca="1" ref="G18" ca="1">IFERROR(INDIRECT("'"&amp;$A18&amp;"'!B9")," ")</f>
        <v xml:space="preserve"> </v>
      </c>
      <c r="H18" s="144" t="str" cm="1">
        <f t="array" aca="1" ref="H18" ca="1">IFERROR(INDIRECT("'"&amp;$A18&amp;"'!D4")," ")</f>
        <v xml:space="preserve"> </v>
      </c>
      <c r="I18" s="5" t="str" cm="1">
        <f t="array" aca="1" ref="I18" ca="1">IFERROR(INDIRECT("'"&amp;$A18&amp;"'!D7")," ")</f>
        <v xml:space="preserve"> </v>
      </c>
      <c r="J18" s="5" t="str" cm="1">
        <f t="array" aca="1" ref="J18" ca="1">IFERROR(INDIRECT("'"&amp;$A18&amp;"'!D8")," ")</f>
        <v xml:space="preserve"> </v>
      </c>
      <c r="K18" s="5" t="str" cm="1">
        <f t="array" aca="1" ref="K18" ca="1">IFERROR(INDIRECT("'"&amp;$A18&amp;"'!D5")," ")</f>
        <v xml:space="preserve"> </v>
      </c>
      <c r="L18" s="54" t="str" cm="1">
        <f t="array" aca="1" ref="L18" ca="1">IFERROR(INDIRECT("'"&amp;$A18&amp;"'!Q10")," ")</f>
        <v xml:space="preserve"> </v>
      </c>
      <c r="M18" s="43" t="str" cm="1">
        <f t="array" aca="1" ref="M18" ca="1">IFERROR(INDIRECT("'"&amp;$A18&amp;"'!Q5")," ")</f>
        <v xml:space="preserve"> </v>
      </c>
      <c r="N18" s="43" t="str" cm="1">
        <f t="array" aca="1" ref="N18" ca="1">IFERROR(INDIRECT("'"&amp;$A18&amp;"'!Q6")," ")</f>
        <v xml:space="preserve"> </v>
      </c>
      <c r="O18" s="43" t="str" cm="1">
        <f t="array" aca="1" ref="O18" ca="1">IFERROR(INDIRECT("'"&amp;$A18&amp;"'!Q7")," ")</f>
        <v xml:space="preserve"> </v>
      </c>
      <c r="P18" s="43" t="str" cm="1">
        <f t="array" aca="1" ref="P18" ca="1">IFERROR(INDIRECT("'"&amp;$A18&amp;"'!S5")," ")</f>
        <v xml:space="preserve"> </v>
      </c>
      <c r="Q18" s="43" t="str" cm="1">
        <f t="array" aca="1" ref="Q18" ca="1">IFERROR(INDIRECT("'"&amp;$A18&amp;"'!S6")," ")</f>
        <v xml:space="preserve"> </v>
      </c>
      <c r="R18" s="43" t="str" cm="1">
        <f t="array" aca="1" ref="R18" ca="1">IFERROR(INDIRECT("'"&amp;$A18&amp;"'!S7")," ")</f>
        <v xml:space="preserve"> </v>
      </c>
      <c r="S18" s="43" t="str" cm="1">
        <f t="array" aca="1" ref="S18" ca="1">IFERROR(INDIRECT("'"&amp;$A18&amp;"'!S8")," ")</f>
        <v xml:space="preserve"> </v>
      </c>
      <c r="T18" s="43" t="str" cm="1">
        <f t="array" aca="1" ref="T18" ca="1">IFERROR(INDIRECT("'"&amp;$A18&amp;"'!S9")," ")</f>
        <v xml:space="preserve"> </v>
      </c>
      <c r="U18" s="43" t="str" cm="1">
        <f t="array" aca="1" ref="U18" ca="1">IFERROR(INDIRECT("'"&amp;$A18&amp;"'!S10")," ")</f>
        <v xml:space="preserve"> </v>
      </c>
      <c r="V18" s="43" t="str" cm="1">
        <f t="array" aca="1" ref="V18" ca="1">IFERROR(INDIRECT("'"&amp;$A18&amp;"'!S11")," ")</f>
        <v xml:space="preserve"> </v>
      </c>
      <c r="W18" s="43" t="str" cm="1">
        <f t="array" aca="1" ref="W18" ca="1">IFERROR(INDIRECT("'"&amp;$A18&amp;"'!W5")," ")</f>
        <v xml:space="preserve"> </v>
      </c>
      <c r="X18" s="43" t="str" cm="1">
        <f t="array" aca="1" ref="X18" ca="1">IFERROR(INDIRECT("'"&amp;$A18&amp;"'!s8")," ")</f>
        <v xml:space="preserve"> </v>
      </c>
      <c r="Y18" s="43" t="str" cm="1">
        <f t="array" aca="1" ref="Y18" ca="1">IFERROR(INDIRECT("'"&amp;$A18&amp;"'!U5")," ")</f>
        <v xml:space="preserve"> </v>
      </c>
      <c r="Z18" s="43" t="str" cm="1">
        <f t="array" aca="1" ref="Z18" ca="1">IFERROR(INDIRECT("'"&amp;$A18&amp;"'!U6")," ")</f>
        <v xml:space="preserve"> </v>
      </c>
      <c r="AA18" s="43" t="str" cm="1">
        <f t="array" aca="1" ref="AA18" ca="1">IFERROR(INDIRECT("'"&amp;$A18&amp;"'!U7")," ")</f>
        <v xml:space="preserve"> </v>
      </c>
      <c r="AB18" s="43" t="str" cm="1">
        <f t="array" aca="1" ref="AB18" ca="1">IFERROR(INDIRECT("'"&amp;$A18&amp;"'!U8")," ")</f>
        <v xml:space="preserve"> </v>
      </c>
      <c r="AC18" s="43" t="str" cm="1">
        <f t="array" aca="1" ref="AC18" ca="1">IFERROR(INDIRECT("'"&amp;$A18&amp;"'!s9")," ")</f>
        <v xml:space="preserve"> </v>
      </c>
      <c r="AD18" s="7" t="str" cm="1">
        <f t="array" aca="1" ref="AD18" ca="1">IFERROR(INDIRECT("'"&amp;$A18&amp;"'!F6")," ")</f>
        <v xml:space="preserve"> </v>
      </c>
      <c r="AE18" s="118" t="str" cm="1">
        <f t="array" aca="1" ref="AE18" ca="1">IFERROR(INDIRECT("'"&amp;$A18&amp;"'!L4")," ")</f>
        <v xml:space="preserve"> </v>
      </c>
    </row>
    <row r="19" spans="2:31" ht="15" customHeight="1" x14ac:dyDescent="0.3">
      <c r="B19" s="8" t="str" cm="1">
        <f t="array" aca="1" ref="B19" ca="1">IFERROR(INDIRECT("'"&amp;$A19&amp;"'!A2"),"")</f>
        <v/>
      </c>
      <c r="C19" s="8" t="str" cm="1">
        <f t="array" aca="1" ref="C19" ca="1">IFERROR(INDIRECT("'"&amp;$A19&amp;"'!B5"),"")</f>
        <v/>
      </c>
      <c r="D19" s="9" t="str" cm="1">
        <f t="array" aca="1" ref="D19" ca="1">IFERROR(INDIRECT("'"&amp;$A19&amp;"'!B4"),"")</f>
        <v/>
      </c>
      <c r="E19" s="9" t="str" cm="1">
        <f t="array" aca="1" ref="E19" ca="1">IFERROR(INDIRECT("'"&amp;$A19&amp;"'!B7")," ")</f>
        <v xml:space="preserve"> </v>
      </c>
      <c r="F19" s="122" t="str" cm="1">
        <f t="array" aca="1" ref="F19" ca="1">IFERROR(INDIRECT("'"&amp;$A19&amp;"'!D9")," ")</f>
        <v xml:space="preserve"> </v>
      </c>
      <c r="G19" s="52" t="str" cm="1">
        <f t="array" aca="1" ref="G19" ca="1">IFERROR(INDIRECT("'"&amp;$A19&amp;"'!B9")," ")</f>
        <v xml:space="preserve"> </v>
      </c>
      <c r="H19" s="144" t="str" cm="1">
        <f t="array" aca="1" ref="H19" ca="1">IFERROR(INDIRECT("'"&amp;$A19&amp;"'!D4")," ")</f>
        <v xml:space="preserve"> </v>
      </c>
      <c r="I19" s="5" t="str" cm="1">
        <f t="array" aca="1" ref="I19" ca="1">IFERROR(INDIRECT("'"&amp;$A19&amp;"'!D7")," ")</f>
        <v xml:space="preserve"> </v>
      </c>
      <c r="J19" s="5" t="str" cm="1">
        <f t="array" aca="1" ref="J19" ca="1">IFERROR(INDIRECT("'"&amp;$A19&amp;"'!D8")," ")</f>
        <v xml:space="preserve"> </v>
      </c>
      <c r="K19" s="5" t="str" cm="1">
        <f t="array" aca="1" ref="K19" ca="1">IFERROR(INDIRECT("'"&amp;$A19&amp;"'!D5")," ")</f>
        <v xml:space="preserve"> </v>
      </c>
      <c r="L19" s="54" t="str" cm="1">
        <f t="array" aca="1" ref="L19" ca="1">IFERROR(INDIRECT("'"&amp;$A19&amp;"'!Q10")," ")</f>
        <v xml:space="preserve"> </v>
      </c>
      <c r="M19" s="43" t="str" cm="1">
        <f t="array" aca="1" ref="M19" ca="1">IFERROR(INDIRECT("'"&amp;$A19&amp;"'!Q5")," ")</f>
        <v xml:space="preserve"> </v>
      </c>
      <c r="N19" s="43" t="str" cm="1">
        <f t="array" aca="1" ref="N19" ca="1">IFERROR(INDIRECT("'"&amp;$A19&amp;"'!Q6")," ")</f>
        <v xml:space="preserve"> </v>
      </c>
      <c r="O19" s="43" t="str" cm="1">
        <f t="array" aca="1" ref="O19" ca="1">IFERROR(INDIRECT("'"&amp;$A19&amp;"'!Q7")," ")</f>
        <v xml:space="preserve"> </v>
      </c>
      <c r="P19" s="43" t="str" cm="1">
        <f t="array" aca="1" ref="P19" ca="1">IFERROR(INDIRECT("'"&amp;$A19&amp;"'!S5")," ")</f>
        <v xml:space="preserve"> </v>
      </c>
      <c r="Q19" s="43" t="str" cm="1">
        <f t="array" aca="1" ref="Q19" ca="1">IFERROR(INDIRECT("'"&amp;$A19&amp;"'!S6")," ")</f>
        <v xml:space="preserve"> </v>
      </c>
      <c r="R19" s="43" t="str" cm="1">
        <f t="array" aca="1" ref="R19" ca="1">IFERROR(INDIRECT("'"&amp;$A19&amp;"'!S7")," ")</f>
        <v xml:space="preserve"> </v>
      </c>
      <c r="S19" s="43" t="str" cm="1">
        <f t="array" aca="1" ref="S19" ca="1">IFERROR(INDIRECT("'"&amp;$A19&amp;"'!S8")," ")</f>
        <v xml:space="preserve"> </v>
      </c>
      <c r="T19" s="43" t="str" cm="1">
        <f t="array" aca="1" ref="T19" ca="1">IFERROR(INDIRECT("'"&amp;$A19&amp;"'!S9")," ")</f>
        <v xml:space="preserve"> </v>
      </c>
      <c r="U19" s="43" t="str" cm="1">
        <f t="array" aca="1" ref="U19" ca="1">IFERROR(INDIRECT("'"&amp;$A19&amp;"'!S10")," ")</f>
        <v xml:space="preserve"> </v>
      </c>
      <c r="V19" s="43" t="str" cm="1">
        <f t="array" aca="1" ref="V19" ca="1">IFERROR(INDIRECT("'"&amp;$A19&amp;"'!S11")," ")</f>
        <v xml:space="preserve"> </v>
      </c>
      <c r="W19" s="43" t="str" cm="1">
        <f t="array" aca="1" ref="W19" ca="1">IFERROR(INDIRECT("'"&amp;$A19&amp;"'!W5")," ")</f>
        <v xml:space="preserve"> </v>
      </c>
      <c r="X19" s="43" t="str" cm="1">
        <f t="array" aca="1" ref="X19" ca="1">IFERROR(INDIRECT("'"&amp;$A19&amp;"'!s8")," ")</f>
        <v xml:space="preserve"> </v>
      </c>
      <c r="Y19" s="43" t="str" cm="1">
        <f t="array" aca="1" ref="Y19" ca="1">IFERROR(INDIRECT("'"&amp;$A19&amp;"'!U5")," ")</f>
        <v xml:space="preserve"> </v>
      </c>
      <c r="Z19" s="43" t="str" cm="1">
        <f t="array" aca="1" ref="Z19" ca="1">IFERROR(INDIRECT("'"&amp;$A19&amp;"'!U6")," ")</f>
        <v xml:space="preserve"> </v>
      </c>
      <c r="AA19" s="43" t="str" cm="1">
        <f t="array" aca="1" ref="AA19" ca="1">IFERROR(INDIRECT("'"&amp;$A19&amp;"'!U7")," ")</f>
        <v xml:space="preserve"> </v>
      </c>
      <c r="AB19" s="43" t="str" cm="1">
        <f t="array" aca="1" ref="AB19" ca="1">IFERROR(INDIRECT("'"&amp;$A19&amp;"'!U8")," ")</f>
        <v xml:space="preserve"> </v>
      </c>
      <c r="AC19" s="43" t="str" cm="1">
        <f t="array" aca="1" ref="AC19" ca="1">IFERROR(INDIRECT("'"&amp;$A19&amp;"'!s9")," ")</f>
        <v xml:space="preserve"> </v>
      </c>
      <c r="AD19" s="7" t="str" cm="1">
        <f t="array" aca="1" ref="AD19" ca="1">IFERROR(INDIRECT("'"&amp;$A19&amp;"'!F6")," ")</f>
        <v xml:space="preserve"> </v>
      </c>
      <c r="AE19" s="118" t="str" cm="1">
        <f t="array" aca="1" ref="AE19" ca="1">IFERROR(INDIRECT("'"&amp;$A19&amp;"'!L4")," ")</f>
        <v xml:space="preserve"> </v>
      </c>
    </row>
    <row r="20" spans="2:31" ht="15" customHeight="1" x14ac:dyDescent="0.3">
      <c r="B20" s="8" t="str" cm="1">
        <f t="array" aca="1" ref="B20" ca="1">IFERROR(INDIRECT("'"&amp;$A20&amp;"'!A2"),"")</f>
        <v/>
      </c>
      <c r="C20" s="8" t="str" cm="1">
        <f t="array" aca="1" ref="C20" ca="1">IFERROR(INDIRECT("'"&amp;$A20&amp;"'!B5"),"")</f>
        <v/>
      </c>
      <c r="D20" s="9" t="str" cm="1">
        <f t="array" aca="1" ref="D20" ca="1">IFERROR(INDIRECT("'"&amp;$A20&amp;"'!B4"),"")</f>
        <v/>
      </c>
      <c r="E20" s="9" t="str" cm="1">
        <f t="array" aca="1" ref="E20" ca="1">IFERROR(INDIRECT("'"&amp;$A20&amp;"'!B7")," ")</f>
        <v xml:space="preserve"> </v>
      </c>
      <c r="F20" s="122" t="str" cm="1">
        <f t="array" aca="1" ref="F20" ca="1">IFERROR(INDIRECT("'"&amp;$A20&amp;"'!D9")," ")</f>
        <v xml:space="preserve"> </v>
      </c>
      <c r="G20" s="52" t="str" cm="1">
        <f t="array" aca="1" ref="G20" ca="1">IFERROR(INDIRECT("'"&amp;$A20&amp;"'!B9")," ")</f>
        <v xml:space="preserve"> </v>
      </c>
      <c r="H20" s="144" t="str" cm="1">
        <f t="array" aca="1" ref="H20" ca="1">IFERROR(INDIRECT("'"&amp;$A20&amp;"'!D4")," ")</f>
        <v xml:space="preserve"> </v>
      </c>
      <c r="I20" s="5" t="str" cm="1">
        <f t="array" aca="1" ref="I20" ca="1">IFERROR(INDIRECT("'"&amp;$A20&amp;"'!D7")," ")</f>
        <v xml:space="preserve"> </v>
      </c>
      <c r="J20" s="5" t="str" cm="1">
        <f t="array" aca="1" ref="J20" ca="1">IFERROR(INDIRECT("'"&amp;$A20&amp;"'!D8")," ")</f>
        <v xml:space="preserve"> </v>
      </c>
      <c r="K20" s="5" t="str" cm="1">
        <f t="array" aca="1" ref="K20" ca="1">IFERROR(INDIRECT("'"&amp;$A20&amp;"'!D5")," ")</f>
        <v xml:space="preserve"> </v>
      </c>
      <c r="L20" s="54" t="str" cm="1">
        <f t="array" aca="1" ref="L20" ca="1">IFERROR(INDIRECT("'"&amp;$A20&amp;"'!Q10")," ")</f>
        <v xml:space="preserve"> </v>
      </c>
      <c r="M20" s="43" t="str" cm="1">
        <f t="array" aca="1" ref="M20" ca="1">IFERROR(INDIRECT("'"&amp;$A20&amp;"'!Q5")," ")</f>
        <v xml:space="preserve"> </v>
      </c>
      <c r="N20" s="43" t="str" cm="1">
        <f t="array" aca="1" ref="N20" ca="1">IFERROR(INDIRECT("'"&amp;$A20&amp;"'!Q6")," ")</f>
        <v xml:space="preserve"> </v>
      </c>
      <c r="O20" s="43" t="str" cm="1">
        <f t="array" aca="1" ref="O20" ca="1">IFERROR(INDIRECT("'"&amp;$A20&amp;"'!Q7")," ")</f>
        <v xml:space="preserve"> </v>
      </c>
      <c r="P20" s="43" t="str" cm="1">
        <f t="array" aca="1" ref="P20" ca="1">IFERROR(INDIRECT("'"&amp;$A20&amp;"'!S5")," ")</f>
        <v xml:space="preserve"> </v>
      </c>
      <c r="Q20" s="43" t="str" cm="1">
        <f t="array" aca="1" ref="Q20" ca="1">IFERROR(INDIRECT("'"&amp;$A20&amp;"'!S6")," ")</f>
        <v xml:space="preserve"> </v>
      </c>
      <c r="R20" s="43" t="str" cm="1">
        <f t="array" aca="1" ref="R20" ca="1">IFERROR(INDIRECT("'"&amp;$A20&amp;"'!S7")," ")</f>
        <v xml:space="preserve"> </v>
      </c>
      <c r="S20" s="43" t="str" cm="1">
        <f t="array" aca="1" ref="S20" ca="1">IFERROR(INDIRECT("'"&amp;$A20&amp;"'!S8")," ")</f>
        <v xml:space="preserve"> </v>
      </c>
      <c r="T20" s="43" t="str" cm="1">
        <f t="array" aca="1" ref="T20" ca="1">IFERROR(INDIRECT("'"&amp;$A20&amp;"'!S9")," ")</f>
        <v xml:space="preserve"> </v>
      </c>
      <c r="U20" s="43" t="str" cm="1">
        <f t="array" aca="1" ref="U20" ca="1">IFERROR(INDIRECT("'"&amp;$A20&amp;"'!S10")," ")</f>
        <v xml:space="preserve"> </v>
      </c>
      <c r="V20" s="43" t="str" cm="1">
        <f t="array" aca="1" ref="V20" ca="1">IFERROR(INDIRECT("'"&amp;$A20&amp;"'!S11")," ")</f>
        <v xml:space="preserve"> </v>
      </c>
      <c r="W20" s="43" t="str" cm="1">
        <f t="array" aca="1" ref="W20" ca="1">IFERROR(INDIRECT("'"&amp;$A20&amp;"'!W5")," ")</f>
        <v xml:space="preserve"> </v>
      </c>
      <c r="X20" s="43" t="str" cm="1">
        <f t="array" aca="1" ref="X20" ca="1">IFERROR(INDIRECT("'"&amp;$A20&amp;"'!s8")," ")</f>
        <v xml:space="preserve"> </v>
      </c>
      <c r="Y20" s="43" t="str" cm="1">
        <f t="array" aca="1" ref="Y20" ca="1">IFERROR(INDIRECT("'"&amp;$A20&amp;"'!U5")," ")</f>
        <v xml:space="preserve"> </v>
      </c>
      <c r="Z20" s="43" t="str" cm="1">
        <f t="array" aca="1" ref="Z20" ca="1">IFERROR(INDIRECT("'"&amp;$A20&amp;"'!U6")," ")</f>
        <v xml:space="preserve"> </v>
      </c>
      <c r="AA20" s="43" t="str" cm="1">
        <f t="array" aca="1" ref="AA20" ca="1">IFERROR(INDIRECT("'"&amp;$A20&amp;"'!U7")," ")</f>
        <v xml:space="preserve"> </v>
      </c>
      <c r="AB20" s="43" t="str" cm="1">
        <f t="array" aca="1" ref="AB20" ca="1">IFERROR(INDIRECT("'"&amp;$A20&amp;"'!U8")," ")</f>
        <v xml:space="preserve"> </v>
      </c>
      <c r="AC20" s="43" t="str" cm="1">
        <f t="array" aca="1" ref="AC20" ca="1">IFERROR(INDIRECT("'"&amp;$A20&amp;"'!s9")," ")</f>
        <v xml:space="preserve"> </v>
      </c>
      <c r="AD20" s="7" t="str" cm="1">
        <f t="array" aca="1" ref="AD20" ca="1">IFERROR(INDIRECT("'"&amp;$A20&amp;"'!F6")," ")</f>
        <v xml:space="preserve"> </v>
      </c>
      <c r="AE20" s="118" t="str" cm="1">
        <f t="array" aca="1" ref="AE20" ca="1">IFERROR(INDIRECT("'"&amp;$A20&amp;"'!L4")," ")</f>
        <v xml:space="preserve"> </v>
      </c>
    </row>
    <row r="21" spans="2:31" ht="15" customHeight="1" x14ac:dyDescent="0.3">
      <c r="B21" s="8" t="str" cm="1">
        <f t="array" aca="1" ref="B21" ca="1">IFERROR(INDIRECT("'"&amp;$A21&amp;"'!A2"),"")</f>
        <v/>
      </c>
      <c r="C21" s="8" t="str" cm="1">
        <f t="array" aca="1" ref="C21" ca="1">IFERROR(INDIRECT("'"&amp;$A21&amp;"'!B5"),"")</f>
        <v/>
      </c>
      <c r="D21" s="9" t="str" cm="1">
        <f t="array" aca="1" ref="D21" ca="1">IFERROR(INDIRECT("'"&amp;$A21&amp;"'!B4"),"")</f>
        <v/>
      </c>
      <c r="E21" s="9" t="str" cm="1">
        <f t="array" aca="1" ref="E21" ca="1">IFERROR(INDIRECT("'"&amp;$A21&amp;"'!B7")," ")</f>
        <v xml:space="preserve"> </v>
      </c>
      <c r="F21" s="122" t="str" cm="1">
        <f t="array" aca="1" ref="F21" ca="1">IFERROR(INDIRECT("'"&amp;$A21&amp;"'!D9")," ")</f>
        <v xml:space="preserve"> </v>
      </c>
      <c r="G21" s="52" t="str" cm="1">
        <f t="array" aca="1" ref="G21" ca="1">IFERROR(INDIRECT("'"&amp;$A21&amp;"'!B9")," ")</f>
        <v xml:space="preserve"> </v>
      </c>
      <c r="H21" s="144" t="str" cm="1">
        <f t="array" aca="1" ref="H21" ca="1">IFERROR(INDIRECT("'"&amp;$A21&amp;"'!D4")," ")</f>
        <v xml:space="preserve"> </v>
      </c>
      <c r="I21" s="5" t="str" cm="1">
        <f t="array" aca="1" ref="I21" ca="1">IFERROR(INDIRECT("'"&amp;$A21&amp;"'!D7")," ")</f>
        <v xml:space="preserve"> </v>
      </c>
      <c r="J21" s="5" t="str" cm="1">
        <f t="array" aca="1" ref="J21" ca="1">IFERROR(INDIRECT("'"&amp;$A21&amp;"'!D8")," ")</f>
        <v xml:space="preserve"> </v>
      </c>
      <c r="K21" s="5" t="str" cm="1">
        <f t="array" aca="1" ref="K21" ca="1">IFERROR(INDIRECT("'"&amp;$A21&amp;"'!D5")," ")</f>
        <v xml:space="preserve"> </v>
      </c>
      <c r="L21" s="54" t="str" cm="1">
        <f t="array" aca="1" ref="L21" ca="1">IFERROR(INDIRECT("'"&amp;$A21&amp;"'!Q10")," ")</f>
        <v xml:space="preserve"> </v>
      </c>
      <c r="M21" s="43" t="str" cm="1">
        <f t="array" aca="1" ref="M21" ca="1">IFERROR(INDIRECT("'"&amp;$A21&amp;"'!Q5")," ")</f>
        <v xml:space="preserve"> </v>
      </c>
      <c r="N21" s="43" t="str" cm="1">
        <f t="array" aca="1" ref="N21" ca="1">IFERROR(INDIRECT("'"&amp;$A21&amp;"'!Q6")," ")</f>
        <v xml:space="preserve"> </v>
      </c>
      <c r="O21" s="43" t="str" cm="1">
        <f t="array" aca="1" ref="O21" ca="1">IFERROR(INDIRECT("'"&amp;$A21&amp;"'!Q7")," ")</f>
        <v xml:space="preserve"> </v>
      </c>
      <c r="P21" s="43" t="str" cm="1">
        <f t="array" aca="1" ref="P21" ca="1">IFERROR(INDIRECT("'"&amp;$A21&amp;"'!S5")," ")</f>
        <v xml:space="preserve"> </v>
      </c>
      <c r="Q21" s="43" t="str" cm="1">
        <f t="array" aca="1" ref="Q21" ca="1">IFERROR(INDIRECT("'"&amp;$A21&amp;"'!S6")," ")</f>
        <v xml:space="preserve"> </v>
      </c>
      <c r="R21" s="43" t="str" cm="1">
        <f t="array" aca="1" ref="R21" ca="1">IFERROR(INDIRECT("'"&amp;$A21&amp;"'!S7")," ")</f>
        <v xml:space="preserve"> </v>
      </c>
      <c r="S21" s="43" t="str" cm="1">
        <f t="array" aca="1" ref="S21" ca="1">IFERROR(INDIRECT("'"&amp;$A21&amp;"'!S8")," ")</f>
        <v xml:space="preserve"> </v>
      </c>
      <c r="T21" s="43" t="str" cm="1">
        <f t="array" aca="1" ref="T21" ca="1">IFERROR(INDIRECT("'"&amp;$A21&amp;"'!S9")," ")</f>
        <v xml:space="preserve"> </v>
      </c>
      <c r="U21" s="43" t="str" cm="1">
        <f t="array" aca="1" ref="U21" ca="1">IFERROR(INDIRECT("'"&amp;$A21&amp;"'!S10")," ")</f>
        <v xml:space="preserve"> </v>
      </c>
      <c r="V21" s="43" t="str" cm="1">
        <f t="array" aca="1" ref="V21" ca="1">IFERROR(INDIRECT("'"&amp;$A21&amp;"'!S11")," ")</f>
        <v xml:space="preserve"> </v>
      </c>
      <c r="W21" s="43" t="str" cm="1">
        <f t="array" aca="1" ref="W21" ca="1">IFERROR(INDIRECT("'"&amp;$A21&amp;"'!W5")," ")</f>
        <v xml:space="preserve"> </v>
      </c>
      <c r="X21" s="43" t="str" cm="1">
        <f t="array" aca="1" ref="X21" ca="1">IFERROR(INDIRECT("'"&amp;$A21&amp;"'!s8")," ")</f>
        <v xml:space="preserve"> </v>
      </c>
      <c r="Y21" s="43" t="str" cm="1">
        <f t="array" aca="1" ref="Y21" ca="1">IFERROR(INDIRECT("'"&amp;$A21&amp;"'!U5")," ")</f>
        <v xml:space="preserve"> </v>
      </c>
      <c r="Z21" s="43" t="str" cm="1">
        <f t="array" aca="1" ref="Z21" ca="1">IFERROR(INDIRECT("'"&amp;$A21&amp;"'!U6")," ")</f>
        <v xml:space="preserve"> </v>
      </c>
      <c r="AA21" s="43" t="str" cm="1">
        <f t="array" aca="1" ref="AA21" ca="1">IFERROR(INDIRECT("'"&amp;$A21&amp;"'!U7")," ")</f>
        <v xml:space="preserve"> </v>
      </c>
      <c r="AB21" s="43" t="str" cm="1">
        <f t="array" aca="1" ref="AB21" ca="1">IFERROR(INDIRECT("'"&amp;$A21&amp;"'!U8")," ")</f>
        <v xml:space="preserve"> </v>
      </c>
      <c r="AC21" s="43" t="str" cm="1">
        <f t="array" aca="1" ref="AC21" ca="1">IFERROR(INDIRECT("'"&amp;$A21&amp;"'!s9")," ")</f>
        <v xml:space="preserve"> </v>
      </c>
      <c r="AD21" s="7" t="str" cm="1">
        <f t="array" aca="1" ref="AD21" ca="1">IFERROR(INDIRECT("'"&amp;$A21&amp;"'!F6")," ")</f>
        <v xml:space="preserve"> </v>
      </c>
      <c r="AE21" s="118" t="str" cm="1">
        <f t="array" aca="1" ref="AE21" ca="1">IFERROR(INDIRECT("'"&amp;$A21&amp;"'!L4")," ")</f>
        <v xml:space="preserve"> </v>
      </c>
    </row>
    <row r="22" spans="2:31" ht="15" customHeight="1" x14ac:dyDescent="0.3">
      <c r="B22" s="8" t="str" cm="1">
        <f t="array" aca="1" ref="B22" ca="1">IFERROR(INDIRECT("'"&amp;$A22&amp;"'!A2"),"")</f>
        <v/>
      </c>
      <c r="C22" s="8" t="str" cm="1">
        <f t="array" aca="1" ref="C22" ca="1">IFERROR(INDIRECT("'"&amp;$A22&amp;"'!B5"),"")</f>
        <v/>
      </c>
      <c r="D22" s="9" t="str" cm="1">
        <f t="array" aca="1" ref="D22" ca="1">IFERROR(INDIRECT("'"&amp;$A22&amp;"'!B4"),"")</f>
        <v/>
      </c>
      <c r="E22" s="9" t="str" cm="1">
        <f t="array" aca="1" ref="E22" ca="1">IFERROR(INDIRECT("'"&amp;$A22&amp;"'!B7")," ")</f>
        <v xml:space="preserve"> </v>
      </c>
      <c r="F22" s="122" t="str" cm="1">
        <f t="array" aca="1" ref="F22" ca="1">IFERROR(INDIRECT("'"&amp;$A22&amp;"'!D9")," ")</f>
        <v xml:space="preserve"> </v>
      </c>
      <c r="G22" s="52" t="str" cm="1">
        <f t="array" aca="1" ref="G22" ca="1">IFERROR(INDIRECT("'"&amp;$A22&amp;"'!B9")," ")</f>
        <v xml:space="preserve"> </v>
      </c>
      <c r="H22" s="70" t="str" cm="1">
        <f t="array" aca="1" ref="H22" ca="1">IFERROR(INDIRECT("'"&amp;$A22&amp;"'!D4")," ")</f>
        <v xml:space="preserve"> </v>
      </c>
      <c r="I22" s="5" t="str" cm="1">
        <f t="array" aca="1" ref="I22" ca="1">IFERROR(INDIRECT("'"&amp;$A22&amp;"'!D7")," ")</f>
        <v xml:space="preserve"> </v>
      </c>
      <c r="J22" s="5" t="str" cm="1">
        <f t="array" aca="1" ref="J22" ca="1">IFERROR(INDIRECT("'"&amp;$A22&amp;"'!D8")," ")</f>
        <v xml:space="preserve"> </v>
      </c>
      <c r="K22" s="5" t="str" cm="1">
        <f t="array" aca="1" ref="K22" ca="1">IFERROR(INDIRECT("'"&amp;$A22&amp;"'!D5")," ")</f>
        <v xml:space="preserve"> </v>
      </c>
      <c r="L22" s="54" t="str" cm="1">
        <f t="array" aca="1" ref="L22" ca="1">IFERROR(INDIRECT("'"&amp;$A22&amp;"'!Q10")," ")</f>
        <v xml:space="preserve"> </v>
      </c>
      <c r="M22" s="43" t="str" cm="1">
        <f t="array" aca="1" ref="M22" ca="1">IFERROR(INDIRECT("'"&amp;$A22&amp;"'!Q5")," ")</f>
        <v xml:space="preserve"> </v>
      </c>
      <c r="N22" s="43" t="str" cm="1">
        <f t="array" aca="1" ref="N22" ca="1">IFERROR(INDIRECT("'"&amp;$A22&amp;"'!Q6")," ")</f>
        <v xml:space="preserve"> </v>
      </c>
      <c r="O22" s="43" t="str" cm="1">
        <f t="array" aca="1" ref="O22" ca="1">IFERROR(INDIRECT("'"&amp;$A22&amp;"'!Q7")," ")</f>
        <v xml:space="preserve"> </v>
      </c>
      <c r="P22" s="43" t="str" cm="1">
        <f t="array" aca="1" ref="P22" ca="1">IFERROR(INDIRECT("'"&amp;$A22&amp;"'!S5")," ")</f>
        <v xml:space="preserve"> </v>
      </c>
      <c r="Q22" s="43" t="str" cm="1">
        <f t="array" aca="1" ref="Q22" ca="1">IFERROR(INDIRECT("'"&amp;$A22&amp;"'!S6")," ")</f>
        <v xml:space="preserve"> </v>
      </c>
      <c r="R22" s="43" t="str" cm="1">
        <f t="array" aca="1" ref="R22" ca="1">IFERROR(INDIRECT("'"&amp;$A22&amp;"'!S7")," ")</f>
        <v xml:space="preserve"> </v>
      </c>
      <c r="S22" s="43" t="str" cm="1">
        <f t="array" aca="1" ref="S22" ca="1">IFERROR(INDIRECT("'"&amp;$A22&amp;"'!S8")," ")</f>
        <v xml:space="preserve"> </v>
      </c>
      <c r="T22" s="43" t="str" cm="1">
        <f t="array" aca="1" ref="T22" ca="1">IFERROR(INDIRECT("'"&amp;$A22&amp;"'!S9")," ")</f>
        <v xml:space="preserve"> </v>
      </c>
      <c r="U22" s="43" t="str" cm="1">
        <f t="array" aca="1" ref="U22" ca="1">IFERROR(INDIRECT("'"&amp;$A22&amp;"'!S10")," ")</f>
        <v xml:space="preserve"> </v>
      </c>
      <c r="V22" s="43" t="str" cm="1">
        <f t="array" aca="1" ref="V22" ca="1">IFERROR(INDIRECT("'"&amp;$A22&amp;"'!S11")," ")</f>
        <v xml:space="preserve"> </v>
      </c>
      <c r="W22" s="43" t="str" cm="1">
        <f t="array" aca="1" ref="W22" ca="1">IFERROR(INDIRECT("'"&amp;$A22&amp;"'!W5")," ")</f>
        <v xml:space="preserve"> </v>
      </c>
      <c r="X22" s="43" t="str" cm="1">
        <f t="array" aca="1" ref="X22" ca="1">IFERROR(INDIRECT("'"&amp;$A22&amp;"'!s8")," ")</f>
        <v xml:space="preserve"> </v>
      </c>
      <c r="Y22" s="43" t="str" cm="1">
        <f t="array" aca="1" ref="Y22" ca="1">IFERROR(INDIRECT("'"&amp;$A22&amp;"'!U5")," ")</f>
        <v xml:space="preserve"> </v>
      </c>
      <c r="Z22" s="43" t="str" cm="1">
        <f t="array" aca="1" ref="Z22" ca="1">IFERROR(INDIRECT("'"&amp;$A22&amp;"'!U6")," ")</f>
        <v xml:space="preserve"> </v>
      </c>
      <c r="AA22" s="43" t="str" cm="1">
        <f t="array" aca="1" ref="AA22" ca="1">IFERROR(INDIRECT("'"&amp;$A22&amp;"'!U7")," ")</f>
        <v xml:space="preserve"> </v>
      </c>
      <c r="AB22" s="43" t="str" cm="1">
        <f t="array" aca="1" ref="AB22" ca="1">IFERROR(INDIRECT("'"&amp;$A22&amp;"'!U8")," ")</f>
        <v xml:space="preserve"> </v>
      </c>
      <c r="AC22" s="43" t="str" cm="1">
        <f t="array" aca="1" ref="AC22" ca="1">IFERROR(INDIRECT("'"&amp;$A22&amp;"'!s9")," ")</f>
        <v xml:space="preserve"> </v>
      </c>
      <c r="AD22" s="7" t="str" cm="1">
        <f t="array" aca="1" ref="AD22" ca="1">IFERROR(INDIRECT("'"&amp;$A22&amp;"'!F6")," ")</f>
        <v xml:space="preserve"> </v>
      </c>
      <c r="AE22" s="118" t="str" cm="1">
        <f t="array" aca="1" ref="AE22" ca="1">IFERROR(INDIRECT("'"&amp;$A22&amp;"'!L4")," ")</f>
        <v xml:space="preserve"> </v>
      </c>
    </row>
    <row r="23" spans="2:31" ht="15" customHeight="1" x14ac:dyDescent="0.3">
      <c r="B23" s="8" t="str" cm="1">
        <f t="array" aca="1" ref="B23" ca="1">IFERROR(INDIRECT("'"&amp;$A23&amp;"'!A2"),"")</f>
        <v/>
      </c>
      <c r="C23" s="8" t="str" cm="1">
        <f t="array" aca="1" ref="C23" ca="1">IFERROR(INDIRECT("'"&amp;$A23&amp;"'!B5"),"")</f>
        <v/>
      </c>
      <c r="D23" s="9" t="str" cm="1">
        <f t="array" aca="1" ref="D23" ca="1">IFERROR(INDIRECT("'"&amp;$A23&amp;"'!B4"),"")</f>
        <v/>
      </c>
      <c r="E23" s="9" t="str" cm="1">
        <f t="array" aca="1" ref="E23" ca="1">IFERROR(INDIRECT("'"&amp;$A23&amp;"'!B7")," ")</f>
        <v xml:space="preserve"> </v>
      </c>
      <c r="F23" s="122" t="str" cm="1">
        <f t="array" aca="1" ref="F23" ca="1">IFERROR(INDIRECT("'"&amp;$A23&amp;"'!D9")," ")</f>
        <v xml:space="preserve"> </v>
      </c>
      <c r="G23" s="52" t="str" cm="1">
        <f t="array" aca="1" ref="G23" ca="1">IFERROR(INDIRECT("'"&amp;$A23&amp;"'!B9")," ")</f>
        <v xml:space="preserve"> </v>
      </c>
      <c r="H23" s="144" t="str" cm="1">
        <f t="array" aca="1" ref="H23" ca="1">IFERROR(INDIRECT("'"&amp;$A23&amp;"'!D4")," ")</f>
        <v xml:space="preserve"> </v>
      </c>
      <c r="I23" s="5" t="str" cm="1">
        <f t="array" aca="1" ref="I23" ca="1">IFERROR(INDIRECT("'"&amp;$A23&amp;"'!D7")," ")</f>
        <v xml:space="preserve"> </v>
      </c>
      <c r="J23" s="5" t="str" cm="1">
        <f t="array" aca="1" ref="J23" ca="1">IFERROR(INDIRECT("'"&amp;$A23&amp;"'!D8")," ")</f>
        <v xml:space="preserve"> </v>
      </c>
      <c r="K23" s="5" t="str" cm="1">
        <f t="array" aca="1" ref="K23" ca="1">IFERROR(INDIRECT("'"&amp;$A23&amp;"'!D5")," ")</f>
        <v xml:space="preserve"> </v>
      </c>
      <c r="L23" s="54" t="str" cm="1">
        <f t="array" aca="1" ref="L23" ca="1">IFERROR(INDIRECT("'"&amp;$A23&amp;"'!Q10")," ")</f>
        <v xml:space="preserve"> </v>
      </c>
      <c r="M23" s="43" t="str" cm="1">
        <f t="array" aca="1" ref="M23" ca="1">IFERROR(INDIRECT("'"&amp;$A23&amp;"'!Q5")," ")</f>
        <v xml:space="preserve"> </v>
      </c>
      <c r="N23" s="43" t="str" cm="1">
        <f t="array" aca="1" ref="N23" ca="1">IFERROR(INDIRECT("'"&amp;$A23&amp;"'!Q6")," ")</f>
        <v xml:space="preserve"> </v>
      </c>
      <c r="O23" s="43" t="str" cm="1">
        <f t="array" aca="1" ref="O23" ca="1">IFERROR(INDIRECT("'"&amp;$A23&amp;"'!Q7")," ")</f>
        <v xml:space="preserve"> </v>
      </c>
      <c r="P23" s="43" t="str" cm="1">
        <f t="array" aca="1" ref="P23" ca="1">IFERROR(INDIRECT("'"&amp;$A23&amp;"'!S5")," ")</f>
        <v xml:space="preserve"> </v>
      </c>
      <c r="Q23" s="43" t="str" cm="1">
        <f t="array" aca="1" ref="Q23" ca="1">IFERROR(INDIRECT("'"&amp;$A23&amp;"'!S6")," ")</f>
        <v xml:space="preserve"> </v>
      </c>
      <c r="R23" s="43" t="str" cm="1">
        <f t="array" aca="1" ref="R23" ca="1">IFERROR(INDIRECT("'"&amp;$A23&amp;"'!S7")," ")</f>
        <v xml:space="preserve"> </v>
      </c>
      <c r="S23" s="43" t="str" cm="1">
        <f t="array" aca="1" ref="S23" ca="1">IFERROR(INDIRECT("'"&amp;$A23&amp;"'!S8")," ")</f>
        <v xml:space="preserve"> </v>
      </c>
      <c r="T23" s="43" t="str" cm="1">
        <f t="array" aca="1" ref="T23" ca="1">IFERROR(INDIRECT("'"&amp;$A23&amp;"'!S9")," ")</f>
        <v xml:space="preserve"> </v>
      </c>
      <c r="U23" s="43" t="str" cm="1">
        <f t="array" aca="1" ref="U23" ca="1">IFERROR(INDIRECT("'"&amp;$A23&amp;"'!S10")," ")</f>
        <v xml:space="preserve"> </v>
      </c>
      <c r="V23" s="43" t="str" cm="1">
        <f t="array" aca="1" ref="V23" ca="1">IFERROR(INDIRECT("'"&amp;$A23&amp;"'!S11")," ")</f>
        <v xml:space="preserve"> </v>
      </c>
      <c r="W23" s="43" t="str" cm="1">
        <f t="array" aca="1" ref="W23" ca="1">IFERROR(INDIRECT("'"&amp;$A23&amp;"'!W5")," ")</f>
        <v xml:space="preserve"> </v>
      </c>
      <c r="X23" s="43" t="str" cm="1">
        <f t="array" aca="1" ref="X23" ca="1">IFERROR(INDIRECT("'"&amp;$A23&amp;"'!s8")," ")</f>
        <v xml:space="preserve"> </v>
      </c>
      <c r="Y23" s="43" t="str" cm="1">
        <f t="array" aca="1" ref="Y23" ca="1">IFERROR(INDIRECT("'"&amp;$A23&amp;"'!U5")," ")</f>
        <v xml:space="preserve"> </v>
      </c>
      <c r="Z23" s="43" t="str" cm="1">
        <f t="array" aca="1" ref="Z23" ca="1">IFERROR(INDIRECT("'"&amp;$A23&amp;"'!U6")," ")</f>
        <v xml:space="preserve"> </v>
      </c>
      <c r="AA23" s="43" t="str" cm="1">
        <f t="array" aca="1" ref="AA23" ca="1">IFERROR(INDIRECT("'"&amp;$A23&amp;"'!U7")," ")</f>
        <v xml:space="preserve"> </v>
      </c>
      <c r="AB23" s="43" t="str" cm="1">
        <f t="array" aca="1" ref="AB23" ca="1">IFERROR(INDIRECT("'"&amp;$A23&amp;"'!U8")," ")</f>
        <v xml:space="preserve"> </v>
      </c>
      <c r="AC23" s="43" t="str" cm="1">
        <f t="array" aca="1" ref="AC23" ca="1">IFERROR(INDIRECT("'"&amp;$A23&amp;"'!s9")," ")</f>
        <v xml:space="preserve"> </v>
      </c>
      <c r="AD23" s="7" t="str" cm="1">
        <f t="array" aca="1" ref="AD23" ca="1">IFERROR(INDIRECT("'"&amp;$A23&amp;"'!F6")," ")</f>
        <v xml:space="preserve"> </v>
      </c>
      <c r="AE23" s="118" t="str" cm="1">
        <f t="array" aca="1" ref="AE23" ca="1">IFERROR(INDIRECT("'"&amp;$A23&amp;"'!L4")," ")</f>
        <v xml:space="preserve"> </v>
      </c>
    </row>
    <row r="24" spans="2:31" ht="15" customHeight="1" x14ac:dyDescent="0.3">
      <c r="B24" s="8" t="str" cm="1">
        <f t="array" aca="1" ref="B24" ca="1">IFERROR(INDIRECT("'"&amp;$A24&amp;"'!A2"),"")</f>
        <v/>
      </c>
      <c r="C24" s="8" t="str" cm="1">
        <f t="array" aca="1" ref="C24" ca="1">IFERROR(INDIRECT("'"&amp;$A24&amp;"'!B5"),"")</f>
        <v/>
      </c>
      <c r="D24" s="9" t="str" cm="1">
        <f t="array" aca="1" ref="D24" ca="1">IFERROR(INDIRECT("'"&amp;$A24&amp;"'!B4"),"")</f>
        <v/>
      </c>
      <c r="E24" s="9" t="str" cm="1">
        <f t="array" aca="1" ref="E24" ca="1">IFERROR(INDIRECT("'"&amp;$A24&amp;"'!B7")," ")</f>
        <v xml:space="preserve"> </v>
      </c>
      <c r="F24" s="122" t="str" cm="1">
        <f t="array" aca="1" ref="F24" ca="1">IFERROR(INDIRECT("'"&amp;$A24&amp;"'!D9")," ")</f>
        <v xml:space="preserve"> </v>
      </c>
      <c r="G24" s="52" t="str" cm="1">
        <f t="array" aca="1" ref="G24" ca="1">IFERROR(INDIRECT("'"&amp;$A24&amp;"'!B9")," ")</f>
        <v xml:space="preserve"> </v>
      </c>
      <c r="H24" s="144" t="str" cm="1">
        <f t="array" aca="1" ref="H24" ca="1">IFERROR(INDIRECT("'"&amp;$A24&amp;"'!D4")," ")</f>
        <v xml:space="preserve"> </v>
      </c>
      <c r="I24" s="5" t="str" cm="1">
        <f t="array" aca="1" ref="I24" ca="1">IFERROR(INDIRECT("'"&amp;$A24&amp;"'!D7")," ")</f>
        <v xml:space="preserve"> </v>
      </c>
      <c r="J24" s="5" t="str" cm="1">
        <f t="array" aca="1" ref="J24" ca="1">IFERROR(INDIRECT("'"&amp;$A24&amp;"'!D8")," ")</f>
        <v xml:space="preserve"> </v>
      </c>
      <c r="K24" s="5" t="str" cm="1">
        <f t="array" aca="1" ref="K24" ca="1">IFERROR(INDIRECT("'"&amp;$A24&amp;"'!D5")," ")</f>
        <v xml:space="preserve"> </v>
      </c>
      <c r="L24" s="54" t="str" cm="1">
        <f t="array" aca="1" ref="L24" ca="1">IFERROR(INDIRECT("'"&amp;$A24&amp;"'!Q10")," ")</f>
        <v xml:space="preserve"> </v>
      </c>
      <c r="M24" s="43" t="str" cm="1">
        <f t="array" aca="1" ref="M24" ca="1">IFERROR(INDIRECT("'"&amp;$A24&amp;"'!Q5")," ")</f>
        <v xml:space="preserve"> </v>
      </c>
      <c r="N24" s="43" t="str" cm="1">
        <f t="array" aca="1" ref="N24" ca="1">IFERROR(INDIRECT("'"&amp;$A24&amp;"'!Q6")," ")</f>
        <v xml:space="preserve"> </v>
      </c>
      <c r="O24" s="43" t="str" cm="1">
        <f t="array" aca="1" ref="O24" ca="1">IFERROR(INDIRECT("'"&amp;$A24&amp;"'!Q7")," ")</f>
        <v xml:space="preserve"> </v>
      </c>
      <c r="P24" s="43" t="str" cm="1">
        <f t="array" aca="1" ref="P24" ca="1">IFERROR(INDIRECT("'"&amp;$A24&amp;"'!S5")," ")</f>
        <v xml:space="preserve"> </v>
      </c>
      <c r="Q24" s="43" t="str" cm="1">
        <f t="array" aca="1" ref="Q24" ca="1">IFERROR(INDIRECT("'"&amp;$A24&amp;"'!S6")," ")</f>
        <v xml:space="preserve"> </v>
      </c>
      <c r="R24" s="43" t="str" cm="1">
        <f t="array" aca="1" ref="R24" ca="1">IFERROR(INDIRECT("'"&amp;$A24&amp;"'!S7")," ")</f>
        <v xml:space="preserve"> </v>
      </c>
      <c r="S24" s="43" t="str" cm="1">
        <f t="array" aca="1" ref="S24" ca="1">IFERROR(INDIRECT("'"&amp;$A24&amp;"'!S8")," ")</f>
        <v xml:space="preserve"> </v>
      </c>
      <c r="T24" s="43" t="str" cm="1">
        <f t="array" aca="1" ref="T24" ca="1">IFERROR(INDIRECT("'"&amp;$A24&amp;"'!S9")," ")</f>
        <v xml:space="preserve"> </v>
      </c>
      <c r="U24" s="43" t="str" cm="1">
        <f t="array" aca="1" ref="U24" ca="1">IFERROR(INDIRECT("'"&amp;$A24&amp;"'!S10")," ")</f>
        <v xml:space="preserve"> </v>
      </c>
      <c r="V24" s="43" t="str" cm="1">
        <f t="array" aca="1" ref="V24" ca="1">IFERROR(INDIRECT("'"&amp;$A24&amp;"'!S11")," ")</f>
        <v xml:space="preserve"> </v>
      </c>
      <c r="W24" s="43" t="str" cm="1">
        <f t="array" aca="1" ref="W24" ca="1">IFERROR(INDIRECT("'"&amp;$A24&amp;"'!W5")," ")</f>
        <v xml:space="preserve"> </v>
      </c>
      <c r="X24" s="43" t="str" cm="1">
        <f t="array" aca="1" ref="X24" ca="1">IFERROR(INDIRECT("'"&amp;$A24&amp;"'!s8")," ")</f>
        <v xml:space="preserve"> </v>
      </c>
      <c r="Y24" s="43" t="str" cm="1">
        <f t="array" aca="1" ref="Y24" ca="1">IFERROR(INDIRECT("'"&amp;$A24&amp;"'!U5")," ")</f>
        <v xml:space="preserve"> </v>
      </c>
      <c r="Z24" s="43" t="str" cm="1">
        <f t="array" aca="1" ref="Z24" ca="1">IFERROR(INDIRECT("'"&amp;$A24&amp;"'!U6")," ")</f>
        <v xml:space="preserve"> </v>
      </c>
      <c r="AA24" s="43" t="str" cm="1">
        <f t="array" aca="1" ref="AA24" ca="1">IFERROR(INDIRECT("'"&amp;$A24&amp;"'!U7")," ")</f>
        <v xml:space="preserve"> </v>
      </c>
      <c r="AB24" s="43" t="str" cm="1">
        <f t="array" aca="1" ref="AB24" ca="1">IFERROR(INDIRECT("'"&amp;$A24&amp;"'!U8")," ")</f>
        <v xml:space="preserve"> </v>
      </c>
      <c r="AC24" s="43" t="str" cm="1">
        <f t="array" aca="1" ref="AC24" ca="1">IFERROR(INDIRECT("'"&amp;$A24&amp;"'!s9")," ")</f>
        <v xml:space="preserve"> </v>
      </c>
      <c r="AD24" s="7" t="str" cm="1">
        <f t="array" aca="1" ref="AD24" ca="1">IFERROR(INDIRECT("'"&amp;$A24&amp;"'!F6")," ")</f>
        <v xml:space="preserve"> </v>
      </c>
      <c r="AE24" s="118" t="str" cm="1">
        <f t="array" aca="1" ref="AE24" ca="1">IFERROR(INDIRECT("'"&amp;$A24&amp;"'!L4")," ")</f>
        <v xml:space="preserve"> </v>
      </c>
    </row>
    <row r="25" spans="2:31" ht="15" customHeight="1" x14ac:dyDescent="0.3">
      <c r="B25" s="8" t="str" cm="1">
        <f t="array" aca="1" ref="B25" ca="1">IFERROR(INDIRECT("'"&amp;$A25&amp;"'!A2"),"")</f>
        <v/>
      </c>
      <c r="C25" s="8" t="str" cm="1">
        <f t="array" aca="1" ref="C25" ca="1">IFERROR(INDIRECT("'"&amp;$A25&amp;"'!B5"),"")</f>
        <v/>
      </c>
      <c r="D25" s="9" t="str" cm="1">
        <f t="array" aca="1" ref="D25" ca="1">IFERROR(INDIRECT("'"&amp;$A25&amp;"'!B4"),"")</f>
        <v/>
      </c>
      <c r="E25" s="9" t="str" cm="1">
        <f t="array" aca="1" ref="E25" ca="1">IFERROR(INDIRECT("'"&amp;$A25&amp;"'!B7")," ")</f>
        <v xml:space="preserve"> </v>
      </c>
      <c r="F25" s="122" t="str" cm="1">
        <f t="array" aca="1" ref="F25" ca="1">IFERROR(INDIRECT("'"&amp;$A25&amp;"'!D9")," ")</f>
        <v xml:space="preserve"> </v>
      </c>
      <c r="G25" s="52" t="str" cm="1">
        <f t="array" aca="1" ref="G25" ca="1">IFERROR(INDIRECT("'"&amp;$A25&amp;"'!B9")," ")</f>
        <v xml:space="preserve"> </v>
      </c>
      <c r="H25" s="144" t="str" cm="1">
        <f t="array" aca="1" ref="H25" ca="1">IFERROR(INDIRECT("'"&amp;$A25&amp;"'!D4")," ")</f>
        <v xml:space="preserve"> </v>
      </c>
      <c r="I25" s="5" t="str" cm="1">
        <f t="array" aca="1" ref="I25" ca="1">IFERROR(INDIRECT("'"&amp;$A25&amp;"'!D7")," ")</f>
        <v xml:space="preserve"> </v>
      </c>
      <c r="J25" s="5" t="str" cm="1">
        <f t="array" aca="1" ref="J25" ca="1">IFERROR(INDIRECT("'"&amp;$A25&amp;"'!D8")," ")</f>
        <v xml:space="preserve"> </v>
      </c>
      <c r="K25" s="5" t="str" cm="1">
        <f t="array" aca="1" ref="K25" ca="1">IFERROR(INDIRECT("'"&amp;$A25&amp;"'!D5")," ")</f>
        <v xml:space="preserve"> </v>
      </c>
      <c r="L25" s="54" t="str" cm="1">
        <f t="array" aca="1" ref="L25" ca="1">IFERROR(INDIRECT("'"&amp;$A25&amp;"'!Q10")," ")</f>
        <v xml:space="preserve"> </v>
      </c>
      <c r="M25" s="43" t="str" cm="1">
        <f t="array" aca="1" ref="M25" ca="1">IFERROR(INDIRECT("'"&amp;$A25&amp;"'!Q5")," ")</f>
        <v xml:space="preserve"> </v>
      </c>
      <c r="N25" s="43" t="str" cm="1">
        <f t="array" aca="1" ref="N25" ca="1">IFERROR(INDIRECT("'"&amp;$A25&amp;"'!Q6")," ")</f>
        <v xml:space="preserve"> </v>
      </c>
      <c r="O25" s="43" t="str" cm="1">
        <f t="array" aca="1" ref="O25" ca="1">IFERROR(INDIRECT("'"&amp;$A25&amp;"'!Q7")," ")</f>
        <v xml:space="preserve"> </v>
      </c>
      <c r="P25" s="43" t="str" cm="1">
        <f t="array" aca="1" ref="P25" ca="1">IFERROR(INDIRECT("'"&amp;$A25&amp;"'!S5")," ")</f>
        <v xml:space="preserve"> </v>
      </c>
      <c r="Q25" s="43" t="str" cm="1">
        <f t="array" aca="1" ref="Q25" ca="1">IFERROR(INDIRECT("'"&amp;$A25&amp;"'!S6")," ")</f>
        <v xml:space="preserve"> </v>
      </c>
      <c r="R25" s="43" t="str" cm="1">
        <f t="array" aca="1" ref="R25" ca="1">IFERROR(INDIRECT("'"&amp;$A25&amp;"'!S7")," ")</f>
        <v xml:space="preserve"> </v>
      </c>
      <c r="S25" s="43" t="str" cm="1">
        <f t="array" aca="1" ref="S25" ca="1">IFERROR(INDIRECT("'"&amp;$A25&amp;"'!S8")," ")</f>
        <v xml:space="preserve"> </v>
      </c>
      <c r="T25" s="43" t="str" cm="1">
        <f t="array" aca="1" ref="T25" ca="1">IFERROR(INDIRECT("'"&amp;$A25&amp;"'!S9")," ")</f>
        <v xml:space="preserve"> </v>
      </c>
      <c r="U25" s="43" t="str" cm="1">
        <f t="array" aca="1" ref="U25" ca="1">IFERROR(INDIRECT("'"&amp;$A25&amp;"'!S10")," ")</f>
        <v xml:space="preserve"> </v>
      </c>
      <c r="V25" s="43" t="str" cm="1">
        <f t="array" aca="1" ref="V25" ca="1">IFERROR(INDIRECT("'"&amp;$A25&amp;"'!S11")," ")</f>
        <v xml:space="preserve"> </v>
      </c>
      <c r="W25" s="43" t="str" cm="1">
        <f t="array" aca="1" ref="W25" ca="1">IFERROR(INDIRECT("'"&amp;$A25&amp;"'!W5")," ")</f>
        <v xml:space="preserve"> </v>
      </c>
      <c r="X25" s="43" t="str" cm="1">
        <f t="array" aca="1" ref="X25" ca="1">IFERROR(INDIRECT("'"&amp;$A25&amp;"'!s8")," ")</f>
        <v xml:space="preserve"> </v>
      </c>
      <c r="Y25" s="43" t="str" cm="1">
        <f t="array" aca="1" ref="Y25" ca="1">IFERROR(INDIRECT("'"&amp;$A25&amp;"'!U5")," ")</f>
        <v xml:space="preserve"> </v>
      </c>
      <c r="Z25" s="43" t="str" cm="1">
        <f t="array" aca="1" ref="Z25" ca="1">IFERROR(INDIRECT("'"&amp;$A25&amp;"'!U6")," ")</f>
        <v xml:space="preserve"> </v>
      </c>
      <c r="AA25" s="43" t="str" cm="1">
        <f t="array" aca="1" ref="AA25" ca="1">IFERROR(INDIRECT("'"&amp;$A25&amp;"'!U7")," ")</f>
        <v xml:space="preserve"> </v>
      </c>
      <c r="AB25" s="43" t="str" cm="1">
        <f t="array" aca="1" ref="AB25" ca="1">IFERROR(INDIRECT("'"&amp;$A25&amp;"'!U8")," ")</f>
        <v xml:space="preserve"> </v>
      </c>
      <c r="AC25" s="43" t="str" cm="1">
        <f t="array" aca="1" ref="AC25" ca="1">IFERROR(INDIRECT("'"&amp;$A25&amp;"'!s9")," ")</f>
        <v xml:space="preserve"> </v>
      </c>
      <c r="AD25" s="7" t="str" cm="1">
        <f t="array" aca="1" ref="AD25" ca="1">IFERROR(INDIRECT("'"&amp;$A25&amp;"'!F6")," ")</f>
        <v xml:space="preserve"> </v>
      </c>
      <c r="AE25" s="118" t="str" cm="1">
        <f t="array" aca="1" ref="AE25" ca="1">IFERROR(INDIRECT("'"&amp;$A25&amp;"'!L4")," ")</f>
        <v xml:space="preserve"> </v>
      </c>
    </row>
    <row r="26" spans="2:31" ht="15" customHeight="1" x14ac:dyDescent="0.3">
      <c r="B26" s="8" t="str" cm="1">
        <f t="array" aca="1" ref="B26" ca="1">IFERROR(INDIRECT("'"&amp;$A26&amp;"'!A2"),"")</f>
        <v/>
      </c>
      <c r="C26" s="8" t="str" cm="1">
        <f t="array" aca="1" ref="C26" ca="1">IFERROR(INDIRECT("'"&amp;$A26&amp;"'!B5"),"")</f>
        <v/>
      </c>
      <c r="D26" s="9" t="str" cm="1">
        <f t="array" aca="1" ref="D26" ca="1">IFERROR(INDIRECT("'"&amp;$A26&amp;"'!B4"),"")</f>
        <v/>
      </c>
      <c r="E26" s="9" t="str" cm="1">
        <f t="array" aca="1" ref="E26" ca="1">IFERROR(INDIRECT("'"&amp;$A26&amp;"'!B7")," ")</f>
        <v xml:space="preserve"> </v>
      </c>
      <c r="F26" s="122" t="str" cm="1">
        <f t="array" aca="1" ref="F26" ca="1">IFERROR(INDIRECT("'"&amp;$A26&amp;"'!D9")," ")</f>
        <v xml:space="preserve"> </v>
      </c>
      <c r="G26" s="52" t="str" cm="1">
        <f t="array" aca="1" ref="G26" ca="1">IFERROR(INDIRECT("'"&amp;$A26&amp;"'!B9")," ")</f>
        <v xml:space="preserve"> </v>
      </c>
      <c r="H26" s="144" t="str" cm="1">
        <f t="array" aca="1" ref="H26" ca="1">IFERROR(INDIRECT("'"&amp;$A26&amp;"'!D4")," ")</f>
        <v xml:space="preserve"> </v>
      </c>
      <c r="I26" s="5" t="str" cm="1">
        <f t="array" aca="1" ref="I26" ca="1">IFERROR(INDIRECT("'"&amp;$A26&amp;"'!D7")," ")</f>
        <v xml:space="preserve"> </v>
      </c>
      <c r="J26" s="5" t="str" cm="1">
        <f t="array" aca="1" ref="J26" ca="1">IFERROR(INDIRECT("'"&amp;$A26&amp;"'!D8")," ")</f>
        <v xml:space="preserve"> </v>
      </c>
      <c r="K26" s="5" t="str" cm="1">
        <f t="array" aca="1" ref="K26" ca="1">IFERROR(INDIRECT("'"&amp;$A26&amp;"'!D5")," ")</f>
        <v xml:space="preserve"> </v>
      </c>
      <c r="L26" s="54" t="str" cm="1">
        <f t="array" aca="1" ref="L26" ca="1">IFERROR(INDIRECT("'"&amp;$A26&amp;"'!Q10")," ")</f>
        <v xml:space="preserve"> </v>
      </c>
      <c r="M26" s="43" t="str" cm="1">
        <f t="array" aca="1" ref="M26" ca="1">IFERROR(INDIRECT("'"&amp;$A26&amp;"'!Q5")," ")</f>
        <v xml:space="preserve"> </v>
      </c>
      <c r="N26" s="43" t="str" cm="1">
        <f t="array" aca="1" ref="N26" ca="1">IFERROR(INDIRECT("'"&amp;$A26&amp;"'!Q6")," ")</f>
        <v xml:space="preserve"> </v>
      </c>
      <c r="O26" s="43" t="str" cm="1">
        <f t="array" aca="1" ref="O26" ca="1">IFERROR(INDIRECT("'"&amp;$A26&amp;"'!Q7")," ")</f>
        <v xml:space="preserve"> </v>
      </c>
      <c r="P26" s="43" t="str" cm="1">
        <f t="array" aca="1" ref="P26" ca="1">IFERROR(INDIRECT("'"&amp;$A26&amp;"'!S5")," ")</f>
        <v xml:space="preserve"> </v>
      </c>
      <c r="Q26" s="43" t="str" cm="1">
        <f t="array" aca="1" ref="Q26" ca="1">IFERROR(INDIRECT("'"&amp;$A26&amp;"'!S6")," ")</f>
        <v xml:space="preserve"> </v>
      </c>
      <c r="R26" s="43" t="str" cm="1">
        <f t="array" aca="1" ref="R26" ca="1">IFERROR(INDIRECT("'"&amp;$A26&amp;"'!S7")," ")</f>
        <v xml:space="preserve"> </v>
      </c>
      <c r="S26" s="43" t="str" cm="1">
        <f t="array" aca="1" ref="S26" ca="1">IFERROR(INDIRECT("'"&amp;$A26&amp;"'!S8")," ")</f>
        <v xml:space="preserve"> </v>
      </c>
      <c r="T26" s="43" t="str" cm="1">
        <f t="array" aca="1" ref="T26" ca="1">IFERROR(INDIRECT("'"&amp;$A26&amp;"'!S9")," ")</f>
        <v xml:space="preserve"> </v>
      </c>
      <c r="U26" s="43" t="str" cm="1">
        <f t="array" aca="1" ref="U26" ca="1">IFERROR(INDIRECT("'"&amp;$A26&amp;"'!S10")," ")</f>
        <v xml:space="preserve"> </v>
      </c>
      <c r="V26" s="43" t="str" cm="1">
        <f t="array" aca="1" ref="V26" ca="1">IFERROR(INDIRECT("'"&amp;$A26&amp;"'!S11")," ")</f>
        <v xml:space="preserve"> </v>
      </c>
      <c r="W26" s="43" t="str" cm="1">
        <f t="array" aca="1" ref="W26" ca="1">IFERROR(INDIRECT("'"&amp;$A26&amp;"'!W5")," ")</f>
        <v xml:space="preserve"> </v>
      </c>
      <c r="X26" s="43" t="str" cm="1">
        <f t="array" aca="1" ref="X26" ca="1">IFERROR(INDIRECT("'"&amp;$A26&amp;"'!s8")," ")</f>
        <v xml:space="preserve"> </v>
      </c>
      <c r="Y26" s="43" t="str" cm="1">
        <f t="array" aca="1" ref="Y26" ca="1">IFERROR(INDIRECT("'"&amp;$A26&amp;"'!U5")," ")</f>
        <v xml:space="preserve"> </v>
      </c>
      <c r="Z26" s="43" t="str" cm="1">
        <f t="array" aca="1" ref="Z26" ca="1">IFERROR(INDIRECT("'"&amp;$A26&amp;"'!U6")," ")</f>
        <v xml:space="preserve"> </v>
      </c>
      <c r="AA26" s="43" t="str" cm="1">
        <f t="array" aca="1" ref="AA26" ca="1">IFERROR(INDIRECT("'"&amp;$A26&amp;"'!U7")," ")</f>
        <v xml:space="preserve"> </v>
      </c>
      <c r="AB26" s="43" t="str" cm="1">
        <f t="array" aca="1" ref="AB26" ca="1">IFERROR(INDIRECT("'"&amp;$A26&amp;"'!U8")," ")</f>
        <v xml:space="preserve"> </v>
      </c>
      <c r="AC26" s="43" t="str" cm="1">
        <f t="array" aca="1" ref="AC26" ca="1">IFERROR(INDIRECT("'"&amp;$A26&amp;"'!s9")," ")</f>
        <v xml:space="preserve"> </v>
      </c>
      <c r="AD26" s="7" t="str" cm="1">
        <f t="array" aca="1" ref="AD26" ca="1">IFERROR(INDIRECT("'"&amp;$A26&amp;"'!F6")," ")</f>
        <v xml:space="preserve"> </v>
      </c>
      <c r="AE26" s="118" t="str" cm="1">
        <f t="array" aca="1" ref="AE26" ca="1">IFERROR(INDIRECT("'"&amp;$A26&amp;"'!L4")," ")</f>
        <v xml:space="preserve"> </v>
      </c>
    </row>
    <row r="27" spans="2:31" ht="15" customHeight="1" x14ac:dyDescent="0.3">
      <c r="B27" s="8" t="str" cm="1">
        <f t="array" aca="1" ref="B27" ca="1">IFERROR(INDIRECT("'"&amp;$A27&amp;"'!A2"),"")</f>
        <v/>
      </c>
      <c r="C27" s="8" t="str" cm="1">
        <f t="array" aca="1" ref="C27" ca="1">IFERROR(INDIRECT("'"&amp;$A27&amp;"'!B5"),"")</f>
        <v/>
      </c>
      <c r="D27" s="9" t="str" cm="1">
        <f t="array" aca="1" ref="D27" ca="1">IFERROR(INDIRECT("'"&amp;$A27&amp;"'!B4"),"")</f>
        <v/>
      </c>
      <c r="E27" s="9" t="str" cm="1">
        <f t="array" aca="1" ref="E27" ca="1">IFERROR(INDIRECT("'"&amp;$A27&amp;"'!B7")," ")</f>
        <v xml:space="preserve"> </v>
      </c>
      <c r="F27" s="122" t="str" cm="1">
        <f t="array" aca="1" ref="F27" ca="1">IFERROR(INDIRECT("'"&amp;$A27&amp;"'!D9")," ")</f>
        <v xml:space="preserve"> </v>
      </c>
      <c r="G27" s="52" t="str" cm="1">
        <f t="array" aca="1" ref="G27" ca="1">IFERROR(INDIRECT("'"&amp;$A27&amp;"'!B9")," ")</f>
        <v xml:space="preserve"> </v>
      </c>
      <c r="H27" s="144" t="str" cm="1">
        <f t="array" aca="1" ref="H27" ca="1">IFERROR(INDIRECT("'"&amp;$A27&amp;"'!D4")," ")</f>
        <v xml:space="preserve"> </v>
      </c>
      <c r="I27" s="5" t="str" cm="1">
        <f t="array" aca="1" ref="I27" ca="1">IFERROR(INDIRECT("'"&amp;$A27&amp;"'!D7")," ")</f>
        <v xml:space="preserve"> </v>
      </c>
      <c r="J27" s="5" t="str" cm="1">
        <f t="array" aca="1" ref="J27" ca="1">IFERROR(INDIRECT("'"&amp;$A27&amp;"'!D8")," ")</f>
        <v xml:space="preserve"> </v>
      </c>
      <c r="K27" s="5" t="str" cm="1">
        <f t="array" aca="1" ref="K27" ca="1">IFERROR(INDIRECT("'"&amp;$A27&amp;"'!D5")," ")</f>
        <v xml:space="preserve"> </v>
      </c>
      <c r="L27" s="54" t="str" cm="1">
        <f t="array" aca="1" ref="L27" ca="1">IFERROR(INDIRECT("'"&amp;$A27&amp;"'!Q10")," ")</f>
        <v xml:space="preserve"> </v>
      </c>
      <c r="M27" s="43" t="str" cm="1">
        <f t="array" aca="1" ref="M27" ca="1">IFERROR(INDIRECT("'"&amp;$A27&amp;"'!Q5")," ")</f>
        <v xml:space="preserve"> </v>
      </c>
      <c r="N27" s="43" t="str" cm="1">
        <f t="array" aca="1" ref="N27" ca="1">IFERROR(INDIRECT("'"&amp;$A27&amp;"'!Q6")," ")</f>
        <v xml:space="preserve"> </v>
      </c>
      <c r="O27" s="43" t="str" cm="1">
        <f t="array" aca="1" ref="O27" ca="1">IFERROR(INDIRECT("'"&amp;$A27&amp;"'!Q7")," ")</f>
        <v xml:space="preserve"> </v>
      </c>
      <c r="P27" s="43" t="str" cm="1">
        <f t="array" aca="1" ref="P27" ca="1">IFERROR(INDIRECT("'"&amp;$A27&amp;"'!S5")," ")</f>
        <v xml:space="preserve"> </v>
      </c>
      <c r="Q27" s="43" t="str" cm="1">
        <f t="array" aca="1" ref="Q27" ca="1">IFERROR(INDIRECT("'"&amp;$A27&amp;"'!S6")," ")</f>
        <v xml:space="preserve"> </v>
      </c>
      <c r="R27" s="43" t="str" cm="1">
        <f t="array" aca="1" ref="R27" ca="1">IFERROR(INDIRECT("'"&amp;$A27&amp;"'!S7")," ")</f>
        <v xml:space="preserve"> </v>
      </c>
      <c r="S27" s="43" t="str" cm="1">
        <f t="array" aca="1" ref="S27" ca="1">IFERROR(INDIRECT("'"&amp;$A27&amp;"'!S8")," ")</f>
        <v xml:space="preserve"> </v>
      </c>
      <c r="T27" s="43" t="str" cm="1">
        <f t="array" aca="1" ref="T27" ca="1">IFERROR(INDIRECT("'"&amp;$A27&amp;"'!S9")," ")</f>
        <v xml:space="preserve"> </v>
      </c>
      <c r="U27" s="43" t="str" cm="1">
        <f t="array" aca="1" ref="U27" ca="1">IFERROR(INDIRECT("'"&amp;$A27&amp;"'!S10")," ")</f>
        <v xml:space="preserve"> </v>
      </c>
      <c r="V27" s="43" t="str" cm="1">
        <f t="array" aca="1" ref="V27" ca="1">IFERROR(INDIRECT("'"&amp;$A27&amp;"'!S11")," ")</f>
        <v xml:space="preserve"> </v>
      </c>
      <c r="W27" s="43" t="str" cm="1">
        <f t="array" aca="1" ref="W27" ca="1">IFERROR(INDIRECT("'"&amp;$A27&amp;"'!W5")," ")</f>
        <v xml:space="preserve"> </v>
      </c>
      <c r="X27" s="43" t="str" cm="1">
        <f t="array" aca="1" ref="X27" ca="1">IFERROR(INDIRECT("'"&amp;$A27&amp;"'!s8")," ")</f>
        <v xml:space="preserve"> </v>
      </c>
      <c r="Y27" s="43" t="str" cm="1">
        <f t="array" aca="1" ref="Y27" ca="1">IFERROR(INDIRECT("'"&amp;$A27&amp;"'!U5")," ")</f>
        <v xml:space="preserve"> </v>
      </c>
      <c r="Z27" s="43" t="str" cm="1">
        <f t="array" aca="1" ref="Z27" ca="1">IFERROR(INDIRECT("'"&amp;$A27&amp;"'!U6")," ")</f>
        <v xml:space="preserve"> </v>
      </c>
      <c r="AA27" s="43" t="str" cm="1">
        <f t="array" aca="1" ref="AA27" ca="1">IFERROR(INDIRECT("'"&amp;$A27&amp;"'!U7")," ")</f>
        <v xml:space="preserve"> </v>
      </c>
      <c r="AB27" s="43" t="str" cm="1">
        <f t="array" aca="1" ref="AB27" ca="1">IFERROR(INDIRECT("'"&amp;$A27&amp;"'!U8")," ")</f>
        <v xml:space="preserve"> </v>
      </c>
      <c r="AC27" s="43" t="str" cm="1">
        <f t="array" aca="1" ref="AC27" ca="1">IFERROR(INDIRECT("'"&amp;$A27&amp;"'!s9")," ")</f>
        <v xml:space="preserve"> </v>
      </c>
      <c r="AD27" s="7" t="str" cm="1">
        <f t="array" aca="1" ref="AD27" ca="1">IFERROR(INDIRECT("'"&amp;$A27&amp;"'!F6")," ")</f>
        <v xml:space="preserve"> </v>
      </c>
      <c r="AE27" s="118" t="str" cm="1">
        <f t="array" aca="1" ref="AE27" ca="1">IFERROR(INDIRECT("'"&amp;$A27&amp;"'!L4")," ")</f>
        <v xml:space="preserve"> </v>
      </c>
    </row>
    <row r="28" spans="2:31" ht="15" customHeight="1" x14ac:dyDescent="0.3">
      <c r="B28" s="8" t="str" cm="1">
        <f t="array" aca="1" ref="B28" ca="1">IFERROR(INDIRECT("'"&amp;$A28&amp;"'!A2"),"")</f>
        <v/>
      </c>
      <c r="C28" s="8" t="str" cm="1">
        <f t="array" aca="1" ref="C28" ca="1">IFERROR(INDIRECT("'"&amp;$A28&amp;"'!B5"),"")</f>
        <v/>
      </c>
      <c r="D28" s="9" t="str" cm="1">
        <f t="array" aca="1" ref="D28" ca="1">IFERROR(INDIRECT("'"&amp;$A28&amp;"'!B4"),"")</f>
        <v/>
      </c>
      <c r="E28" s="9" t="str" cm="1">
        <f t="array" aca="1" ref="E28" ca="1">IFERROR(INDIRECT("'"&amp;$A28&amp;"'!B7")," ")</f>
        <v xml:space="preserve"> </v>
      </c>
      <c r="F28" s="122" t="str" cm="1">
        <f t="array" aca="1" ref="F28" ca="1">IFERROR(INDIRECT("'"&amp;$A28&amp;"'!D9")," ")</f>
        <v xml:space="preserve"> </v>
      </c>
      <c r="G28" s="52" t="str" cm="1">
        <f t="array" aca="1" ref="G28" ca="1">IFERROR(INDIRECT("'"&amp;$A28&amp;"'!B9")," ")</f>
        <v xml:space="preserve"> </v>
      </c>
      <c r="H28" s="70" t="str" cm="1">
        <f t="array" aca="1" ref="H28" ca="1">IFERROR(INDIRECT("'"&amp;$A28&amp;"'!D4")," ")</f>
        <v xml:space="preserve"> </v>
      </c>
      <c r="I28" s="5" t="str" cm="1">
        <f t="array" aca="1" ref="I28" ca="1">IFERROR(INDIRECT("'"&amp;$A28&amp;"'!D7")," ")</f>
        <v xml:space="preserve"> </v>
      </c>
      <c r="J28" s="5" t="str" cm="1">
        <f t="array" aca="1" ref="J28" ca="1">IFERROR(INDIRECT("'"&amp;$A28&amp;"'!D8")," ")</f>
        <v xml:space="preserve"> </v>
      </c>
      <c r="K28" s="5" t="str" cm="1">
        <f t="array" aca="1" ref="K28" ca="1">IFERROR(INDIRECT("'"&amp;$A28&amp;"'!D5")," ")</f>
        <v xml:space="preserve"> </v>
      </c>
      <c r="L28" s="54" t="str" cm="1">
        <f t="array" aca="1" ref="L28" ca="1">IFERROR(INDIRECT("'"&amp;$A28&amp;"'!Q10")," ")</f>
        <v xml:space="preserve"> </v>
      </c>
      <c r="M28" s="43" t="str" cm="1">
        <f t="array" aca="1" ref="M28" ca="1">IFERROR(INDIRECT("'"&amp;$A28&amp;"'!Q5")," ")</f>
        <v xml:space="preserve"> </v>
      </c>
      <c r="N28" s="43" t="str" cm="1">
        <f t="array" aca="1" ref="N28" ca="1">IFERROR(INDIRECT("'"&amp;$A28&amp;"'!Q6")," ")</f>
        <v xml:space="preserve"> </v>
      </c>
      <c r="O28" s="43" t="str" cm="1">
        <f t="array" aca="1" ref="O28" ca="1">IFERROR(INDIRECT("'"&amp;$A28&amp;"'!Q7")," ")</f>
        <v xml:space="preserve"> </v>
      </c>
      <c r="P28" s="43" t="str" cm="1">
        <f t="array" aca="1" ref="P28" ca="1">IFERROR(INDIRECT("'"&amp;$A28&amp;"'!S5")," ")</f>
        <v xml:space="preserve"> </v>
      </c>
      <c r="Q28" s="43" t="str" cm="1">
        <f t="array" aca="1" ref="Q28" ca="1">IFERROR(INDIRECT("'"&amp;$A28&amp;"'!S6")," ")</f>
        <v xml:space="preserve"> </v>
      </c>
      <c r="R28" s="43" t="str" cm="1">
        <f t="array" aca="1" ref="R28" ca="1">IFERROR(INDIRECT("'"&amp;$A28&amp;"'!S7")," ")</f>
        <v xml:space="preserve"> </v>
      </c>
      <c r="S28" s="43" t="str" cm="1">
        <f t="array" aca="1" ref="S28" ca="1">IFERROR(INDIRECT("'"&amp;$A28&amp;"'!S8")," ")</f>
        <v xml:space="preserve"> </v>
      </c>
      <c r="T28" s="43" t="str" cm="1">
        <f t="array" aca="1" ref="T28" ca="1">IFERROR(INDIRECT("'"&amp;$A28&amp;"'!S9")," ")</f>
        <v xml:space="preserve"> </v>
      </c>
      <c r="U28" s="43" t="str" cm="1">
        <f t="array" aca="1" ref="U28" ca="1">IFERROR(INDIRECT("'"&amp;$A28&amp;"'!S10")," ")</f>
        <v xml:space="preserve"> </v>
      </c>
      <c r="V28" s="43" t="str" cm="1">
        <f t="array" aca="1" ref="V28" ca="1">IFERROR(INDIRECT("'"&amp;$A28&amp;"'!S11")," ")</f>
        <v xml:space="preserve"> </v>
      </c>
      <c r="W28" s="43" t="str" cm="1">
        <f t="array" aca="1" ref="W28" ca="1">IFERROR(INDIRECT("'"&amp;$A28&amp;"'!W5")," ")</f>
        <v xml:space="preserve"> </v>
      </c>
      <c r="X28" s="43" t="str" cm="1">
        <f t="array" aca="1" ref="X28" ca="1">IFERROR(INDIRECT("'"&amp;$A28&amp;"'!s8")," ")</f>
        <v xml:space="preserve"> </v>
      </c>
      <c r="Y28" s="43" t="str" cm="1">
        <f t="array" aca="1" ref="Y28" ca="1">IFERROR(INDIRECT("'"&amp;$A28&amp;"'!U5")," ")</f>
        <v xml:space="preserve"> </v>
      </c>
      <c r="Z28" s="43" t="str" cm="1">
        <f t="array" aca="1" ref="Z28" ca="1">IFERROR(INDIRECT("'"&amp;$A28&amp;"'!U6")," ")</f>
        <v xml:space="preserve"> </v>
      </c>
      <c r="AA28" s="43" t="str" cm="1">
        <f t="array" aca="1" ref="AA28" ca="1">IFERROR(INDIRECT("'"&amp;$A28&amp;"'!U7")," ")</f>
        <v xml:space="preserve"> </v>
      </c>
      <c r="AB28" s="43" t="str" cm="1">
        <f t="array" aca="1" ref="AB28" ca="1">IFERROR(INDIRECT("'"&amp;$A28&amp;"'!U8")," ")</f>
        <v xml:space="preserve"> </v>
      </c>
      <c r="AC28" s="43" t="str" cm="1">
        <f t="array" aca="1" ref="AC28" ca="1">IFERROR(INDIRECT("'"&amp;$A28&amp;"'!s9")," ")</f>
        <v xml:space="preserve"> </v>
      </c>
      <c r="AD28" s="7" t="str" cm="1">
        <f t="array" aca="1" ref="AD28" ca="1">IFERROR(INDIRECT("'"&amp;$A28&amp;"'!F6")," ")</f>
        <v xml:space="preserve"> </v>
      </c>
      <c r="AE28" s="118" t="str" cm="1">
        <f t="array" aca="1" ref="AE28" ca="1">IFERROR(INDIRECT("'"&amp;$A28&amp;"'!L4")," ")</f>
        <v xml:space="preserve"> </v>
      </c>
    </row>
    <row r="29" spans="2:31" ht="15" customHeight="1" x14ac:dyDescent="0.3">
      <c r="B29" s="8" t="str" cm="1">
        <f t="array" aca="1" ref="B29" ca="1">IFERROR(INDIRECT("'"&amp;$A29&amp;"'!A2"),"")</f>
        <v/>
      </c>
      <c r="C29" s="8" t="str" cm="1">
        <f t="array" aca="1" ref="C29" ca="1">IFERROR(INDIRECT("'"&amp;$A29&amp;"'!B5"),"")</f>
        <v/>
      </c>
      <c r="D29" s="9" t="str" cm="1">
        <f t="array" aca="1" ref="D29" ca="1">IFERROR(INDIRECT("'"&amp;$A29&amp;"'!B4"),"")</f>
        <v/>
      </c>
      <c r="E29" s="9" t="str" cm="1">
        <f t="array" aca="1" ref="E29" ca="1">IFERROR(INDIRECT("'"&amp;$A29&amp;"'!B7")," ")</f>
        <v xml:space="preserve"> </v>
      </c>
      <c r="F29" s="122" t="str" cm="1">
        <f t="array" aca="1" ref="F29" ca="1">IFERROR(INDIRECT("'"&amp;$A29&amp;"'!D9")," ")</f>
        <v xml:space="preserve"> </v>
      </c>
      <c r="G29" s="52" t="str" cm="1">
        <f t="array" aca="1" ref="G29" ca="1">IFERROR(INDIRECT("'"&amp;$A29&amp;"'!B9")," ")</f>
        <v xml:space="preserve"> </v>
      </c>
      <c r="H29" s="144" t="str" cm="1">
        <f t="array" aca="1" ref="H29" ca="1">IFERROR(INDIRECT("'"&amp;$A29&amp;"'!D4")," ")</f>
        <v xml:space="preserve"> </v>
      </c>
      <c r="I29" s="5" t="str" cm="1">
        <f t="array" aca="1" ref="I29" ca="1">IFERROR(INDIRECT("'"&amp;$A29&amp;"'!D7")," ")</f>
        <v xml:space="preserve"> </v>
      </c>
      <c r="J29" s="5" t="str" cm="1">
        <f t="array" aca="1" ref="J29" ca="1">IFERROR(INDIRECT("'"&amp;$A29&amp;"'!D8")," ")</f>
        <v xml:space="preserve"> </v>
      </c>
      <c r="K29" s="5" t="str" cm="1">
        <f t="array" aca="1" ref="K29" ca="1">IFERROR(INDIRECT("'"&amp;$A29&amp;"'!D5")," ")</f>
        <v xml:space="preserve"> </v>
      </c>
      <c r="L29" s="54" t="str" cm="1">
        <f t="array" aca="1" ref="L29" ca="1">IFERROR(INDIRECT("'"&amp;$A29&amp;"'!Q10")," ")</f>
        <v xml:space="preserve"> </v>
      </c>
      <c r="M29" s="43" t="str" cm="1">
        <f t="array" aca="1" ref="M29" ca="1">IFERROR(INDIRECT("'"&amp;$A29&amp;"'!Q5")," ")</f>
        <v xml:space="preserve"> </v>
      </c>
      <c r="N29" s="43" t="str" cm="1">
        <f t="array" aca="1" ref="N29" ca="1">IFERROR(INDIRECT("'"&amp;$A29&amp;"'!Q6")," ")</f>
        <v xml:space="preserve"> </v>
      </c>
      <c r="O29" s="43" t="str" cm="1">
        <f t="array" aca="1" ref="O29" ca="1">IFERROR(INDIRECT("'"&amp;$A29&amp;"'!Q7")," ")</f>
        <v xml:space="preserve"> </v>
      </c>
      <c r="P29" s="43" t="str" cm="1">
        <f t="array" aca="1" ref="P29" ca="1">IFERROR(INDIRECT("'"&amp;$A29&amp;"'!S5")," ")</f>
        <v xml:space="preserve"> </v>
      </c>
      <c r="Q29" s="43" t="str" cm="1">
        <f t="array" aca="1" ref="Q29" ca="1">IFERROR(INDIRECT("'"&amp;$A29&amp;"'!S6")," ")</f>
        <v xml:space="preserve"> </v>
      </c>
      <c r="R29" s="43" t="str" cm="1">
        <f t="array" aca="1" ref="R29" ca="1">IFERROR(INDIRECT("'"&amp;$A29&amp;"'!S7")," ")</f>
        <v xml:space="preserve"> </v>
      </c>
      <c r="S29" s="43" t="str" cm="1">
        <f t="array" aca="1" ref="S29" ca="1">IFERROR(INDIRECT("'"&amp;$A29&amp;"'!S8")," ")</f>
        <v xml:space="preserve"> </v>
      </c>
      <c r="T29" s="43" t="str" cm="1">
        <f t="array" aca="1" ref="T29" ca="1">IFERROR(INDIRECT("'"&amp;$A29&amp;"'!S9")," ")</f>
        <v xml:space="preserve"> </v>
      </c>
      <c r="U29" s="43" t="str" cm="1">
        <f t="array" aca="1" ref="U29" ca="1">IFERROR(INDIRECT("'"&amp;$A29&amp;"'!S10")," ")</f>
        <v xml:space="preserve"> </v>
      </c>
      <c r="V29" s="43" t="str" cm="1">
        <f t="array" aca="1" ref="V29" ca="1">IFERROR(INDIRECT("'"&amp;$A29&amp;"'!S11")," ")</f>
        <v xml:space="preserve"> </v>
      </c>
      <c r="W29" s="43" t="str" cm="1">
        <f t="array" aca="1" ref="W29" ca="1">IFERROR(INDIRECT("'"&amp;$A29&amp;"'!W5")," ")</f>
        <v xml:space="preserve"> </v>
      </c>
      <c r="X29" s="43" t="str" cm="1">
        <f t="array" aca="1" ref="X29" ca="1">IFERROR(INDIRECT("'"&amp;$A29&amp;"'!s8")," ")</f>
        <v xml:space="preserve"> </v>
      </c>
      <c r="Y29" s="43" t="str" cm="1">
        <f t="array" aca="1" ref="Y29" ca="1">IFERROR(INDIRECT("'"&amp;$A29&amp;"'!U5")," ")</f>
        <v xml:space="preserve"> </v>
      </c>
      <c r="Z29" s="43" t="str" cm="1">
        <f t="array" aca="1" ref="Z29" ca="1">IFERROR(INDIRECT("'"&amp;$A29&amp;"'!U6")," ")</f>
        <v xml:space="preserve"> </v>
      </c>
      <c r="AA29" s="43" t="str" cm="1">
        <f t="array" aca="1" ref="AA29" ca="1">IFERROR(INDIRECT("'"&amp;$A29&amp;"'!U7")," ")</f>
        <v xml:space="preserve"> </v>
      </c>
      <c r="AB29" s="43" t="str" cm="1">
        <f t="array" aca="1" ref="AB29" ca="1">IFERROR(INDIRECT("'"&amp;$A29&amp;"'!U8")," ")</f>
        <v xml:space="preserve"> </v>
      </c>
      <c r="AC29" s="43" t="str" cm="1">
        <f t="array" aca="1" ref="AC29" ca="1">IFERROR(INDIRECT("'"&amp;$A29&amp;"'!s9")," ")</f>
        <v xml:space="preserve"> </v>
      </c>
      <c r="AD29" s="7" t="str" cm="1">
        <f t="array" aca="1" ref="AD29" ca="1">IFERROR(INDIRECT("'"&amp;$A29&amp;"'!F6")," ")</f>
        <v xml:space="preserve"> </v>
      </c>
      <c r="AE29" s="118" t="str" cm="1">
        <f t="array" aca="1" ref="AE29" ca="1">IFERROR(INDIRECT("'"&amp;$A29&amp;"'!L4")," ")</f>
        <v xml:space="preserve"> </v>
      </c>
    </row>
    <row r="30" spans="2:31" ht="15" customHeight="1" x14ac:dyDescent="0.3">
      <c r="B30" s="8" t="str" cm="1">
        <f t="array" aca="1" ref="B30" ca="1">IFERROR(INDIRECT("'"&amp;$A30&amp;"'!A2"),"")</f>
        <v/>
      </c>
      <c r="C30" s="8" t="str" cm="1">
        <f t="array" aca="1" ref="C30" ca="1">IFERROR(INDIRECT("'"&amp;$A30&amp;"'!B5"),"")</f>
        <v/>
      </c>
      <c r="D30" s="9" t="str" cm="1">
        <f t="array" aca="1" ref="D30" ca="1">IFERROR(INDIRECT("'"&amp;$A30&amp;"'!B4"),"")</f>
        <v/>
      </c>
      <c r="E30" s="9" t="str" cm="1">
        <f t="array" aca="1" ref="E30" ca="1">IFERROR(INDIRECT("'"&amp;$A30&amp;"'!B7")," ")</f>
        <v xml:space="preserve"> </v>
      </c>
      <c r="F30" s="122" t="str" cm="1">
        <f t="array" aca="1" ref="F30" ca="1">IFERROR(INDIRECT("'"&amp;$A30&amp;"'!D9")," ")</f>
        <v xml:space="preserve"> </v>
      </c>
      <c r="G30" s="52" t="str" cm="1">
        <f t="array" aca="1" ref="G30" ca="1">IFERROR(INDIRECT("'"&amp;$A30&amp;"'!B9")," ")</f>
        <v xml:space="preserve"> </v>
      </c>
      <c r="H30" s="144" t="str" cm="1">
        <f t="array" aca="1" ref="H30" ca="1">IFERROR(INDIRECT("'"&amp;$A30&amp;"'!D4")," ")</f>
        <v xml:space="preserve"> </v>
      </c>
      <c r="I30" s="5" t="str" cm="1">
        <f t="array" aca="1" ref="I30" ca="1">IFERROR(INDIRECT("'"&amp;$A30&amp;"'!D7")," ")</f>
        <v xml:space="preserve"> </v>
      </c>
      <c r="J30" s="5" t="str" cm="1">
        <f t="array" aca="1" ref="J30" ca="1">IFERROR(INDIRECT("'"&amp;$A30&amp;"'!D8")," ")</f>
        <v xml:space="preserve"> </v>
      </c>
      <c r="K30" s="5" t="str" cm="1">
        <f t="array" aca="1" ref="K30" ca="1">IFERROR(INDIRECT("'"&amp;$A30&amp;"'!D5")," ")</f>
        <v xml:space="preserve"> </v>
      </c>
      <c r="L30" s="54" t="str" cm="1">
        <f t="array" aca="1" ref="L30" ca="1">IFERROR(INDIRECT("'"&amp;$A30&amp;"'!Q10")," ")</f>
        <v xml:space="preserve"> </v>
      </c>
      <c r="M30" s="43" t="str" cm="1">
        <f t="array" aca="1" ref="M30" ca="1">IFERROR(INDIRECT("'"&amp;$A30&amp;"'!Q5")," ")</f>
        <v xml:space="preserve"> </v>
      </c>
      <c r="N30" s="43" t="str" cm="1">
        <f t="array" aca="1" ref="N30" ca="1">IFERROR(INDIRECT("'"&amp;$A30&amp;"'!Q6")," ")</f>
        <v xml:space="preserve"> </v>
      </c>
      <c r="O30" s="43" t="str" cm="1">
        <f t="array" aca="1" ref="O30" ca="1">IFERROR(INDIRECT("'"&amp;$A30&amp;"'!Q7")," ")</f>
        <v xml:space="preserve"> </v>
      </c>
      <c r="P30" s="43" t="str" cm="1">
        <f t="array" aca="1" ref="P30" ca="1">IFERROR(INDIRECT("'"&amp;$A30&amp;"'!S5")," ")</f>
        <v xml:space="preserve"> </v>
      </c>
      <c r="Q30" s="43" t="str" cm="1">
        <f t="array" aca="1" ref="Q30" ca="1">IFERROR(INDIRECT("'"&amp;$A30&amp;"'!S6")," ")</f>
        <v xml:space="preserve"> </v>
      </c>
      <c r="R30" s="43" t="str" cm="1">
        <f t="array" aca="1" ref="R30" ca="1">IFERROR(INDIRECT("'"&amp;$A30&amp;"'!S7")," ")</f>
        <v xml:space="preserve"> </v>
      </c>
      <c r="S30" s="43" t="str" cm="1">
        <f t="array" aca="1" ref="S30" ca="1">IFERROR(INDIRECT("'"&amp;$A30&amp;"'!S8")," ")</f>
        <v xml:space="preserve"> </v>
      </c>
      <c r="T30" s="43" t="str" cm="1">
        <f t="array" aca="1" ref="T30" ca="1">IFERROR(INDIRECT("'"&amp;$A30&amp;"'!S9")," ")</f>
        <v xml:space="preserve"> </v>
      </c>
      <c r="U30" s="43" t="str" cm="1">
        <f t="array" aca="1" ref="U30" ca="1">IFERROR(INDIRECT("'"&amp;$A30&amp;"'!S10")," ")</f>
        <v xml:space="preserve"> </v>
      </c>
      <c r="V30" s="43" t="str" cm="1">
        <f t="array" aca="1" ref="V30" ca="1">IFERROR(INDIRECT("'"&amp;$A30&amp;"'!S11")," ")</f>
        <v xml:space="preserve"> </v>
      </c>
      <c r="W30" s="43" t="str" cm="1">
        <f t="array" aca="1" ref="W30" ca="1">IFERROR(INDIRECT("'"&amp;$A30&amp;"'!W5")," ")</f>
        <v xml:space="preserve"> </v>
      </c>
      <c r="X30" s="43" t="str" cm="1">
        <f t="array" aca="1" ref="X30" ca="1">IFERROR(INDIRECT("'"&amp;$A30&amp;"'!s8")," ")</f>
        <v xml:space="preserve"> </v>
      </c>
      <c r="Y30" s="43" t="str" cm="1">
        <f t="array" aca="1" ref="Y30" ca="1">IFERROR(INDIRECT("'"&amp;$A30&amp;"'!U5")," ")</f>
        <v xml:space="preserve"> </v>
      </c>
      <c r="Z30" s="43" t="str" cm="1">
        <f t="array" aca="1" ref="Z30" ca="1">IFERROR(INDIRECT("'"&amp;$A30&amp;"'!U6")," ")</f>
        <v xml:space="preserve"> </v>
      </c>
      <c r="AA30" s="43" t="str" cm="1">
        <f t="array" aca="1" ref="AA30" ca="1">IFERROR(INDIRECT("'"&amp;$A30&amp;"'!U7")," ")</f>
        <v xml:space="preserve"> </v>
      </c>
      <c r="AB30" s="43" t="str" cm="1">
        <f t="array" aca="1" ref="AB30" ca="1">IFERROR(INDIRECT("'"&amp;$A30&amp;"'!U8")," ")</f>
        <v xml:space="preserve"> </v>
      </c>
      <c r="AC30" s="43" t="str" cm="1">
        <f t="array" aca="1" ref="AC30" ca="1">IFERROR(INDIRECT("'"&amp;$A30&amp;"'!s9")," ")</f>
        <v xml:space="preserve"> </v>
      </c>
      <c r="AD30" s="7" t="str" cm="1">
        <f t="array" aca="1" ref="AD30" ca="1">IFERROR(INDIRECT("'"&amp;$A30&amp;"'!F6")," ")</f>
        <v xml:space="preserve"> </v>
      </c>
      <c r="AE30" s="118" t="str" cm="1">
        <f t="array" aca="1" ref="AE30" ca="1">IFERROR(INDIRECT("'"&amp;$A30&amp;"'!L4")," ")</f>
        <v xml:space="preserve"> </v>
      </c>
    </row>
    <row r="31" spans="2:31" ht="15" customHeight="1" x14ac:dyDescent="0.3">
      <c r="B31" s="8" t="str" cm="1">
        <f t="array" aca="1" ref="B31" ca="1">IFERROR(INDIRECT("'"&amp;$A31&amp;"'!A2"),"")</f>
        <v/>
      </c>
      <c r="C31" s="8" t="str" cm="1">
        <f t="array" aca="1" ref="C31" ca="1">IFERROR(INDIRECT("'"&amp;$A31&amp;"'!B5"),"")</f>
        <v/>
      </c>
      <c r="D31" s="9" t="str" cm="1">
        <f t="array" aca="1" ref="D31" ca="1">IFERROR(INDIRECT("'"&amp;$A31&amp;"'!B4"),"")</f>
        <v/>
      </c>
      <c r="E31" s="9" t="str" cm="1">
        <f t="array" aca="1" ref="E31" ca="1">IFERROR(INDIRECT("'"&amp;$A31&amp;"'!B7")," ")</f>
        <v xml:space="preserve"> </v>
      </c>
      <c r="F31" s="122" t="str" cm="1">
        <f t="array" aca="1" ref="F31" ca="1">IFERROR(INDIRECT("'"&amp;$A31&amp;"'!D9")," ")</f>
        <v xml:space="preserve"> </v>
      </c>
      <c r="G31" s="52" t="str" cm="1">
        <f t="array" aca="1" ref="G31" ca="1">IFERROR(INDIRECT("'"&amp;$A31&amp;"'!B9")," ")</f>
        <v xml:space="preserve"> </v>
      </c>
      <c r="H31" s="144" t="str" cm="1">
        <f t="array" aca="1" ref="H31" ca="1">IFERROR(INDIRECT("'"&amp;$A31&amp;"'!D4")," ")</f>
        <v xml:space="preserve"> </v>
      </c>
      <c r="I31" s="5" t="str" cm="1">
        <f t="array" aca="1" ref="I31" ca="1">IFERROR(INDIRECT("'"&amp;$A31&amp;"'!D7")," ")</f>
        <v xml:space="preserve"> </v>
      </c>
      <c r="J31" s="5" t="str" cm="1">
        <f t="array" aca="1" ref="J31" ca="1">IFERROR(INDIRECT("'"&amp;$A31&amp;"'!D8")," ")</f>
        <v xml:space="preserve"> </v>
      </c>
      <c r="K31" s="5" t="str" cm="1">
        <f t="array" aca="1" ref="K31" ca="1">IFERROR(INDIRECT("'"&amp;$A31&amp;"'!D5")," ")</f>
        <v xml:space="preserve"> </v>
      </c>
      <c r="L31" s="54" t="str" cm="1">
        <f t="array" aca="1" ref="L31" ca="1">IFERROR(INDIRECT("'"&amp;$A31&amp;"'!Q10")," ")</f>
        <v xml:space="preserve"> </v>
      </c>
      <c r="M31" s="43" t="str" cm="1">
        <f t="array" aca="1" ref="M31" ca="1">IFERROR(INDIRECT("'"&amp;$A31&amp;"'!Q5")," ")</f>
        <v xml:space="preserve"> </v>
      </c>
      <c r="N31" s="43" t="str" cm="1">
        <f t="array" aca="1" ref="N31" ca="1">IFERROR(INDIRECT("'"&amp;$A31&amp;"'!Q6")," ")</f>
        <v xml:space="preserve"> </v>
      </c>
      <c r="O31" s="43" t="str" cm="1">
        <f t="array" aca="1" ref="O31" ca="1">IFERROR(INDIRECT("'"&amp;$A31&amp;"'!Q7")," ")</f>
        <v xml:space="preserve"> </v>
      </c>
      <c r="P31" s="43" t="str" cm="1">
        <f t="array" aca="1" ref="P31" ca="1">IFERROR(INDIRECT("'"&amp;$A31&amp;"'!S5")," ")</f>
        <v xml:space="preserve"> </v>
      </c>
      <c r="Q31" s="43" t="str" cm="1">
        <f t="array" aca="1" ref="Q31" ca="1">IFERROR(INDIRECT("'"&amp;$A31&amp;"'!S6")," ")</f>
        <v xml:space="preserve"> </v>
      </c>
      <c r="R31" s="43" t="str" cm="1">
        <f t="array" aca="1" ref="R31" ca="1">IFERROR(INDIRECT("'"&amp;$A31&amp;"'!S7")," ")</f>
        <v xml:space="preserve"> </v>
      </c>
      <c r="S31" s="43" t="str" cm="1">
        <f t="array" aca="1" ref="S31" ca="1">IFERROR(INDIRECT("'"&amp;$A31&amp;"'!S8")," ")</f>
        <v xml:space="preserve"> </v>
      </c>
      <c r="T31" s="43" t="str" cm="1">
        <f t="array" aca="1" ref="T31" ca="1">IFERROR(INDIRECT("'"&amp;$A31&amp;"'!S9")," ")</f>
        <v xml:space="preserve"> </v>
      </c>
      <c r="U31" s="43" t="str" cm="1">
        <f t="array" aca="1" ref="U31" ca="1">IFERROR(INDIRECT("'"&amp;$A31&amp;"'!S10")," ")</f>
        <v xml:space="preserve"> </v>
      </c>
      <c r="V31" s="43" t="str" cm="1">
        <f t="array" aca="1" ref="V31" ca="1">IFERROR(INDIRECT("'"&amp;$A31&amp;"'!S11")," ")</f>
        <v xml:space="preserve"> </v>
      </c>
      <c r="W31" s="43" t="str" cm="1">
        <f t="array" aca="1" ref="W31" ca="1">IFERROR(INDIRECT("'"&amp;$A31&amp;"'!W5")," ")</f>
        <v xml:space="preserve"> </v>
      </c>
      <c r="X31" s="43" t="str" cm="1">
        <f t="array" aca="1" ref="X31" ca="1">IFERROR(INDIRECT("'"&amp;$A31&amp;"'!s8")," ")</f>
        <v xml:space="preserve"> </v>
      </c>
      <c r="Y31" s="43" t="str" cm="1">
        <f t="array" aca="1" ref="Y31" ca="1">IFERROR(INDIRECT("'"&amp;$A31&amp;"'!U5")," ")</f>
        <v xml:space="preserve"> </v>
      </c>
      <c r="Z31" s="43" t="str" cm="1">
        <f t="array" aca="1" ref="Z31" ca="1">IFERROR(INDIRECT("'"&amp;$A31&amp;"'!U6")," ")</f>
        <v xml:space="preserve"> </v>
      </c>
      <c r="AA31" s="43" t="str" cm="1">
        <f t="array" aca="1" ref="AA31" ca="1">IFERROR(INDIRECT("'"&amp;$A31&amp;"'!U7")," ")</f>
        <v xml:space="preserve"> </v>
      </c>
      <c r="AB31" s="43" t="str" cm="1">
        <f t="array" aca="1" ref="AB31" ca="1">IFERROR(INDIRECT("'"&amp;$A31&amp;"'!U8")," ")</f>
        <v xml:space="preserve"> </v>
      </c>
      <c r="AC31" s="43" t="str" cm="1">
        <f t="array" aca="1" ref="AC31" ca="1">IFERROR(INDIRECT("'"&amp;$A31&amp;"'!s9")," ")</f>
        <v xml:space="preserve"> </v>
      </c>
      <c r="AD31" s="7" t="str" cm="1">
        <f t="array" aca="1" ref="AD31" ca="1">IFERROR(INDIRECT("'"&amp;$A31&amp;"'!F6")," ")</f>
        <v xml:space="preserve"> </v>
      </c>
      <c r="AE31" s="118" t="str" cm="1">
        <f t="array" aca="1" ref="AE31" ca="1">IFERROR(INDIRECT("'"&amp;$A31&amp;"'!L4")," ")</f>
        <v xml:space="preserve"> </v>
      </c>
    </row>
    <row r="32" spans="2:31" ht="15" customHeight="1" x14ac:dyDescent="0.3">
      <c r="B32" s="8" t="str" cm="1">
        <f t="array" aca="1" ref="B32" ca="1">IFERROR(INDIRECT("'"&amp;$A32&amp;"'!A2"),"")</f>
        <v/>
      </c>
      <c r="C32" s="8" t="str" cm="1">
        <f t="array" aca="1" ref="C32" ca="1">IFERROR(INDIRECT("'"&amp;$A32&amp;"'!B5"),"")</f>
        <v/>
      </c>
      <c r="D32" s="9" t="str" cm="1">
        <f t="array" aca="1" ref="D32" ca="1">IFERROR(INDIRECT("'"&amp;$A32&amp;"'!B4"),"")</f>
        <v/>
      </c>
      <c r="E32" s="9" t="str" cm="1">
        <f t="array" aca="1" ref="E32" ca="1">IFERROR(INDIRECT("'"&amp;$A32&amp;"'!B7")," ")</f>
        <v xml:space="preserve"> </v>
      </c>
      <c r="F32" s="122" t="str" cm="1">
        <f t="array" aca="1" ref="F32" ca="1">IFERROR(INDIRECT("'"&amp;$A32&amp;"'!D9")," ")</f>
        <v xml:space="preserve"> </v>
      </c>
      <c r="G32" s="52" t="str" cm="1">
        <f t="array" aca="1" ref="G32" ca="1">IFERROR(INDIRECT("'"&amp;$A32&amp;"'!B9")," ")</f>
        <v xml:space="preserve"> </v>
      </c>
      <c r="H32" s="144" t="str" cm="1">
        <f t="array" aca="1" ref="H32" ca="1">IFERROR(INDIRECT("'"&amp;$A32&amp;"'!D4")," ")</f>
        <v xml:space="preserve"> </v>
      </c>
      <c r="I32" s="5" t="str" cm="1">
        <f t="array" aca="1" ref="I32" ca="1">IFERROR(INDIRECT("'"&amp;$A32&amp;"'!D7")," ")</f>
        <v xml:space="preserve"> </v>
      </c>
      <c r="J32" s="5" t="str" cm="1">
        <f t="array" aca="1" ref="J32" ca="1">IFERROR(INDIRECT("'"&amp;$A32&amp;"'!D8")," ")</f>
        <v xml:space="preserve"> </v>
      </c>
      <c r="K32" s="5" t="str" cm="1">
        <f t="array" aca="1" ref="K32" ca="1">IFERROR(INDIRECT("'"&amp;$A32&amp;"'!D5")," ")</f>
        <v xml:space="preserve"> </v>
      </c>
      <c r="L32" s="54" t="str" cm="1">
        <f t="array" aca="1" ref="L32" ca="1">IFERROR(INDIRECT("'"&amp;$A32&amp;"'!Q10")," ")</f>
        <v xml:space="preserve"> </v>
      </c>
      <c r="M32" s="43" t="str" cm="1">
        <f t="array" aca="1" ref="M32" ca="1">IFERROR(INDIRECT("'"&amp;$A32&amp;"'!Q5")," ")</f>
        <v xml:space="preserve"> </v>
      </c>
      <c r="N32" s="43" t="str" cm="1">
        <f t="array" aca="1" ref="N32" ca="1">IFERROR(INDIRECT("'"&amp;$A32&amp;"'!Q6")," ")</f>
        <v xml:space="preserve"> </v>
      </c>
      <c r="O32" s="43" t="str" cm="1">
        <f t="array" aca="1" ref="O32" ca="1">IFERROR(INDIRECT("'"&amp;$A32&amp;"'!Q7")," ")</f>
        <v xml:space="preserve"> </v>
      </c>
      <c r="P32" s="43" t="str" cm="1">
        <f t="array" aca="1" ref="P32" ca="1">IFERROR(INDIRECT("'"&amp;$A32&amp;"'!S5")," ")</f>
        <v xml:space="preserve"> </v>
      </c>
      <c r="Q32" s="43" t="str" cm="1">
        <f t="array" aca="1" ref="Q32" ca="1">IFERROR(INDIRECT("'"&amp;$A32&amp;"'!S6")," ")</f>
        <v xml:space="preserve"> </v>
      </c>
      <c r="R32" s="43" t="str" cm="1">
        <f t="array" aca="1" ref="R32" ca="1">IFERROR(INDIRECT("'"&amp;$A32&amp;"'!S7")," ")</f>
        <v xml:space="preserve"> </v>
      </c>
      <c r="S32" s="43" t="str" cm="1">
        <f t="array" aca="1" ref="S32" ca="1">IFERROR(INDIRECT("'"&amp;$A32&amp;"'!S8")," ")</f>
        <v xml:space="preserve"> </v>
      </c>
      <c r="T32" s="43" t="str" cm="1">
        <f t="array" aca="1" ref="T32" ca="1">IFERROR(INDIRECT("'"&amp;$A32&amp;"'!S9")," ")</f>
        <v xml:space="preserve"> </v>
      </c>
      <c r="U32" s="43" t="str" cm="1">
        <f t="array" aca="1" ref="U32" ca="1">IFERROR(INDIRECT("'"&amp;$A32&amp;"'!S10")," ")</f>
        <v xml:space="preserve"> </v>
      </c>
      <c r="V32" s="43" t="str" cm="1">
        <f t="array" aca="1" ref="V32" ca="1">IFERROR(INDIRECT("'"&amp;$A32&amp;"'!S11")," ")</f>
        <v xml:space="preserve"> </v>
      </c>
      <c r="W32" s="43" t="str" cm="1">
        <f t="array" aca="1" ref="W32" ca="1">IFERROR(INDIRECT("'"&amp;$A32&amp;"'!W5")," ")</f>
        <v xml:space="preserve"> </v>
      </c>
      <c r="X32" s="43" t="str" cm="1">
        <f t="array" aca="1" ref="X32" ca="1">IFERROR(INDIRECT("'"&amp;$A32&amp;"'!s8")," ")</f>
        <v xml:space="preserve"> </v>
      </c>
      <c r="Y32" s="43" t="str" cm="1">
        <f t="array" aca="1" ref="Y32" ca="1">IFERROR(INDIRECT("'"&amp;$A32&amp;"'!U5")," ")</f>
        <v xml:space="preserve"> </v>
      </c>
      <c r="Z32" s="43" t="str" cm="1">
        <f t="array" aca="1" ref="Z32" ca="1">IFERROR(INDIRECT("'"&amp;$A32&amp;"'!U6")," ")</f>
        <v xml:space="preserve"> </v>
      </c>
      <c r="AA32" s="43" t="str" cm="1">
        <f t="array" aca="1" ref="AA32" ca="1">IFERROR(INDIRECT("'"&amp;$A32&amp;"'!U7")," ")</f>
        <v xml:space="preserve"> </v>
      </c>
      <c r="AB32" s="43" t="str" cm="1">
        <f t="array" aca="1" ref="AB32" ca="1">IFERROR(INDIRECT("'"&amp;$A32&amp;"'!U8")," ")</f>
        <v xml:space="preserve"> </v>
      </c>
      <c r="AC32" s="43" t="str" cm="1">
        <f t="array" aca="1" ref="AC32" ca="1">IFERROR(INDIRECT("'"&amp;$A32&amp;"'!s9")," ")</f>
        <v xml:space="preserve"> </v>
      </c>
      <c r="AD32" s="7" t="str" cm="1">
        <f t="array" aca="1" ref="AD32" ca="1">IFERROR(INDIRECT("'"&amp;$A32&amp;"'!F6")," ")</f>
        <v xml:space="preserve"> </v>
      </c>
      <c r="AE32" s="118" t="str" cm="1">
        <f t="array" aca="1" ref="AE32" ca="1">IFERROR(INDIRECT("'"&amp;$A32&amp;"'!L4")," ")</f>
        <v xml:space="preserve"> </v>
      </c>
    </row>
    <row r="33" spans="2:31" ht="15" customHeight="1" x14ac:dyDescent="0.3">
      <c r="B33" s="8" t="str" cm="1">
        <f t="array" aca="1" ref="B33" ca="1">IFERROR(INDIRECT("'"&amp;$A33&amp;"'!A2"),"")</f>
        <v/>
      </c>
      <c r="C33" s="8" t="str" cm="1">
        <f t="array" aca="1" ref="C33" ca="1">IFERROR(INDIRECT("'"&amp;$A33&amp;"'!B5"),"")</f>
        <v/>
      </c>
      <c r="D33" s="9" t="str" cm="1">
        <f t="array" aca="1" ref="D33" ca="1">IFERROR(INDIRECT("'"&amp;$A33&amp;"'!B4"),"")</f>
        <v/>
      </c>
      <c r="E33" s="9" t="str" cm="1">
        <f t="array" aca="1" ref="E33" ca="1">IFERROR(INDIRECT("'"&amp;$A33&amp;"'!B7")," ")</f>
        <v xml:space="preserve"> </v>
      </c>
      <c r="F33" s="122" t="str" cm="1">
        <f t="array" aca="1" ref="F33" ca="1">IFERROR(INDIRECT("'"&amp;$A33&amp;"'!D9")," ")</f>
        <v xml:space="preserve"> </v>
      </c>
      <c r="G33" s="52" t="str" cm="1">
        <f t="array" aca="1" ref="G33" ca="1">IFERROR(INDIRECT("'"&amp;$A33&amp;"'!B9")," ")</f>
        <v xml:space="preserve"> </v>
      </c>
      <c r="H33" s="144" t="str" cm="1">
        <f t="array" aca="1" ref="H33" ca="1">IFERROR(INDIRECT("'"&amp;$A33&amp;"'!D4")," ")</f>
        <v xml:space="preserve"> </v>
      </c>
      <c r="I33" s="5" t="str" cm="1">
        <f t="array" aca="1" ref="I33" ca="1">IFERROR(INDIRECT("'"&amp;$A33&amp;"'!D7")," ")</f>
        <v xml:space="preserve"> </v>
      </c>
      <c r="J33" s="5" t="str" cm="1">
        <f t="array" aca="1" ref="J33" ca="1">IFERROR(INDIRECT("'"&amp;$A33&amp;"'!D8")," ")</f>
        <v xml:space="preserve"> </v>
      </c>
      <c r="K33" s="5" t="str" cm="1">
        <f t="array" aca="1" ref="K33" ca="1">IFERROR(INDIRECT("'"&amp;$A33&amp;"'!D5")," ")</f>
        <v xml:space="preserve"> </v>
      </c>
      <c r="L33" s="54" t="str" cm="1">
        <f t="array" aca="1" ref="L33" ca="1">IFERROR(INDIRECT("'"&amp;$A33&amp;"'!Q10")," ")</f>
        <v xml:space="preserve"> </v>
      </c>
      <c r="M33" s="43" t="str" cm="1">
        <f t="array" aca="1" ref="M33" ca="1">IFERROR(INDIRECT("'"&amp;$A33&amp;"'!Q5")," ")</f>
        <v xml:space="preserve"> </v>
      </c>
      <c r="N33" s="43" t="str" cm="1">
        <f t="array" aca="1" ref="N33" ca="1">IFERROR(INDIRECT("'"&amp;$A33&amp;"'!Q6")," ")</f>
        <v xml:space="preserve"> </v>
      </c>
      <c r="O33" s="43" t="str" cm="1">
        <f t="array" aca="1" ref="O33" ca="1">IFERROR(INDIRECT("'"&amp;$A33&amp;"'!Q7")," ")</f>
        <v xml:space="preserve"> </v>
      </c>
      <c r="P33" s="43" t="str" cm="1">
        <f t="array" aca="1" ref="P33" ca="1">IFERROR(INDIRECT("'"&amp;$A33&amp;"'!S5")," ")</f>
        <v xml:space="preserve"> </v>
      </c>
      <c r="Q33" s="43" t="str" cm="1">
        <f t="array" aca="1" ref="Q33" ca="1">IFERROR(INDIRECT("'"&amp;$A33&amp;"'!S6")," ")</f>
        <v xml:space="preserve"> </v>
      </c>
      <c r="R33" s="43" t="str" cm="1">
        <f t="array" aca="1" ref="R33" ca="1">IFERROR(INDIRECT("'"&amp;$A33&amp;"'!S7")," ")</f>
        <v xml:space="preserve"> </v>
      </c>
      <c r="S33" s="43" t="str" cm="1">
        <f t="array" aca="1" ref="S33" ca="1">IFERROR(INDIRECT("'"&amp;$A33&amp;"'!S8")," ")</f>
        <v xml:space="preserve"> </v>
      </c>
      <c r="T33" s="43" t="str" cm="1">
        <f t="array" aca="1" ref="T33" ca="1">IFERROR(INDIRECT("'"&amp;$A33&amp;"'!S9")," ")</f>
        <v xml:space="preserve"> </v>
      </c>
      <c r="U33" s="43" t="str" cm="1">
        <f t="array" aca="1" ref="U33" ca="1">IFERROR(INDIRECT("'"&amp;$A33&amp;"'!S10")," ")</f>
        <v xml:space="preserve"> </v>
      </c>
      <c r="V33" s="43" t="str" cm="1">
        <f t="array" aca="1" ref="V33" ca="1">IFERROR(INDIRECT("'"&amp;$A33&amp;"'!S11")," ")</f>
        <v xml:space="preserve"> </v>
      </c>
      <c r="W33" s="43" t="str" cm="1">
        <f t="array" aca="1" ref="W33" ca="1">IFERROR(INDIRECT("'"&amp;$A33&amp;"'!W5")," ")</f>
        <v xml:space="preserve"> </v>
      </c>
      <c r="X33" s="43" t="str" cm="1">
        <f t="array" aca="1" ref="X33" ca="1">IFERROR(INDIRECT("'"&amp;$A33&amp;"'!s8")," ")</f>
        <v xml:space="preserve"> </v>
      </c>
      <c r="Y33" s="43" t="str" cm="1">
        <f t="array" aca="1" ref="Y33" ca="1">IFERROR(INDIRECT("'"&amp;$A33&amp;"'!U5")," ")</f>
        <v xml:space="preserve"> </v>
      </c>
      <c r="Z33" s="43" t="str" cm="1">
        <f t="array" aca="1" ref="Z33" ca="1">IFERROR(INDIRECT("'"&amp;$A33&amp;"'!U6")," ")</f>
        <v xml:space="preserve"> </v>
      </c>
      <c r="AA33" s="43" t="str" cm="1">
        <f t="array" aca="1" ref="AA33" ca="1">IFERROR(INDIRECT("'"&amp;$A33&amp;"'!U7")," ")</f>
        <v xml:space="preserve"> </v>
      </c>
      <c r="AB33" s="43" t="str" cm="1">
        <f t="array" aca="1" ref="AB33" ca="1">IFERROR(INDIRECT("'"&amp;$A33&amp;"'!U8")," ")</f>
        <v xml:space="preserve"> </v>
      </c>
      <c r="AC33" s="43" t="str" cm="1">
        <f t="array" aca="1" ref="AC33" ca="1">IFERROR(INDIRECT("'"&amp;$A33&amp;"'!s9")," ")</f>
        <v xml:space="preserve"> </v>
      </c>
      <c r="AD33" s="7" t="str" cm="1">
        <f t="array" aca="1" ref="AD33" ca="1">IFERROR(INDIRECT("'"&amp;$A33&amp;"'!F6")," ")</f>
        <v xml:space="preserve"> </v>
      </c>
      <c r="AE33" s="118" t="str" cm="1">
        <f t="array" aca="1" ref="AE33" ca="1">IFERROR(INDIRECT("'"&amp;$A33&amp;"'!L4")," ")</f>
        <v xml:space="preserve"> </v>
      </c>
    </row>
    <row r="34" spans="2:31" ht="15" customHeight="1" x14ac:dyDescent="0.3">
      <c r="B34" s="8" t="str" cm="1">
        <f t="array" aca="1" ref="B34" ca="1">IFERROR(INDIRECT("'"&amp;$A34&amp;"'!A2"),"")</f>
        <v/>
      </c>
      <c r="C34" s="8" t="str" cm="1">
        <f t="array" aca="1" ref="C34" ca="1">IFERROR(INDIRECT("'"&amp;$A34&amp;"'!B5"),"")</f>
        <v/>
      </c>
      <c r="D34" s="9" t="str" cm="1">
        <f t="array" aca="1" ref="D34" ca="1">IFERROR(INDIRECT("'"&amp;$A34&amp;"'!B4"),"")</f>
        <v/>
      </c>
      <c r="E34" s="9" t="str" cm="1">
        <f t="array" aca="1" ref="E34" ca="1">IFERROR(INDIRECT("'"&amp;$A34&amp;"'!B7")," ")</f>
        <v xml:space="preserve"> </v>
      </c>
      <c r="F34" s="122" t="str" cm="1">
        <f t="array" aca="1" ref="F34" ca="1">IFERROR(INDIRECT("'"&amp;$A34&amp;"'!D9")," ")</f>
        <v xml:space="preserve"> </v>
      </c>
      <c r="G34" s="52" t="str" cm="1">
        <f t="array" aca="1" ref="G34" ca="1">IFERROR(INDIRECT("'"&amp;$A34&amp;"'!B9")," ")</f>
        <v xml:space="preserve"> </v>
      </c>
      <c r="H34" s="70" t="str" cm="1">
        <f t="array" aca="1" ref="H34" ca="1">IFERROR(INDIRECT("'"&amp;$A34&amp;"'!D4")," ")</f>
        <v xml:space="preserve"> </v>
      </c>
      <c r="I34" s="5" t="str" cm="1">
        <f t="array" aca="1" ref="I34" ca="1">IFERROR(INDIRECT("'"&amp;$A34&amp;"'!D7")," ")</f>
        <v xml:space="preserve"> </v>
      </c>
      <c r="J34" s="5" t="str" cm="1">
        <f t="array" aca="1" ref="J34" ca="1">IFERROR(INDIRECT("'"&amp;$A34&amp;"'!D8")," ")</f>
        <v xml:space="preserve"> </v>
      </c>
      <c r="K34" s="5" t="str" cm="1">
        <f t="array" aca="1" ref="K34" ca="1">IFERROR(INDIRECT("'"&amp;$A34&amp;"'!D5")," ")</f>
        <v xml:space="preserve"> </v>
      </c>
      <c r="L34" s="54" t="str" cm="1">
        <f t="array" aca="1" ref="L34" ca="1">IFERROR(INDIRECT("'"&amp;$A34&amp;"'!Q10")," ")</f>
        <v xml:space="preserve"> </v>
      </c>
      <c r="M34" s="43" t="str" cm="1">
        <f t="array" aca="1" ref="M34" ca="1">IFERROR(INDIRECT("'"&amp;$A34&amp;"'!Q5")," ")</f>
        <v xml:space="preserve"> </v>
      </c>
      <c r="N34" s="43" t="str" cm="1">
        <f t="array" aca="1" ref="N34" ca="1">IFERROR(INDIRECT("'"&amp;$A34&amp;"'!Q6")," ")</f>
        <v xml:space="preserve"> </v>
      </c>
      <c r="O34" s="43" t="str" cm="1">
        <f t="array" aca="1" ref="O34" ca="1">IFERROR(INDIRECT("'"&amp;$A34&amp;"'!Q7")," ")</f>
        <v xml:space="preserve"> </v>
      </c>
      <c r="P34" s="43" t="str" cm="1">
        <f t="array" aca="1" ref="P34" ca="1">IFERROR(INDIRECT("'"&amp;$A34&amp;"'!S5")," ")</f>
        <v xml:space="preserve"> </v>
      </c>
      <c r="Q34" s="43" t="str" cm="1">
        <f t="array" aca="1" ref="Q34" ca="1">IFERROR(INDIRECT("'"&amp;$A34&amp;"'!S6")," ")</f>
        <v xml:space="preserve"> </v>
      </c>
      <c r="R34" s="43" t="str" cm="1">
        <f t="array" aca="1" ref="R34" ca="1">IFERROR(INDIRECT("'"&amp;$A34&amp;"'!S7")," ")</f>
        <v xml:space="preserve"> </v>
      </c>
      <c r="S34" s="43" t="str" cm="1">
        <f t="array" aca="1" ref="S34" ca="1">IFERROR(INDIRECT("'"&amp;$A34&amp;"'!S8")," ")</f>
        <v xml:space="preserve"> </v>
      </c>
      <c r="T34" s="43" t="str" cm="1">
        <f t="array" aca="1" ref="T34" ca="1">IFERROR(INDIRECT("'"&amp;$A34&amp;"'!S9")," ")</f>
        <v xml:space="preserve"> </v>
      </c>
      <c r="U34" s="43" t="str" cm="1">
        <f t="array" aca="1" ref="U34" ca="1">IFERROR(INDIRECT("'"&amp;$A34&amp;"'!S10")," ")</f>
        <v xml:space="preserve"> </v>
      </c>
      <c r="V34" s="43" t="str" cm="1">
        <f t="array" aca="1" ref="V34" ca="1">IFERROR(INDIRECT("'"&amp;$A34&amp;"'!S11")," ")</f>
        <v xml:space="preserve"> </v>
      </c>
      <c r="W34" s="43" t="str" cm="1">
        <f t="array" aca="1" ref="W34" ca="1">IFERROR(INDIRECT("'"&amp;$A34&amp;"'!W5")," ")</f>
        <v xml:space="preserve"> </v>
      </c>
      <c r="X34" s="43" t="str" cm="1">
        <f t="array" aca="1" ref="X34" ca="1">IFERROR(INDIRECT("'"&amp;$A34&amp;"'!s8")," ")</f>
        <v xml:space="preserve"> </v>
      </c>
      <c r="Y34" s="43" t="str" cm="1">
        <f t="array" aca="1" ref="Y34" ca="1">IFERROR(INDIRECT("'"&amp;$A34&amp;"'!U5")," ")</f>
        <v xml:space="preserve"> </v>
      </c>
      <c r="Z34" s="43" t="str" cm="1">
        <f t="array" aca="1" ref="Z34" ca="1">IFERROR(INDIRECT("'"&amp;$A34&amp;"'!U6")," ")</f>
        <v xml:space="preserve"> </v>
      </c>
      <c r="AA34" s="43" t="str" cm="1">
        <f t="array" aca="1" ref="AA34" ca="1">IFERROR(INDIRECT("'"&amp;$A34&amp;"'!U7")," ")</f>
        <v xml:space="preserve"> </v>
      </c>
      <c r="AB34" s="43" t="str" cm="1">
        <f t="array" aca="1" ref="AB34" ca="1">IFERROR(INDIRECT("'"&amp;$A34&amp;"'!U8")," ")</f>
        <v xml:space="preserve"> </v>
      </c>
      <c r="AC34" s="43" t="str" cm="1">
        <f t="array" aca="1" ref="AC34" ca="1">IFERROR(INDIRECT("'"&amp;$A34&amp;"'!s9")," ")</f>
        <v xml:space="preserve"> </v>
      </c>
      <c r="AD34" s="7" t="str" cm="1">
        <f t="array" aca="1" ref="AD34" ca="1">IFERROR(INDIRECT("'"&amp;$A34&amp;"'!F6")," ")</f>
        <v xml:space="preserve"> </v>
      </c>
      <c r="AE34" s="118" t="str" cm="1">
        <f t="array" aca="1" ref="AE34" ca="1">IFERROR(INDIRECT("'"&amp;$A34&amp;"'!L4")," ")</f>
        <v xml:space="preserve"> </v>
      </c>
    </row>
    <row r="35" spans="2:31" ht="15" customHeight="1" x14ac:dyDescent="0.3">
      <c r="B35" s="8" t="str" cm="1">
        <f t="array" aca="1" ref="B35" ca="1">IFERROR(INDIRECT("'"&amp;$A35&amp;"'!A2"),"")</f>
        <v/>
      </c>
      <c r="C35" s="8" t="str" cm="1">
        <f t="array" aca="1" ref="C35" ca="1">IFERROR(INDIRECT("'"&amp;$A35&amp;"'!B5"),"")</f>
        <v/>
      </c>
      <c r="D35" s="9" t="str" cm="1">
        <f t="array" aca="1" ref="D35" ca="1">IFERROR(INDIRECT("'"&amp;$A35&amp;"'!B4"),"")</f>
        <v/>
      </c>
      <c r="E35" s="9" t="str" cm="1">
        <f t="array" aca="1" ref="E35" ca="1">IFERROR(INDIRECT("'"&amp;$A35&amp;"'!B7")," ")</f>
        <v xml:space="preserve"> </v>
      </c>
      <c r="F35" s="122" t="str" cm="1">
        <f t="array" aca="1" ref="F35" ca="1">IFERROR(INDIRECT("'"&amp;$A35&amp;"'!D9")," ")</f>
        <v xml:space="preserve"> </v>
      </c>
      <c r="G35" s="52" t="str" cm="1">
        <f t="array" aca="1" ref="G35" ca="1">IFERROR(INDIRECT("'"&amp;$A35&amp;"'!B9")," ")</f>
        <v xml:space="preserve"> </v>
      </c>
      <c r="H35" s="144" t="str" cm="1">
        <f t="array" aca="1" ref="H35" ca="1">IFERROR(INDIRECT("'"&amp;$A35&amp;"'!D4")," ")</f>
        <v xml:space="preserve"> </v>
      </c>
      <c r="I35" s="5" t="str" cm="1">
        <f t="array" aca="1" ref="I35" ca="1">IFERROR(INDIRECT("'"&amp;$A35&amp;"'!D7")," ")</f>
        <v xml:space="preserve"> </v>
      </c>
      <c r="J35" s="5" t="str" cm="1">
        <f t="array" aca="1" ref="J35" ca="1">IFERROR(INDIRECT("'"&amp;$A35&amp;"'!D8")," ")</f>
        <v xml:space="preserve"> </v>
      </c>
      <c r="K35" s="5" t="str" cm="1">
        <f t="array" aca="1" ref="K35" ca="1">IFERROR(INDIRECT("'"&amp;$A35&amp;"'!D5")," ")</f>
        <v xml:space="preserve"> </v>
      </c>
      <c r="L35" s="54" t="str" cm="1">
        <f t="array" aca="1" ref="L35" ca="1">IFERROR(INDIRECT("'"&amp;$A35&amp;"'!Q10")," ")</f>
        <v xml:space="preserve"> </v>
      </c>
      <c r="M35" s="43" t="str" cm="1">
        <f t="array" aca="1" ref="M35" ca="1">IFERROR(INDIRECT("'"&amp;$A35&amp;"'!Q5")," ")</f>
        <v xml:space="preserve"> </v>
      </c>
      <c r="N35" s="43" t="str" cm="1">
        <f t="array" aca="1" ref="N35" ca="1">IFERROR(INDIRECT("'"&amp;$A35&amp;"'!Q6")," ")</f>
        <v xml:space="preserve"> </v>
      </c>
      <c r="O35" s="43" t="str" cm="1">
        <f t="array" aca="1" ref="O35" ca="1">IFERROR(INDIRECT("'"&amp;$A35&amp;"'!Q7")," ")</f>
        <v xml:space="preserve"> </v>
      </c>
      <c r="P35" s="43" t="str" cm="1">
        <f t="array" aca="1" ref="P35" ca="1">IFERROR(INDIRECT("'"&amp;$A35&amp;"'!S5")," ")</f>
        <v xml:space="preserve"> </v>
      </c>
      <c r="Q35" s="43" t="str" cm="1">
        <f t="array" aca="1" ref="Q35" ca="1">IFERROR(INDIRECT("'"&amp;$A35&amp;"'!S6")," ")</f>
        <v xml:space="preserve"> </v>
      </c>
      <c r="R35" s="43" t="str" cm="1">
        <f t="array" aca="1" ref="R35" ca="1">IFERROR(INDIRECT("'"&amp;$A35&amp;"'!S7")," ")</f>
        <v xml:space="preserve"> </v>
      </c>
      <c r="S35" s="43" t="str" cm="1">
        <f t="array" aca="1" ref="S35" ca="1">IFERROR(INDIRECT("'"&amp;$A35&amp;"'!S8")," ")</f>
        <v xml:space="preserve"> </v>
      </c>
      <c r="T35" s="43" t="str" cm="1">
        <f t="array" aca="1" ref="T35" ca="1">IFERROR(INDIRECT("'"&amp;$A35&amp;"'!S9")," ")</f>
        <v xml:space="preserve"> </v>
      </c>
      <c r="U35" s="43" t="str" cm="1">
        <f t="array" aca="1" ref="U35" ca="1">IFERROR(INDIRECT("'"&amp;$A35&amp;"'!S10")," ")</f>
        <v xml:space="preserve"> </v>
      </c>
      <c r="V35" s="43" t="str" cm="1">
        <f t="array" aca="1" ref="V35" ca="1">IFERROR(INDIRECT("'"&amp;$A35&amp;"'!S11")," ")</f>
        <v xml:space="preserve"> </v>
      </c>
      <c r="W35" s="43" t="str" cm="1">
        <f t="array" aca="1" ref="W35" ca="1">IFERROR(INDIRECT("'"&amp;$A35&amp;"'!W5")," ")</f>
        <v xml:space="preserve"> </v>
      </c>
      <c r="X35" s="43" t="str" cm="1">
        <f t="array" aca="1" ref="X35" ca="1">IFERROR(INDIRECT("'"&amp;$A35&amp;"'!s8")," ")</f>
        <v xml:space="preserve"> </v>
      </c>
      <c r="Y35" s="43" t="str" cm="1">
        <f t="array" aca="1" ref="Y35" ca="1">IFERROR(INDIRECT("'"&amp;$A35&amp;"'!U5")," ")</f>
        <v xml:space="preserve"> </v>
      </c>
      <c r="Z35" s="43" t="str" cm="1">
        <f t="array" aca="1" ref="Z35" ca="1">IFERROR(INDIRECT("'"&amp;$A35&amp;"'!U6")," ")</f>
        <v xml:space="preserve"> </v>
      </c>
      <c r="AA35" s="43" t="str" cm="1">
        <f t="array" aca="1" ref="AA35" ca="1">IFERROR(INDIRECT("'"&amp;$A35&amp;"'!U7")," ")</f>
        <v xml:space="preserve"> </v>
      </c>
      <c r="AB35" s="43" t="str" cm="1">
        <f t="array" aca="1" ref="AB35" ca="1">IFERROR(INDIRECT("'"&amp;$A35&amp;"'!U8")," ")</f>
        <v xml:space="preserve"> </v>
      </c>
      <c r="AC35" s="43" t="str" cm="1">
        <f t="array" aca="1" ref="AC35" ca="1">IFERROR(INDIRECT("'"&amp;$A35&amp;"'!s9")," ")</f>
        <v xml:space="preserve"> </v>
      </c>
      <c r="AD35" s="7" t="str" cm="1">
        <f t="array" aca="1" ref="AD35" ca="1">IFERROR(INDIRECT("'"&amp;$A35&amp;"'!F6")," ")</f>
        <v xml:space="preserve"> </v>
      </c>
      <c r="AE35" s="118" t="str" cm="1">
        <f t="array" aca="1" ref="AE35" ca="1">IFERROR(INDIRECT("'"&amp;$A35&amp;"'!L4")," ")</f>
        <v xml:space="preserve"> </v>
      </c>
    </row>
    <row r="36" spans="2:31" ht="15" customHeight="1" x14ac:dyDescent="0.3">
      <c r="B36" s="8" t="str" cm="1">
        <f t="array" aca="1" ref="B36" ca="1">IFERROR(INDIRECT("'"&amp;$A36&amp;"'!A2"),"")</f>
        <v/>
      </c>
      <c r="C36" s="8" t="str" cm="1">
        <f t="array" aca="1" ref="C36" ca="1">IFERROR(INDIRECT("'"&amp;$A36&amp;"'!B5"),"")</f>
        <v/>
      </c>
      <c r="D36" s="9" t="str" cm="1">
        <f t="array" aca="1" ref="D36" ca="1">IFERROR(INDIRECT("'"&amp;$A36&amp;"'!B4"),"")</f>
        <v/>
      </c>
      <c r="E36" s="9" t="str" cm="1">
        <f t="array" aca="1" ref="E36" ca="1">IFERROR(INDIRECT("'"&amp;$A36&amp;"'!B7")," ")</f>
        <v xml:space="preserve"> </v>
      </c>
      <c r="F36" s="122" t="str" cm="1">
        <f t="array" aca="1" ref="F36" ca="1">IFERROR(INDIRECT("'"&amp;$A36&amp;"'!D9")," ")</f>
        <v xml:space="preserve"> </v>
      </c>
      <c r="G36" s="52" t="str" cm="1">
        <f t="array" aca="1" ref="G36" ca="1">IFERROR(INDIRECT("'"&amp;$A36&amp;"'!B9")," ")</f>
        <v xml:space="preserve"> </v>
      </c>
      <c r="H36" s="144" t="str" cm="1">
        <f t="array" aca="1" ref="H36" ca="1">IFERROR(INDIRECT("'"&amp;$A36&amp;"'!D4")," ")</f>
        <v xml:space="preserve"> </v>
      </c>
      <c r="I36" s="5" t="str" cm="1">
        <f t="array" aca="1" ref="I36" ca="1">IFERROR(INDIRECT("'"&amp;$A36&amp;"'!D7")," ")</f>
        <v xml:space="preserve"> </v>
      </c>
      <c r="J36" s="5" t="str" cm="1">
        <f t="array" aca="1" ref="J36" ca="1">IFERROR(INDIRECT("'"&amp;$A36&amp;"'!D8")," ")</f>
        <v xml:space="preserve"> </v>
      </c>
      <c r="K36" s="5" t="str" cm="1">
        <f t="array" aca="1" ref="K36" ca="1">IFERROR(INDIRECT("'"&amp;$A36&amp;"'!D5")," ")</f>
        <v xml:space="preserve"> </v>
      </c>
      <c r="L36" s="54" t="str" cm="1">
        <f t="array" aca="1" ref="L36" ca="1">IFERROR(INDIRECT("'"&amp;$A36&amp;"'!Q10")," ")</f>
        <v xml:space="preserve"> </v>
      </c>
      <c r="M36" s="43" t="str" cm="1">
        <f t="array" aca="1" ref="M36" ca="1">IFERROR(INDIRECT("'"&amp;$A36&amp;"'!Q5")," ")</f>
        <v xml:space="preserve"> </v>
      </c>
      <c r="N36" s="43" t="str" cm="1">
        <f t="array" aca="1" ref="N36" ca="1">IFERROR(INDIRECT("'"&amp;$A36&amp;"'!Q6")," ")</f>
        <v xml:space="preserve"> </v>
      </c>
      <c r="O36" s="43" t="str" cm="1">
        <f t="array" aca="1" ref="O36" ca="1">IFERROR(INDIRECT("'"&amp;$A36&amp;"'!Q7")," ")</f>
        <v xml:space="preserve"> </v>
      </c>
      <c r="P36" s="43" t="str" cm="1">
        <f t="array" aca="1" ref="P36" ca="1">IFERROR(INDIRECT("'"&amp;$A36&amp;"'!S5")," ")</f>
        <v xml:space="preserve"> </v>
      </c>
      <c r="Q36" s="43" t="str" cm="1">
        <f t="array" aca="1" ref="Q36" ca="1">IFERROR(INDIRECT("'"&amp;$A36&amp;"'!S6")," ")</f>
        <v xml:space="preserve"> </v>
      </c>
      <c r="R36" s="43" t="str" cm="1">
        <f t="array" aca="1" ref="R36" ca="1">IFERROR(INDIRECT("'"&amp;$A36&amp;"'!S7")," ")</f>
        <v xml:space="preserve"> </v>
      </c>
      <c r="S36" s="43" t="str" cm="1">
        <f t="array" aca="1" ref="S36" ca="1">IFERROR(INDIRECT("'"&amp;$A36&amp;"'!S8")," ")</f>
        <v xml:space="preserve"> </v>
      </c>
      <c r="T36" s="43" t="str" cm="1">
        <f t="array" aca="1" ref="T36" ca="1">IFERROR(INDIRECT("'"&amp;$A36&amp;"'!S9")," ")</f>
        <v xml:space="preserve"> </v>
      </c>
      <c r="U36" s="43" t="str" cm="1">
        <f t="array" aca="1" ref="U36" ca="1">IFERROR(INDIRECT("'"&amp;$A36&amp;"'!S10")," ")</f>
        <v xml:space="preserve"> </v>
      </c>
      <c r="V36" s="43" t="str" cm="1">
        <f t="array" aca="1" ref="V36" ca="1">IFERROR(INDIRECT("'"&amp;$A36&amp;"'!S11")," ")</f>
        <v xml:space="preserve"> </v>
      </c>
      <c r="W36" s="43" t="str" cm="1">
        <f t="array" aca="1" ref="W36" ca="1">IFERROR(INDIRECT("'"&amp;$A36&amp;"'!W5")," ")</f>
        <v xml:space="preserve"> </v>
      </c>
      <c r="X36" s="43" t="str" cm="1">
        <f t="array" aca="1" ref="X36" ca="1">IFERROR(INDIRECT("'"&amp;$A36&amp;"'!s8")," ")</f>
        <v xml:space="preserve"> </v>
      </c>
      <c r="Y36" s="43" t="str" cm="1">
        <f t="array" aca="1" ref="Y36" ca="1">IFERROR(INDIRECT("'"&amp;$A36&amp;"'!U5")," ")</f>
        <v xml:space="preserve"> </v>
      </c>
      <c r="Z36" s="43" t="str" cm="1">
        <f t="array" aca="1" ref="Z36" ca="1">IFERROR(INDIRECT("'"&amp;$A36&amp;"'!U6")," ")</f>
        <v xml:space="preserve"> </v>
      </c>
      <c r="AA36" s="43" t="str" cm="1">
        <f t="array" aca="1" ref="AA36" ca="1">IFERROR(INDIRECT("'"&amp;$A36&amp;"'!U7")," ")</f>
        <v xml:space="preserve"> </v>
      </c>
      <c r="AB36" s="43" t="str" cm="1">
        <f t="array" aca="1" ref="AB36" ca="1">IFERROR(INDIRECT("'"&amp;$A36&amp;"'!U8")," ")</f>
        <v xml:space="preserve"> </v>
      </c>
      <c r="AC36" s="43" t="str" cm="1">
        <f t="array" aca="1" ref="AC36" ca="1">IFERROR(INDIRECT("'"&amp;$A36&amp;"'!s9")," ")</f>
        <v xml:space="preserve"> </v>
      </c>
      <c r="AD36" s="7" t="str" cm="1">
        <f t="array" aca="1" ref="AD36" ca="1">IFERROR(INDIRECT("'"&amp;$A36&amp;"'!F6")," ")</f>
        <v xml:space="preserve"> </v>
      </c>
      <c r="AE36" s="118" t="str" cm="1">
        <f t="array" aca="1" ref="AE36" ca="1">IFERROR(INDIRECT("'"&amp;$A36&amp;"'!L4")," ")</f>
        <v xml:space="preserve"> </v>
      </c>
    </row>
    <row r="37" spans="2:31" ht="15" customHeight="1" x14ac:dyDescent="0.3">
      <c r="B37" s="8" t="str" cm="1">
        <f t="array" aca="1" ref="B37" ca="1">IFERROR(INDIRECT("'"&amp;$A37&amp;"'!A2"),"")</f>
        <v/>
      </c>
      <c r="C37" s="8" t="str" cm="1">
        <f t="array" aca="1" ref="C37" ca="1">IFERROR(INDIRECT("'"&amp;$A37&amp;"'!B5"),"")</f>
        <v/>
      </c>
      <c r="D37" s="9" t="str" cm="1">
        <f t="array" aca="1" ref="D37" ca="1">IFERROR(INDIRECT("'"&amp;$A37&amp;"'!B4"),"")</f>
        <v/>
      </c>
      <c r="E37" s="9" t="str" cm="1">
        <f t="array" aca="1" ref="E37" ca="1">IFERROR(INDIRECT("'"&amp;$A37&amp;"'!B7")," ")</f>
        <v xml:space="preserve"> </v>
      </c>
      <c r="F37" s="122" t="str" cm="1">
        <f t="array" aca="1" ref="F37" ca="1">IFERROR(INDIRECT("'"&amp;$A37&amp;"'!D9")," ")</f>
        <v xml:space="preserve"> </v>
      </c>
      <c r="G37" s="52" t="str" cm="1">
        <f t="array" aca="1" ref="G37" ca="1">IFERROR(INDIRECT("'"&amp;$A37&amp;"'!B9")," ")</f>
        <v xml:space="preserve"> </v>
      </c>
      <c r="H37" s="144" t="str" cm="1">
        <f t="array" aca="1" ref="H37" ca="1">IFERROR(INDIRECT("'"&amp;$A37&amp;"'!D4")," ")</f>
        <v xml:space="preserve"> </v>
      </c>
      <c r="I37" s="5" t="str" cm="1">
        <f t="array" aca="1" ref="I37" ca="1">IFERROR(INDIRECT("'"&amp;$A37&amp;"'!D7")," ")</f>
        <v xml:space="preserve"> </v>
      </c>
      <c r="J37" s="5" t="str" cm="1">
        <f t="array" aca="1" ref="J37" ca="1">IFERROR(INDIRECT("'"&amp;$A37&amp;"'!D8")," ")</f>
        <v xml:space="preserve"> </v>
      </c>
      <c r="K37" s="5" t="str" cm="1">
        <f t="array" aca="1" ref="K37" ca="1">IFERROR(INDIRECT("'"&amp;$A37&amp;"'!D5")," ")</f>
        <v xml:space="preserve"> </v>
      </c>
      <c r="L37" s="54" t="str" cm="1">
        <f t="array" aca="1" ref="L37" ca="1">IFERROR(INDIRECT("'"&amp;$A37&amp;"'!Q10")," ")</f>
        <v xml:space="preserve"> </v>
      </c>
      <c r="M37" s="43" t="str" cm="1">
        <f t="array" aca="1" ref="M37" ca="1">IFERROR(INDIRECT("'"&amp;$A37&amp;"'!Q5")," ")</f>
        <v xml:space="preserve"> </v>
      </c>
      <c r="N37" s="43" t="str" cm="1">
        <f t="array" aca="1" ref="N37" ca="1">IFERROR(INDIRECT("'"&amp;$A37&amp;"'!Q6")," ")</f>
        <v xml:space="preserve"> </v>
      </c>
      <c r="O37" s="43" t="str" cm="1">
        <f t="array" aca="1" ref="O37" ca="1">IFERROR(INDIRECT("'"&amp;$A37&amp;"'!Q7")," ")</f>
        <v xml:space="preserve"> </v>
      </c>
      <c r="P37" s="43" t="str" cm="1">
        <f t="array" aca="1" ref="P37" ca="1">IFERROR(INDIRECT("'"&amp;$A37&amp;"'!S5")," ")</f>
        <v xml:space="preserve"> </v>
      </c>
      <c r="Q37" s="43" t="str" cm="1">
        <f t="array" aca="1" ref="Q37" ca="1">IFERROR(INDIRECT("'"&amp;$A37&amp;"'!S6")," ")</f>
        <v xml:space="preserve"> </v>
      </c>
      <c r="R37" s="43" t="str" cm="1">
        <f t="array" aca="1" ref="R37" ca="1">IFERROR(INDIRECT("'"&amp;$A37&amp;"'!S7")," ")</f>
        <v xml:space="preserve"> </v>
      </c>
      <c r="S37" s="43" t="str" cm="1">
        <f t="array" aca="1" ref="S37" ca="1">IFERROR(INDIRECT("'"&amp;$A37&amp;"'!S8")," ")</f>
        <v xml:space="preserve"> </v>
      </c>
      <c r="T37" s="43" t="str" cm="1">
        <f t="array" aca="1" ref="T37" ca="1">IFERROR(INDIRECT("'"&amp;$A37&amp;"'!S9")," ")</f>
        <v xml:space="preserve"> </v>
      </c>
      <c r="U37" s="43" t="str" cm="1">
        <f t="array" aca="1" ref="U37" ca="1">IFERROR(INDIRECT("'"&amp;$A37&amp;"'!S10")," ")</f>
        <v xml:space="preserve"> </v>
      </c>
      <c r="V37" s="43" t="str" cm="1">
        <f t="array" aca="1" ref="V37" ca="1">IFERROR(INDIRECT("'"&amp;$A37&amp;"'!S11")," ")</f>
        <v xml:space="preserve"> </v>
      </c>
      <c r="W37" s="43" t="str" cm="1">
        <f t="array" aca="1" ref="W37" ca="1">IFERROR(INDIRECT("'"&amp;$A37&amp;"'!W5")," ")</f>
        <v xml:space="preserve"> </v>
      </c>
      <c r="X37" s="43" t="str" cm="1">
        <f t="array" aca="1" ref="X37" ca="1">IFERROR(INDIRECT("'"&amp;$A37&amp;"'!s8")," ")</f>
        <v xml:space="preserve"> </v>
      </c>
      <c r="Y37" s="43" t="str" cm="1">
        <f t="array" aca="1" ref="Y37" ca="1">IFERROR(INDIRECT("'"&amp;$A37&amp;"'!U5")," ")</f>
        <v xml:space="preserve"> </v>
      </c>
      <c r="Z37" s="43" t="str" cm="1">
        <f t="array" aca="1" ref="Z37" ca="1">IFERROR(INDIRECT("'"&amp;$A37&amp;"'!U6")," ")</f>
        <v xml:space="preserve"> </v>
      </c>
      <c r="AA37" s="43" t="str" cm="1">
        <f t="array" aca="1" ref="AA37" ca="1">IFERROR(INDIRECT("'"&amp;$A37&amp;"'!U7")," ")</f>
        <v xml:space="preserve"> </v>
      </c>
      <c r="AB37" s="43" t="str" cm="1">
        <f t="array" aca="1" ref="AB37" ca="1">IFERROR(INDIRECT("'"&amp;$A37&amp;"'!U8")," ")</f>
        <v xml:space="preserve"> </v>
      </c>
      <c r="AC37" s="43" t="str" cm="1">
        <f t="array" aca="1" ref="AC37" ca="1">IFERROR(INDIRECT("'"&amp;$A37&amp;"'!s9")," ")</f>
        <v xml:space="preserve"> </v>
      </c>
      <c r="AD37" s="7" t="str" cm="1">
        <f t="array" aca="1" ref="AD37" ca="1">IFERROR(INDIRECT("'"&amp;$A37&amp;"'!F6")," ")</f>
        <v xml:space="preserve"> </v>
      </c>
      <c r="AE37" s="118" t="str" cm="1">
        <f t="array" aca="1" ref="AE37" ca="1">IFERROR(INDIRECT("'"&amp;$A37&amp;"'!L4")," ")</f>
        <v xml:space="preserve"> </v>
      </c>
    </row>
    <row r="38" spans="2:31" ht="15" customHeight="1" x14ac:dyDescent="0.3">
      <c r="B38" s="8" t="str" cm="1">
        <f t="array" aca="1" ref="B38" ca="1">IFERROR(INDIRECT("'"&amp;$A38&amp;"'!A2"),"")</f>
        <v/>
      </c>
      <c r="C38" s="8" t="str" cm="1">
        <f t="array" aca="1" ref="C38" ca="1">IFERROR(INDIRECT("'"&amp;$A38&amp;"'!B5"),"")</f>
        <v/>
      </c>
      <c r="D38" s="9" t="str" cm="1">
        <f t="array" aca="1" ref="D38" ca="1">IFERROR(INDIRECT("'"&amp;$A38&amp;"'!B4"),"")</f>
        <v/>
      </c>
      <c r="E38" s="9" t="str" cm="1">
        <f t="array" aca="1" ref="E38" ca="1">IFERROR(INDIRECT("'"&amp;$A38&amp;"'!B7")," ")</f>
        <v xml:space="preserve"> </v>
      </c>
      <c r="F38" s="122" t="str" cm="1">
        <f t="array" aca="1" ref="F38" ca="1">IFERROR(INDIRECT("'"&amp;$A38&amp;"'!D9")," ")</f>
        <v xml:space="preserve"> </v>
      </c>
      <c r="G38" s="52" t="str" cm="1">
        <f t="array" aca="1" ref="G38" ca="1">IFERROR(INDIRECT("'"&amp;$A38&amp;"'!B9")," ")</f>
        <v xml:space="preserve"> </v>
      </c>
      <c r="H38" s="144" t="str" cm="1">
        <f t="array" aca="1" ref="H38" ca="1">IFERROR(INDIRECT("'"&amp;$A38&amp;"'!D4")," ")</f>
        <v xml:space="preserve"> </v>
      </c>
      <c r="I38" s="5" t="str" cm="1">
        <f t="array" aca="1" ref="I38" ca="1">IFERROR(INDIRECT("'"&amp;$A38&amp;"'!D7")," ")</f>
        <v xml:space="preserve"> </v>
      </c>
      <c r="J38" s="5" t="str" cm="1">
        <f t="array" aca="1" ref="J38" ca="1">IFERROR(INDIRECT("'"&amp;$A38&amp;"'!D8")," ")</f>
        <v xml:space="preserve"> </v>
      </c>
      <c r="K38" s="5" t="str" cm="1">
        <f t="array" aca="1" ref="K38" ca="1">IFERROR(INDIRECT("'"&amp;$A38&amp;"'!D5")," ")</f>
        <v xml:space="preserve"> </v>
      </c>
      <c r="L38" s="54" t="str" cm="1">
        <f t="array" aca="1" ref="L38" ca="1">IFERROR(INDIRECT("'"&amp;$A38&amp;"'!Q10")," ")</f>
        <v xml:space="preserve"> </v>
      </c>
      <c r="M38" s="43" t="str" cm="1">
        <f t="array" aca="1" ref="M38" ca="1">IFERROR(INDIRECT("'"&amp;$A38&amp;"'!Q5")," ")</f>
        <v xml:space="preserve"> </v>
      </c>
      <c r="N38" s="43" t="str" cm="1">
        <f t="array" aca="1" ref="N38" ca="1">IFERROR(INDIRECT("'"&amp;$A38&amp;"'!Q6")," ")</f>
        <v xml:space="preserve"> </v>
      </c>
      <c r="O38" s="43" t="str" cm="1">
        <f t="array" aca="1" ref="O38" ca="1">IFERROR(INDIRECT("'"&amp;$A38&amp;"'!Q7")," ")</f>
        <v xml:space="preserve"> </v>
      </c>
      <c r="P38" s="43" t="str" cm="1">
        <f t="array" aca="1" ref="P38" ca="1">IFERROR(INDIRECT("'"&amp;$A38&amp;"'!S5")," ")</f>
        <v xml:space="preserve"> </v>
      </c>
      <c r="Q38" s="43" t="str" cm="1">
        <f t="array" aca="1" ref="Q38" ca="1">IFERROR(INDIRECT("'"&amp;$A38&amp;"'!S6")," ")</f>
        <v xml:space="preserve"> </v>
      </c>
      <c r="R38" s="43" t="str" cm="1">
        <f t="array" aca="1" ref="R38" ca="1">IFERROR(INDIRECT("'"&amp;$A38&amp;"'!S7")," ")</f>
        <v xml:space="preserve"> </v>
      </c>
      <c r="S38" s="43" t="str" cm="1">
        <f t="array" aca="1" ref="S38" ca="1">IFERROR(INDIRECT("'"&amp;$A38&amp;"'!S8")," ")</f>
        <v xml:space="preserve"> </v>
      </c>
      <c r="T38" s="43" t="str" cm="1">
        <f t="array" aca="1" ref="T38" ca="1">IFERROR(INDIRECT("'"&amp;$A38&amp;"'!S9")," ")</f>
        <v xml:space="preserve"> </v>
      </c>
      <c r="U38" s="43" t="str" cm="1">
        <f t="array" aca="1" ref="U38" ca="1">IFERROR(INDIRECT("'"&amp;$A38&amp;"'!S10")," ")</f>
        <v xml:space="preserve"> </v>
      </c>
      <c r="V38" s="43" t="str" cm="1">
        <f t="array" aca="1" ref="V38" ca="1">IFERROR(INDIRECT("'"&amp;$A38&amp;"'!S11")," ")</f>
        <v xml:space="preserve"> </v>
      </c>
      <c r="W38" s="43" t="str" cm="1">
        <f t="array" aca="1" ref="W38" ca="1">IFERROR(INDIRECT("'"&amp;$A38&amp;"'!W5")," ")</f>
        <v xml:space="preserve"> </v>
      </c>
      <c r="X38" s="43" t="str" cm="1">
        <f t="array" aca="1" ref="X38" ca="1">IFERROR(INDIRECT("'"&amp;$A38&amp;"'!s8")," ")</f>
        <v xml:space="preserve"> </v>
      </c>
      <c r="Y38" s="43" t="str" cm="1">
        <f t="array" aca="1" ref="Y38" ca="1">IFERROR(INDIRECT("'"&amp;$A38&amp;"'!U5")," ")</f>
        <v xml:space="preserve"> </v>
      </c>
      <c r="Z38" s="43" t="str" cm="1">
        <f t="array" aca="1" ref="Z38" ca="1">IFERROR(INDIRECT("'"&amp;$A38&amp;"'!U6")," ")</f>
        <v xml:space="preserve"> </v>
      </c>
      <c r="AA38" s="43" t="str" cm="1">
        <f t="array" aca="1" ref="AA38" ca="1">IFERROR(INDIRECT("'"&amp;$A38&amp;"'!U7")," ")</f>
        <v xml:space="preserve"> </v>
      </c>
      <c r="AB38" s="43" t="str" cm="1">
        <f t="array" aca="1" ref="AB38" ca="1">IFERROR(INDIRECT("'"&amp;$A38&amp;"'!U8")," ")</f>
        <v xml:space="preserve"> </v>
      </c>
      <c r="AC38" s="43" t="str" cm="1">
        <f t="array" aca="1" ref="AC38" ca="1">IFERROR(INDIRECT("'"&amp;$A38&amp;"'!s9")," ")</f>
        <v xml:space="preserve"> </v>
      </c>
      <c r="AD38" s="7" t="str" cm="1">
        <f t="array" aca="1" ref="AD38" ca="1">IFERROR(INDIRECT("'"&amp;$A38&amp;"'!F6")," ")</f>
        <v xml:space="preserve"> </v>
      </c>
      <c r="AE38" s="118" t="str" cm="1">
        <f t="array" aca="1" ref="AE38" ca="1">IFERROR(INDIRECT("'"&amp;$A38&amp;"'!L4")," ")</f>
        <v xml:space="preserve"> </v>
      </c>
    </row>
    <row r="39" spans="2:31" ht="15" customHeight="1" x14ac:dyDescent="0.3">
      <c r="B39" s="8" t="str" cm="1">
        <f t="array" aca="1" ref="B39" ca="1">IFERROR(INDIRECT("'"&amp;$A39&amp;"'!A2"),"")</f>
        <v/>
      </c>
      <c r="C39" s="8" t="str" cm="1">
        <f t="array" aca="1" ref="C39" ca="1">IFERROR(INDIRECT("'"&amp;$A39&amp;"'!B5"),"")</f>
        <v/>
      </c>
      <c r="D39" s="9" t="str" cm="1">
        <f t="array" aca="1" ref="D39" ca="1">IFERROR(INDIRECT("'"&amp;$A39&amp;"'!B4"),"")</f>
        <v/>
      </c>
      <c r="E39" s="9" t="str" cm="1">
        <f t="array" aca="1" ref="E39" ca="1">IFERROR(INDIRECT("'"&amp;$A39&amp;"'!B7")," ")</f>
        <v xml:space="preserve"> </v>
      </c>
      <c r="F39" s="122" t="str" cm="1">
        <f t="array" aca="1" ref="F39" ca="1">IFERROR(INDIRECT("'"&amp;$A39&amp;"'!D9")," ")</f>
        <v xml:space="preserve"> </v>
      </c>
      <c r="G39" s="52" t="str" cm="1">
        <f t="array" aca="1" ref="G39" ca="1">IFERROR(INDIRECT("'"&amp;$A39&amp;"'!B9")," ")</f>
        <v xml:space="preserve"> </v>
      </c>
      <c r="H39" s="144" t="str" cm="1">
        <f t="array" aca="1" ref="H39" ca="1">IFERROR(INDIRECT("'"&amp;$A39&amp;"'!D4")," ")</f>
        <v xml:space="preserve"> </v>
      </c>
      <c r="I39" s="5" t="str" cm="1">
        <f t="array" aca="1" ref="I39" ca="1">IFERROR(INDIRECT("'"&amp;$A39&amp;"'!D7")," ")</f>
        <v xml:space="preserve"> </v>
      </c>
      <c r="J39" s="5" t="str" cm="1">
        <f t="array" aca="1" ref="J39" ca="1">IFERROR(INDIRECT("'"&amp;$A39&amp;"'!D8")," ")</f>
        <v xml:space="preserve"> </v>
      </c>
      <c r="K39" s="5" t="str" cm="1">
        <f t="array" aca="1" ref="K39" ca="1">IFERROR(INDIRECT("'"&amp;$A39&amp;"'!D5")," ")</f>
        <v xml:space="preserve"> </v>
      </c>
      <c r="L39" s="54" t="str" cm="1">
        <f t="array" aca="1" ref="L39" ca="1">IFERROR(INDIRECT("'"&amp;$A39&amp;"'!Q10")," ")</f>
        <v xml:space="preserve"> </v>
      </c>
      <c r="M39" s="43" t="str" cm="1">
        <f t="array" aca="1" ref="M39" ca="1">IFERROR(INDIRECT("'"&amp;$A39&amp;"'!Q5")," ")</f>
        <v xml:space="preserve"> </v>
      </c>
      <c r="N39" s="43" t="str" cm="1">
        <f t="array" aca="1" ref="N39" ca="1">IFERROR(INDIRECT("'"&amp;$A39&amp;"'!Q6")," ")</f>
        <v xml:space="preserve"> </v>
      </c>
      <c r="O39" s="43" t="str" cm="1">
        <f t="array" aca="1" ref="O39" ca="1">IFERROR(INDIRECT("'"&amp;$A39&amp;"'!Q7")," ")</f>
        <v xml:space="preserve"> </v>
      </c>
      <c r="P39" s="43" t="str" cm="1">
        <f t="array" aca="1" ref="P39" ca="1">IFERROR(INDIRECT("'"&amp;$A39&amp;"'!S5")," ")</f>
        <v xml:space="preserve"> </v>
      </c>
      <c r="Q39" s="43" t="str" cm="1">
        <f t="array" aca="1" ref="Q39" ca="1">IFERROR(INDIRECT("'"&amp;$A39&amp;"'!S6")," ")</f>
        <v xml:space="preserve"> </v>
      </c>
      <c r="R39" s="43" t="str" cm="1">
        <f t="array" aca="1" ref="R39" ca="1">IFERROR(INDIRECT("'"&amp;$A39&amp;"'!S7")," ")</f>
        <v xml:space="preserve"> </v>
      </c>
      <c r="S39" s="43" t="str" cm="1">
        <f t="array" aca="1" ref="S39" ca="1">IFERROR(INDIRECT("'"&amp;$A39&amp;"'!S8")," ")</f>
        <v xml:space="preserve"> </v>
      </c>
      <c r="T39" s="43" t="str" cm="1">
        <f t="array" aca="1" ref="T39" ca="1">IFERROR(INDIRECT("'"&amp;$A39&amp;"'!S9")," ")</f>
        <v xml:space="preserve"> </v>
      </c>
      <c r="U39" s="43" t="str" cm="1">
        <f t="array" aca="1" ref="U39" ca="1">IFERROR(INDIRECT("'"&amp;$A39&amp;"'!S10")," ")</f>
        <v xml:space="preserve"> </v>
      </c>
      <c r="V39" s="43" t="str" cm="1">
        <f t="array" aca="1" ref="V39" ca="1">IFERROR(INDIRECT("'"&amp;$A39&amp;"'!S11")," ")</f>
        <v xml:space="preserve"> </v>
      </c>
      <c r="W39" s="43" t="str" cm="1">
        <f t="array" aca="1" ref="W39" ca="1">IFERROR(INDIRECT("'"&amp;$A39&amp;"'!W5")," ")</f>
        <v xml:space="preserve"> </v>
      </c>
      <c r="X39" s="43" t="str" cm="1">
        <f t="array" aca="1" ref="X39" ca="1">IFERROR(INDIRECT("'"&amp;$A39&amp;"'!s8")," ")</f>
        <v xml:space="preserve"> </v>
      </c>
      <c r="Y39" s="43" t="str" cm="1">
        <f t="array" aca="1" ref="Y39" ca="1">IFERROR(INDIRECT("'"&amp;$A39&amp;"'!U5")," ")</f>
        <v xml:space="preserve"> </v>
      </c>
      <c r="Z39" s="43" t="str" cm="1">
        <f t="array" aca="1" ref="Z39" ca="1">IFERROR(INDIRECT("'"&amp;$A39&amp;"'!U6")," ")</f>
        <v xml:space="preserve"> </v>
      </c>
      <c r="AA39" s="43" t="str" cm="1">
        <f t="array" aca="1" ref="AA39" ca="1">IFERROR(INDIRECT("'"&amp;$A39&amp;"'!U7")," ")</f>
        <v xml:space="preserve"> </v>
      </c>
      <c r="AB39" s="43" t="str" cm="1">
        <f t="array" aca="1" ref="AB39" ca="1">IFERROR(INDIRECT("'"&amp;$A39&amp;"'!U8")," ")</f>
        <v xml:space="preserve"> </v>
      </c>
      <c r="AC39" s="43" t="str" cm="1">
        <f t="array" aca="1" ref="AC39" ca="1">IFERROR(INDIRECT("'"&amp;$A39&amp;"'!s9")," ")</f>
        <v xml:space="preserve"> </v>
      </c>
      <c r="AD39" s="7" t="str" cm="1">
        <f t="array" aca="1" ref="AD39" ca="1">IFERROR(INDIRECT("'"&amp;$A39&amp;"'!F6")," ")</f>
        <v xml:space="preserve"> </v>
      </c>
      <c r="AE39" s="118" t="str" cm="1">
        <f t="array" aca="1" ref="AE39" ca="1">IFERROR(INDIRECT("'"&amp;$A39&amp;"'!L4")," ")</f>
        <v xml:space="preserve"> </v>
      </c>
    </row>
    <row r="40" spans="2:31" ht="15" customHeight="1" x14ac:dyDescent="0.3">
      <c r="B40" s="8" t="str" cm="1">
        <f t="array" aca="1" ref="B40" ca="1">IFERROR(INDIRECT("'"&amp;$A40&amp;"'!A2"),"")</f>
        <v/>
      </c>
      <c r="C40" s="8" t="str" cm="1">
        <f t="array" aca="1" ref="C40" ca="1">IFERROR(INDIRECT("'"&amp;$A40&amp;"'!B5"),"")</f>
        <v/>
      </c>
      <c r="D40" s="9" t="str" cm="1">
        <f t="array" aca="1" ref="D40" ca="1">IFERROR(INDIRECT("'"&amp;$A40&amp;"'!B4"),"")</f>
        <v/>
      </c>
      <c r="E40" s="9" t="str" cm="1">
        <f t="array" aca="1" ref="E40" ca="1">IFERROR(INDIRECT("'"&amp;$A40&amp;"'!B7")," ")</f>
        <v xml:space="preserve"> </v>
      </c>
      <c r="F40" s="122" t="str" cm="1">
        <f t="array" aca="1" ref="F40" ca="1">IFERROR(INDIRECT("'"&amp;$A40&amp;"'!D9")," ")</f>
        <v xml:space="preserve"> </v>
      </c>
      <c r="G40" s="52" t="str" cm="1">
        <f t="array" aca="1" ref="G40" ca="1">IFERROR(INDIRECT("'"&amp;$A40&amp;"'!B9")," ")</f>
        <v xml:space="preserve"> </v>
      </c>
      <c r="H40" s="70" t="str" cm="1">
        <f t="array" aca="1" ref="H40" ca="1">IFERROR(INDIRECT("'"&amp;$A40&amp;"'!D4")," ")</f>
        <v xml:space="preserve"> </v>
      </c>
      <c r="I40" s="5" t="str" cm="1">
        <f t="array" aca="1" ref="I40" ca="1">IFERROR(INDIRECT("'"&amp;$A40&amp;"'!D7")," ")</f>
        <v xml:space="preserve"> </v>
      </c>
      <c r="J40" s="5" t="str" cm="1">
        <f t="array" aca="1" ref="J40" ca="1">IFERROR(INDIRECT("'"&amp;$A40&amp;"'!D8")," ")</f>
        <v xml:space="preserve"> </v>
      </c>
      <c r="K40" s="5" t="str" cm="1">
        <f t="array" aca="1" ref="K40" ca="1">IFERROR(INDIRECT("'"&amp;$A40&amp;"'!D5")," ")</f>
        <v xml:space="preserve"> </v>
      </c>
      <c r="L40" s="54" t="str" cm="1">
        <f t="array" aca="1" ref="L40" ca="1">IFERROR(INDIRECT("'"&amp;$A40&amp;"'!Q10")," ")</f>
        <v xml:space="preserve"> </v>
      </c>
      <c r="M40" s="43" t="str" cm="1">
        <f t="array" aca="1" ref="M40" ca="1">IFERROR(INDIRECT("'"&amp;$A40&amp;"'!Q5")," ")</f>
        <v xml:space="preserve"> </v>
      </c>
      <c r="N40" s="43" t="str" cm="1">
        <f t="array" aca="1" ref="N40" ca="1">IFERROR(INDIRECT("'"&amp;$A40&amp;"'!Q6")," ")</f>
        <v xml:space="preserve"> </v>
      </c>
      <c r="O40" s="43" t="str" cm="1">
        <f t="array" aca="1" ref="O40" ca="1">IFERROR(INDIRECT("'"&amp;$A40&amp;"'!Q7")," ")</f>
        <v xml:space="preserve"> </v>
      </c>
      <c r="P40" s="43" t="str" cm="1">
        <f t="array" aca="1" ref="P40" ca="1">IFERROR(INDIRECT("'"&amp;$A40&amp;"'!S5")," ")</f>
        <v xml:space="preserve"> </v>
      </c>
      <c r="Q40" s="43" t="str" cm="1">
        <f t="array" aca="1" ref="Q40" ca="1">IFERROR(INDIRECT("'"&amp;$A40&amp;"'!S6")," ")</f>
        <v xml:space="preserve"> </v>
      </c>
      <c r="R40" s="43" t="str" cm="1">
        <f t="array" aca="1" ref="R40" ca="1">IFERROR(INDIRECT("'"&amp;$A40&amp;"'!S7")," ")</f>
        <v xml:space="preserve"> </v>
      </c>
      <c r="S40" s="43" t="str" cm="1">
        <f t="array" aca="1" ref="S40" ca="1">IFERROR(INDIRECT("'"&amp;$A40&amp;"'!S8")," ")</f>
        <v xml:space="preserve"> </v>
      </c>
      <c r="T40" s="43" t="str" cm="1">
        <f t="array" aca="1" ref="T40" ca="1">IFERROR(INDIRECT("'"&amp;$A40&amp;"'!S9")," ")</f>
        <v xml:space="preserve"> </v>
      </c>
      <c r="U40" s="43" t="str" cm="1">
        <f t="array" aca="1" ref="U40" ca="1">IFERROR(INDIRECT("'"&amp;$A40&amp;"'!S10")," ")</f>
        <v xml:space="preserve"> </v>
      </c>
      <c r="V40" s="43" t="str" cm="1">
        <f t="array" aca="1" ref="V40" ca="1">IFERROR(INDIRECT("'"&amp;$A40&amp;"'!S11")," ")</f>
        <v xml:space="preserve"> </v>
      </c>
      <c r="W40" s="43" t="str" cm="1">
        <f t="array" aca="1" ref="W40" ca="1">IFERROR(INDIRECT("'"&amp;$A40&amp;"'!W5")," ")</f>
        <v xml:space="preserve"> </v>
      </c>
      <c r="X40" s="43" t="str" cm="1">
        <f t="array" aca="1" ref="X40" ca="1">IFERROR(INDIRECT("'"&amp;$A40&amp;"'!s8")," ")</f>
        <v xml:space="preserve"> </v>
      </c>
      <c r="Y40" s="43" t="str" cm="1">
        <f t="array" aca="1" ref="Y40" ca="1">IFERROR(INDIRECT("'"&amp;$A40&amp;"'!U5")," ")</f>
        <v xml:space="preserve"> </v>
      </c>
      <c r="Z40" s="43" t="str" cm="1">
        <f t="array" aca="1" ref="Z40" ca="1">IFERROR(INDIRECT("'"&amp;$A40&amp;"'!U6")," ")</f>
        <v xml:space="preserve"> </v>
      </c>
      <c r="AA40" s="43" t="str" cm="1">
        <f t="array" aca="1" ref="AA40" ca="1">IFERROR(INDIRECT("'"&amp;$A40&amp;"'!U7")," ")</f>
        <v xml:space="preserve"> </v>
      </c>
      <c r="AB40" s="43" t="str" cm="1">
        <f t="array" aca="1" ref="AB40" ca="1">IFERROR(INDIRECT("'"&amp;$A40&amp;"'!U8")," ")</f>
        <v xml:space="preserve"> </v>
      </c>
      <c r="AC40" s="43" t="str" cm="1">
        <f t="array" aca="1" ref="AC40" ca="1">IFERROR(INDIRECT("'"&amp;$A40&amp;"'!s9")," ")</f>
        <v xml:space="preserve"> </v>
      </c>
      <c r="AD40" s="7" t="str" cm="1">
        <f t="array" aca="1" ref="AD40" ca="1">IFERROR(INDIRECT("'"&amp;$A40&amp;"'!F6")," ")</f>
        <v xml:space="preserve"> </v>
      </c>
      <c r="AE40" s="118" t="str" cm="1">
        <f t="array" aca="1" ref="AE40" ca="1">IFERROR(INDIRECT("'"&amp;$A40&amp;"'!L4")," ")</f>
        <v xml:space="preserve"> </v>
      </c>
    </row>
    <row r="41" spans="2:31" ht="15" customHeight="1" x14ac:dyDescent="0.3">
      <c r="B41" s="8" t="str" cm="1">
        <f t="array" aca="1" ref="B41" ca="1">IFERROR(INDIRECT("'"&amp;$A41&amp;"'!A2"),"")</f>
        <v/>
      </c>
      <c r="C41" s="8" t="str" cm="1">
        <f t="array" aca="1" ref="C41" ca="1">IFERROR(INDIRECT("'"&amp;$A41&amp;"'!B5"),"")</f>
        <v/>
      </c>
      <c r="D41" s="9" t="str" cm="1">
        <f t="array" aca="1" ref="D41" ca="1">IFERROR(INDIRECT("'"&amp;$A41&amp;"'!B4"),"")</f>
        <v/>
      </c>
      <c r="E41" s="9" t="str" cm="1">
        <f t="array" aca="1" ref="E41" ca="1">IFERROR(INDIRECT("'"&amp;$A41&amp;"'!B7")," ")</f>
        <v xml:space="preserve"> </v>
      </c>
      <c r="F41" s="122" t="str" cm="1">
        <f t="array" aca="1" ref="F41" ca="1">IFERROR(INDIRECT("'"&amp;$A41&amp;"'!D9")," ")</f>
        <v xml:space="preserve"> </v>
      </c>
      <c r="G41" s="52" t="str" cm="1">
        <f t="array" aca="1" ref="G41" ca="1">IFERROR(INDIRECT("'"&amp;$A41&amp;"'!B9")," ")</f>
        <v xml:space="preserve"> </v>
      </c>
      <c r="H41" s="144" t="str" cm="1">
        <f t="array" aca="1" ref="H41" ca="1">IFERROR(INDIRECT("'"&amp;$A41&amp;"'!D4")," ")</f>
        <v xml:space="preserve"> </v>
      </c>
      <c r="I41" s="5" t="str" cm="1">
        <f t="array" aca="1" ref="I41" ca="1">IFERROR(INDIRECT("'"&amp;$A41&amp;"'!D7")," ")</f>
        <v xml:space="preserve"> </v>
      </c>
      <c r="J41" s="5" t="str" cm="1">
        <f t="array" aca="1" ref="J41" ca="1">IFERROR(INDIRECT("'"&amp;$A41&amp;"'!D8")," ")</f>
        <v xml:space="preserve"> </v>
      </c>
      <c r="K41" s="5" t="str" cm="1">
        <f t="array" aca="1" ref="K41" ca="1">IFERROR(INDIRECT("'"&amp;$A41&amp;"'!D5")," ")</f>
        <v xml:space="preserve"> </v>
      </c>
      <c r="L41" s="54" t="str" cm="1">
        <f t="array" aca="1" ref="L41" ca="1">IFERROR(INDIRECT("'"&amp;$A41&amp;"'!Q10")," ")</f>
        <v xml:space="preserve"> </v>
      </c>
      <c r="M41" s="43" t="str" cm="1">
        <f t="array" aca="1" ref="M41" ca="1">IFERROR(INDIRECT("'"&amp;$A41&amp;"'!Q5")," ")</f>
        <v xml:space="preserve"> </v>
      </c>
      <c r="N41" s="43" t="str" cm="1">
        <f t="array" aca="1" ref="N41" ca="1">IFERROR(INDIRECT("'"&amp;$A41&amp;"'!Q6")," ")</f>
        <v xml:space="preserve"> </v>
      </c>
      <c r="O41" s="43" t="str" cm="1">
        <f t="array" aca="1" ref="O41" ca="1">IFERROR(INDIRECT("'"&amp;$A41&amp;"'!Q7")," ")</f>
        <v xml:space="preserve"> </v>
      </c>
      <c r="P41" s="43" t="str" cm="1">
        <f t="array" aca="1" ref="P41" ca="1">IFERROR(INDIRECT("'"&amp;$A41&amp;"'!S5")," ")</f>
        <v xml:space="preserve"> </v>
      </c>
      <c r="Q41" s="43" t="str" cm="1">
        <f t="array" aca="1" ref="Q41" ca="1">IFERROR(INDIRECT("'"&amp;$A41&amp;"'!S6")," ")</f>
        <v xml:space="preserve"> </v>
      </c>
      <c r="R41" s="43" t="str" cm="1">
        <f t="array" aca="1" ref="R41" ca="1">IFERROR(INDIRECT("'"&amp;$A41&amp;"'!S7")," ")</f>
        <v xml:space="preserve"> </v>
      </c>
      <c r="S41" s="43" t="str" cm="1">
        <f t="array" aca="1" ref="S41" ca="1">IFERROR(INDIRECT("'"&amp;$A41&amp;"'!S8")," ")</f>
        <v xml:space="preserve"> </v>
      </c>
      <c r="T41" s="43" t="str" cm="1">
        <f t="array" aca="1" ref="T41" ca="1">IFERROR(INDIRECT("'"&amp;$A41&amp;"'!S9")," ")</f>
        <v xml:space="preserve"> </v>
      </c>
      <c r="U41" s="43" t="str" cm="1">
        <f t="array" aca="1" ref="U41" ca="1">IFERROR(INDIRECT("'"&amp;$A41&amp;"'!S10")," ")</f>
        <v xml:space="preserve"> </v>
      </c>
      <c r="V41" s="43" t="str" cm="1">
        <f t="array" aca="1" ref="V41" ca="1">IFERROR(INDIRECT("'"&amp;$A41&amp;"'!S11")," ")</f>
        <v xml:space="preserve"> </v>
      </c>
      <c r="W41" s="43" t="str" cm="1">
        <f t="array" aca="1" ref="W41" ca="1">IFERROR(INDIRECT("'"&amp;$A41&amp;"'!W5")," ")</f>
        <v xml:space="preserve"> </v>
      </c>
      <c r="X41" s="43" t="str" cm="1">
        <f t="array" aca="1" ref="X41" ca="1">IFERROR(INDIRECT("'"&amp;$A41&amp;"'!s8")," ")</f>
        <v xml:space="preserve"> </v>
      </c>
      <c r="Y41" s="43" t="str" cm="1">
        <f t="array" aca="1" ref="Y41" ca="1">IFERROR(INDIRECT("'"&amp;$A41&amp;"'!U5")," ")</f>
        <v xml:space="preserve"> </v>
      </c>
      <c r="Z41" s="43" t="str" cm="1">
        <f t="array" aca="1" ref="Z41" ca="1">IFERROR(INDIRECT("'"&amp;$A41&amp;"'!U6")," ")</f>
        <v xml:space="preserve"> </v>
      </c>
      <c r="AA41" s="43" t="str" cm="1">
        <f t="array" aca="1" ref="AA41" ca="1">IFERROR(INDIRECT("'"&amp;$A41&amp;"'!U7")," ")</f>
        <v xml:space="preserve"> </v>
      </c>
      <c r="AB41" s="43" t="str" cm="1">
        <f t="array" aca="1" ref="AB41" ca="1">IFERROR(INDIRECT("'"&amp;$A41&amp;"'!U8")," ")</f>
        <v xml:space="preserve"> </v>
      </c>
      <c r="AC41" s="43" t="str" cm="1">
        <f t="array" aca="1" ref="AC41" ca="1">IFERROR(INDIRECT("'"&amp;$A41&amp;"'!s9")," ")</f>
        <v xml:space="preserve"> </v>
      </c>
      <c r="AD41" s="7" t="str" cm="1">
        <f t="array" aca="1" ref="AD41" ca="1">IFERROR(INDIRECT("'"&amp;$A41&amp;"'!F6")," ")</f>
        <v xml:space="preserve"> </v>
      </c>
      <c r="AE41" s="118" t="str" cm="1">
        <f t="array" aca="1" ref="AE41" ca="1">IFERROR(INDIRECT("'"&amp;$A41&amp;"'!L4")," ")</f>
        <v xml:space="preserve"> </v>
      </c>
    </row>
    <row r="42" spans="2:31" ht="15" customHeight="1" x14ac:dyDescent="0.3">
      <c r="B42" s="8" t="str" cm="1">
        <f t="array" aca="1" ref="B42" ca="1">IFERROR(INDIRECT("'"&amp;$A42&amp;"'!A2"),"")</f>
        <v/>
      </c>
      <c r="C42" s="8" t="str" cm="1">
        <f t="array" aca="1" ref="C42" ca="1">IFERROR(INDIRECT("'"&amp;$A42&amp;"'!B5"),"")</f>
        <v/>
      </c>
      <c r="D42" s="9" t="str" cm="1">
        <f t="array" aca="1" ref="D42" ca="1">IFERROR(INDIRECT("'"&amp;$A42&amp;"'!B4"),"")</f>
        <v/>
      </c>
      <c r="E42" s="9" t="str" cm="1">
        <f t="array" aca="1" ref="E42" ca="1">IFERROR(INDIRECT("'"&amp;$A42&amp;"'!B7")," ")</f>
        <v xml:space="preserve"> </v>
      </c>
      <c r="F42" s="122" t="str" cm="1">
        <f t="array" aca="1" ref="F42" ca="1">IFERROR(INDIRECT("'"&amp;$A42&amp;"'!D9")," ")</f>
        <v xml:space="preserve"> </v>
      </c>
      <c r="G42" s="52" t="str" cm="1">
        <f t="array" aca="1" ref="G42" ca="1">IFERROR(INDIRECT("'"&amp;$A42&amp;"'!B9")," ")</f>
        <v xml:space="preserve"> </v>
      </c>
      <c r="H42" s="144" t="str" cm="1">
        <f t="array" aca="1" ref="H42" ca="1">IFERROR(INDIRECT("'"&amp;$A42&amp;"'!D4")," ")</f>
        <v xml:space="preserve"> </v>
      </c>
      <c r="I42" s="5" t="str" cm="1">
        <f t="array" aca="1" ref="I42" ca="1">IFERROR(INDIRECT("'"&amp;$A42&amp;"'!D7")," ")</f>
        <v xml:space="preserve"> </v>
      </c>
      <c r="J42" s="5" t="str" cm="1">
        <f t="array" aca="1" ref="J42" ca="1">IFERROR(INDIRECT("'"&amp;$A42&amp;"'!D8")," ")</f>
        <v xml:space="preserve"> </v>
      </c>
      <c r="K42" s="5" t="str" cm="1">
        <f t="array" aca="1" ref="K42" ca="1">IFERROR(INDIRECT("'"&amp;$A42&amp;"'!D5")," ")</f>
        <v xml:space="preserve"> </v>
      </c>
      <c r="L42" s="54" t="str" cm="1">
        <f t="array" aca="1" ref="L42" ca="1">IFERROR(INDIRECT("'"&amp;$A42&amp;"'!Q10")," ")</f>
        <v xml:space="preserve"> </v>
      </c>
      <c r="M42" s="43" t="str" cm="1">
        <f t="array" aca="1" ref="M42" ca="1">IFERROR(INDIRECT("'"&amp;$A42&amp;"'!Q5")," ")</f>
        <v xml:space="preserve"> </v>
      </c>
      <c r="N42" s="43" t="str" cm="1">
        <f t="array" aca="1" ref="N42" ca="1">IFERROR(INDIRECT("'"&amp;$A42&amp;"'!Q6")," ")</f>
        <v xml:space="preserve"> </v>
      </c>
      <c r="O42" s="43" t="str" cm="1">
        <f t="array" aca="1" ref="O42" ca="1">IFERROR(INDIRECT("'"&amp;$A42&amp;"'!Q7")," ")</f>
        <v xml:space="preserve"> </v>
      </c>
      <c r="P42" s="43" t="str" cm="1">
        <f t="array" aca="1" ref="P42" ca="1">IFERROR(INDIRECT("'"&amp;$A42&amp;"'!S5")," ")</f>
        <v xml:space="preserve"> </v>
      </c>
      <c r="Q42" s="43" t="str" cm="1">
        <f t="array" aca="1" ref="Q42" ca="1">IFERROR(INDIRECT("'"&amp;$A42&amp;"'!S6")," ")</f>
        <v xml:space="preserve"> </v>
      </c>
      <c r="R42" s="43" t="str" cm="1">
        <f t="array" aca="1" ref="R42" ca="1">IFERROR(INDIRECT("'"&amp;$A42&amp;"'!S7")," ")</f>
        <v xml:space="preserve"> </v>
      </c>
      <c r="S42" s="43" t="str" cm="1">
        <f t="array" aca="1" ref="S42" ca="1">IFERROR(INDIRECT("'"&amp;$A42&amp;"'!S8")," ")</f>
        <v xml:space="preserve"> </v>
      </c>
      <c r="T42" s="43" t="str" cm="1">
        <f t="array" aca="1" ref="T42" ca="1">IFERROR(INDIRECT("'"&amp;$A42&amp;"'!S9")," ")</f>
        <v xml:space="preserve"> </v>
      </c>
      <c r="U42" s="43" t="str" cm="1">
        <f t="array" aca="1" ref="U42" ca="1">IFERROR(INDIRECT("'"&amp;$A42&amp;"'!S10")," ")</f>
        <v xml:space="preserve"> </v>
      </c>
      <c r="V42" s="43" t="str" cm="1">
        <f t="array" aca="1" ref="V42" ca="1">IFERROR(INDIRECT("'"&amp;$A42&amp;"'!S11")," ")</f>
        <v xml:space="preserve"> </v>
      </c>
      <c r="W42" s="43" t="str" cm="1">
        <f t="array" aca="1" ref="W42" ca="1">IFERROR(INDIRECT("'"&amp;$A42&amp;"'!W5")," ")</f>
        <v xml:space="preserve"> </v>
      </c>
      <c r="X42" s="43" t="str" cm="1">
        <f t="array" aca="1" ref="X42" ca="1">IFERROR(INDIRECT("'"&amp;$A42&amp;"'!s8")," ")</f>
        <v xml:space="preserve"> </v>
      </c>
      <c r="Y42" s="43" t="str" cm="1">
        <f t="array" aca="1" ref="Y42" ca="1">IFERROR(INDIRECT("'"&amp;$A42&amp;"'!U5")," ")</f>
        <v xml:space="preserve"> </v>
      </c>
      <c r="Z42" s="43" t="str" cm="1">
        <f t="array" aca="1" ref="Z42" ca="1">IFERROR(INDIRECT("'"&amp;$A42&amp;"'!U6")," ")</f>
        <v xml:space="preserve"> </v>
      </c>
      <c r="AA42" s="43" t="str" cm="1">
        <f t="array" aca="1" ref="AA42" ca="1">IFERROR(INDIRECT("'"&amp;$A42&amp;"'!U7")," ")</f>
        <v xml:space="preserve"> </v>
      </c>
      <c r="AB42" s="43" t="str" cm="1">
        <f t="array" aca="1" ref="AB42" ca="1">IFERROR(INDIRECT("'"&amp;$A42&amp;"'!U8")," ")</f>
        <v xml:space="preserve"> </v>
      </c>
      <c r="AC42" s="43" t="str" cm="1">
        <f t="array" aca="1" ref="AC42" ca="1">IFERROR(INDIRECT("'"&amp;$A42&amp;"'!s9")," ")</f>
        <v xml:space="preserve"> </v>
      </c>
      <c r="AD42" s="7" t="str" cm="1">
        <f t="array" aca="1" ref="AD42" ca="1">IFERROR(INDIRECT("'"&amp;$A42&amp;"'!F6")," ")</f>
        <v xml:space="preserve"> </v>
      </c>
      <c r="AE42" s="118" t="str" cm="1">
        <f t="array" aca="1" ref="AE42" ca="1">IFERROR(INDIRECT("'"&amp;$A42&amp;"'!L4")," ")</f>
        <v xml:space="preserve"> </v>
      </c>
    </row>
    <row r="43" spans="2:31" ht="15" customHeight="1" x14ac:dyDescent="0.3">
      <c r="B43" s="8" t="str" cm="1">
        <f t="array" aca="1" ref="B43" ca="1">IFERROR(INDIRECT("'"&amp;$A43&amp;"'!A2"),"")</f>
        <v/>
      </c>
      <c r="C43" s="8" t="str" cm="1">
        <f t="array" aca="1" ref="C43" ca="1">IFERROR(INDIRECT("'"&amp;$A43&amp;"'!B5"),"")</f>
        <v/>
      </c>
      <c r="D43" s="9" t="str" cm="1">
        <f t="array" aca="1" ref="D43" ca="1">IFERROR(INDIRECT("'"&amp;$A43&amp;"'!B4"),"")</f>
        <v/>
      </c>
      <c r="E43" s="9" t="str" cm="1">
        <f t="array" aca="1" ref="E43" ca="1">IFERROR(INDIRECT("'"&amp;$A43&amp;"'!B7")," ")</f>
        <v xml:space="preserve"> </v>
      </c>
      <c r="F43" s="122" t="str" cm="1">
        <f t="array" aca="1" ref="F43" ca="1">IFERROR(INDIRECT("'"&amp;$A43&amp;"'!D9")," ")</f>
        <v xml:space="preserve"> </v>
      </c>
      <c r="G43" s="52" t="str" cm="1">
        <f t="array" aca="1" ref="G43" ca="1">IFERROR(INDIRECT("'"&amp;$A43&amp;"'!B9")," ")</f>
        <v xml:space="preserve"> </v>
      </c>
      <c r="H43" s="144" t="str" cm="1">
        <f t="array" aca="1" ref="H43" ca="1">IFERROR(INDIRECT("'"&amp;$A43&amp;"'!D4")," ")</f>
        <v xml:space="preserve"> </v>
      </c>
      <c r="I43" s="5" t="str" cm="1">
        <f t="array" aca="1" ref="I43" ca="1">IFERROR(INDIRECT("'"&amp;$A43&amp;"'!D7")," ")</f>
        <v xml:space="preserve"> </v>
      </c>
      <c r="J43" s="5" t="str" cm="1">
        <f t="array" aca="1" ref="J43" ca="1">IFERROR(INDIRECT("'"&amp;$A43&amp;"'!D8")," ")</f>
        <v xml:space="preserve"> </v>
      </c>
      <c r="K43" s="5" t="str" cm="1">
        <f t="array" aca="1" ref="K43" ca="1">IFERROR(INDIRECT("'"&amp;$A43&amp;"'!D5")," ")</f>
        <v xml:space="preserve"> </v>
      </c>
      <c r="L43" s="54" t="str" cm="1">
        <f t="array" aca="1" ref="L43" ca="1">IFERROR(INDIRECT("'"&amp;$A43&amp;"'!Q10")," ")</f>
        <v xml:space="preserve"> </v>
      </c>
      <c r="M43" s="43" t="str" cm="1">
        <f t="array" aca="1" ref="M43" ca="1">IFERROR(INDIRECT("'"&amp;$A43&amp;"'!Q5")," ")</f>
        <v xml:space="preserve"> </v>
      </c>
      <c r="N43" s="43" t="str" cm="1">
        <f t="array" aca="1" ref="N43" ca="1">IFERROR(INDIRECT("'"&amp;$A43&amp;"'!Q6")," ")</f>
        <v xml:space="preserve"> </v>
      </c>
      <c r="O43" s="43" t="str" cm="1">
        <f t="array" aca="1" ref="O43" ca="1">IFERROR(INDIRECT("'"&amp;$A43&amp;"'!Q7")," ")</f>
        <v xml:space="preserve"> </v>
      </c>
      <c r="P43" s="43" t="str" cm="1">
        <f t="array" aca="1" ref="P43" ca="1">IFERROR(INDIRECT("'"&amp;$A43&amp;"'!S5")," ")</f>
        <v xml:space="preserve"> </v>
      </c>
      <c r="Q43" s="43" t="str" cm="1">
        <f t="array" aca="1" ref="Q43" ca="1">IFERROR(INDIRECT("'"&amp;$A43&amp;"'!S6")," ")</f>
        <v xml:space="preserve"> </v>
      </c>
      <c r="R43" s="43" t="str" cm="1">
        <f t="array" aca="1" ref="R43" ca="1">IFERROR(INDIRECT("'"&amp;$A43&amp;"'!S7")," ")</f>
        <v xml:space="preserve"> </v>
      </c>
      <c r="S43" s="43" t="str" cm="1">
        <f t="array" aca="1" ref="S43" ca="1">IFERROR(INDIRECT("'"&amp;$A43&amp;"'!S8")," ")</f>
        <v xml:space="preserve"> </v>
      </c>
      <c r="T43" s="43" t="str" cm="1">
        <f t="array" aca="1" ref="T43" ca="1">IFERROR(INDIRECT("'"&amp;$A43&amp;"'!S9")," ")</f>
        <v xml:space="preserve"> </v>
      </c>
      <c r="U43" s="43" t="str" cm="1">
        <f t="array" aca="1" ref="U43" ca="1">IFERROR(INDIRECT("'"&amp;$A43&amp;"'!S10")," ")</f>
        <v xml:space="preserve"> </v>
      </c>
      <c r="V43" s="43" t="str" cm="1">
        <f t="array" aca="1" ref="V43" ca="1">IFERROR(INDIRECT("'"&amp;$A43&amp;"'!S11")," ")</f>
        <v xml:space="preserve"> </v>
      </c>
      <c r="W43" s="43" t="str" cm="1">
        <f t="array" aca="1" ref="W43" ca="1">IFERROR(INDIRECT("'"&amp;$A43&amp;"'!W5")," ")</f>
        <v xml:space="preserve"> </v>
      </c>
      <c r="X43" s="43" t="str" cm="1">
        <f t="array" aca="1" ref="X43" ca="1">IFERROR(INDIRECT("'"&amp;$A43&amp;"'!s8")," ")</f>
        <v xml:space="preserve"> </v>
      </c>
      <c r="Y43" s="43" t="str" cm="1">
        <f t="array" aca="1" ref="Y43" ca="1">IFERROR(INDIRECT("'"&amp;$A43&amp;"'!U5")," ")</f>
        <v xml:space="preserve"> </v>
      </c>
      <c r="Z43" s="43" t="str" cm="1">
        <f t="array" aca="1" ref="Z43" ca="1">IFERROR(INDIRECT("'"&amp;$A43&amp;"'!U6")," ")</f>
        <v xml:space="preserve"> </v>
      </c>
      <c r="AA43" s="43" t="str" cm="1">
        <f t="array" aca="1" ref="AA43" ca="1">IFERROR(INDIRECT("'"&amp;$A43&amp;"'!U7")," ")</f>
        <v xml:space="preserve"> </v>
      </c>
      <c r="AB43" s="43" t="str" cm="1">
        <f t="array" aca="1" ref="AB43" ca="1">IFERROR(INDIRECT("'"&amp;$A43&amp;"'!U8")," ")</f>
        <v xml:space="preserve"> </v>
      </c>
      <c r="AC43" s="43" t="str" cm="1">
        <f t="array" aca="1" ref="AC43" ca="1">IFERROR(INDIRECT("'"&amp;$A43&amp;"'!s9")," ")</f>
        <v xml:space="preserve"> </v>
      </c>
      <c r="AD43" s="7" t="str" cm="1">
        <f t="array" aca="1" ref="AD43" ca="1">IFERROR(INDIRECT("'"&amp;$A43&amp;"'!F6")," ")</f>
        <v xml:space="preserve"> </v>
      </c>
      <c r="AE43" s="118" t="str" cm="1">
        <f t="array" aca="1" ref="AE43" ca="1">IFERROR(INDIRECT("'"&amp;$A43&amp;"'!L4")," ")</f>
        <v xml:space="preserve"> </v>
      </c>
    </row>
    <row r="44" spans="2:31" ht="15" customHeight="1" x14ac:dyDescent="0.3">
      <c r="B44" s="8" t="str" cm="1">
        <f t="array" aca="1" ref="B44" ca="1">IFERROR(INDIRECT("'"&amp;$A44&amp;"'!A2"),"")</f>
        <v/>
      </c>
      <c r="C44" s="8" t="str" cm="1">
        <f t="array" aca="1" ref="C44" ca="1">IFERROR(INDIRECT("'"&amp;$A44&amp;"'!B5"),"")</f>
        <v/>
      </c>
      <c r="D44" s="9" t="str" cm="1">
        <f t="array" aca="1" ref="D44" ca="1">IFERROR(INDIRECT("'"&amp;$A44&amp;"'!B4"),"")</f>
        <v/>
      </c>
      <c r="E44" s="9" t="str" cm="1">
        <f t="array" aca="1" ref="E44" ca="1">IFERROR(INDIRECT("'"&amp;$A44&amp;"'!B7")," ")</f>
        <v xml:space="preserve"> </v>
      </c>
      <c r="F44" s="122" t="str" cm="1">
        <f t="array" aca="1" ref="F44" ca="1">IFERROR(INDIRECT("'"&amp;$A44&amp;"'!D9")," ")</f>
        <v xml:space="preserve"> </v>
      </c>
      <c r="G44" s="52" t="str" cm="1">
        <f t="array" aca="1" ref="G44" ca="1">IFERROR(INDIRECT("'"&amp;$A44&amp;"'!B9")," ")</f>
        <v xml:space="preserve"> </v>
      </c>
      <c r="H44" s="144" t="str" cm="1">
        <f t="array" aca="1" ref="H44" ca="1">IFERROR(INDIRECT("'"&amp;$A44&amp;"'!D4")," ")</f>
        <v xml:space="preserve"> </v>
      </c>
      <c r="I44" s="5" t="str" cm="1">
        <f t="array" aca="1" ref="I44" ca="1">IFERROR(INDIRECT("'"&amp;$A44&amp;"'!D7")," ")</f>
        <v xml:space="preserve"> </v>
      </c>
      <c r="J44" s="5" t="str" cm="1">
        <f t="array" aca="1" ref="J44" ca="1">IFERROR(INDIRECT("'"&amp;$A44&amp;"'!D8")," ")</f>
        <v xml:space="preserve"> </v>
      </c>
      <c r="K44" s="5" t="str" cm="1">
        <f t="array" aca="1" ref="K44" ca="1">IFERROR(INDIRECT("'"&amp;$A44&amp;"'!D5")," ")</f>
        <v xml:space="preserve"> </v>
      </c>
      <c r="L44" s="54" t="str" cm="1">
        <f t="array" aca="1" ref="L44" ca="1">IFERROR(INDIRECT("'"&amp;$A44&amp;"'!Q10")," ")</f>
        <v xml:space="preserve"> </v>
      </c>
      <c r="M44" s="43" t="str" cm="1">
        <f t="array" aca="1" ref="M44" ca="1">IFERROR(INDIRECT("'"&amp;$A44&amp;"'!Q5")," ")</f>
        <v xml:space="preserve"> </v>
      </c>
      <c r="N44" s="43" t="str" cm="1">
        <f t="array" aca="1" ref="N44" ca="1">IFERROR(INDIRECT("'"&amp;$A44&amp;"'!Q6")," ")</f>
        <v xml:space="preserve"> </v>
      </c>
      <c r="O44" s="43" t="str" cm="1">
        <f t="array" aca="1" ref="O44" ca="1">IFERROR(INDIRECT("'"&amp;$A44&amp;"'!Q7")," ")</f>
        <v xml:space="preserve"> </v>
      </c>
      <c r="P44" s="43" t="str" cm="1">
        <f t="array" aca="1" ref="P44" ca="1">IFERROR(INDIRECT("'"&amp;$A44&amp;"'!S5")," ")</f>
        <v xml:space="preserve"> </v>
      </c>
      <c r="Q44" s="43" t="str" cm="1">
        <f t="array" aca="1" ref="Q44" ca="1">IFERROR(INDIRECT("'"&amp;$A44&amp;"'!S6")," ")</f>
        <v xml:space="preserve"> </v>
      </c>
      <c r="R44" s="43" t="str" cm="1">
        <f t="array" aca="1" ref="R44" ca="1">IFERROR(INDIRECT("'"&amp;$A44&amp;"'!S7")," ")</f>
        <v xml:space="preserve"> </v>
      </c>
      <c r="S44" s="43" t="str" cm="1">
        <f t="array" aca="1" ref="S44" ca="1">IFERROR(INDIRECT("'"&amp;$A44&amp;"'!S8")," ")</f>
        <v xml:space="preserve"> </v>
      </c>
      <c r="T44" s="43" t="str" cm="1">
        <f t="array" aca="1" ref="T44" ca="1">IFERROR(INDIRECT("'"&amp;$A44&amp;"'!S9")," ")</f>
        <v xml:space="preserve"> </v>
      </c>
      <c r="U44" s="43" t="str" cm="1">
        <f t="array" aca="1" ref="U44" ca="1">IFERROR(INDIRECT("'"&amp;$A44&amp;"'!S10")," ")</f>
        <v xml:space="preserve"> </v>
      </c>
      <c r="V44" s="43" t="str" cm="1">
        <f t="array" aca="1" ref="V44" ca="1">IFERROR(INDIRECT("'"&amp;$A44&amp;"'!S11")," ")</f>
        <v xml:space="preserve"> </v>
      </c>
      <c r="W44" s="43" t="str" cm="1">
        <f t="array" aca="1" ref="W44" ca="1">IFERROR(INDIRECT("'"&amp;$A44&amp;"'!W5")," ")</f>
        <v xml:space="preserve"> </v>
      </c>
      <c r="X44" s="43" t="str" cm="1">
        <f t="array" aca="1" ref="X44" ca="1">IFERROR(INDIRECT("'"&amp;$A44&amp;"'!s8")," ")</f>
        <v xml:space="preserve"> </v>
      </c>
      <c r="Y44" s="43" t="str" cm="1">
        <f t="array" aca="1" ref="Y44" ca="1">IFERROR(INDIRECT("'"&amp;$A44&amp;"'!U5")," ")</f>
        <v xml:space="preserve"> </v>
      </c>
      <c r="Z44" s="43" t="str" cm="1">
        <f t="array" aca="1" ref="Z44" ca="1">IFERROR(INDIRECT("'"&amp;$A44&amp;"'!U6")," ")</f>
        <v xml:space="preserve"> </v>
      </c>
      <c r="AA44" s="43" t="str" cm="1">
        <f t="array" aca="1" ref="AA44" ca="1">IFERROR(INDIRECT("'"&amp;$A44&amp;"'!U7")," ")</f>
        <v xml:space="preserve"> </v>
      </c>
      <c r="AB44" s="43" t="str" cm="1">
        <f t="array" aca="1" ref="AB44" ca="1">IFERROR(INDIRECT("'"&amp;$A44&amp;"'!U8")," ")</f>
        <v xml:space="preserve"> </v>
      </c>
      <c r="AC44" s="43" t="str" cm="1">
        <f t="array" aca="1" ref="AC44" ca="1">IFERROR(INDIRECT("'"&amp;$A44&amp;"'!s9")," ")</f>
        <v xml:space="preserve"> </v>
      </c>
      <c r="AD44" s="7" t="str" cm="1">
        <f t="array" aca="1" ref="AD44" ca="1">IFERROR(INDIRECT("'"&amp;$A44&amp;"'!F6")," ")</f>
        <v xml:space="preserve"> </v>
      </c>
      <c r="AE44" s="118" t="str" cm="1">
        <f t="array" aca="1" ref="AE44" ca="1">IFERROR(INDIRECT("'"&amp;$A44&amp;"'!L4")," ")</f>
        <v xml:space="preserve"> </v>
      </c>
    </row>
    <row r="45" spans="2:31" ht="15" customHeight="1" x14ac:dyDescent="0.3">
      <c r="B45" s="8" t="str" cm="1">
        <f t="array" aca="1" ref="B45" ca="1">IFERROR(INDIRECT("'"&amp;$A45&amp;"'!A2"),"")</f>
        <v/>
      </c>
      <c r="C45" s="8" t="str" cm="1">
        <f t="array" aca="1" ref="C45" ca="1">IFERROR(INDIRECT("'"&amp;$A45&amp;"'!B5"),"")</f>
        <v/>
      </c>
      <c r="D45" s="9" t="str" cm="1">
        <f t="array" aca="1" ref="D45" ca="1">IFERROR(INDIRECT("'"&amp;$A45&amp;"'!B4"),"")</f>
        <v/>
      </c>
      <c r="E45" s="9" t="str" cm="1">
        <f t="array" aca="1" ref="E45" ca="1">IFERROR(INDIRECT("'"&amp;$A45&amp;"'!B7")," ")</f>
        <v xml:space="preserve"> </v>
      </c>
      <c r="F45" s="122" t="str" cm="1">
        <f t="array" aca="1" ref="F45" ca="1">IFERROR(INDIRECT("'"&amp;$A45&amp;"'!D9")," ")</f>
        <v xml:space="preserve"> </v>
      </c>
      <c r="G45" s="52" t="str" cm="1">
        <f t="array" aca="1" ref="G45" ca="1">IFERROR(INDIRECT("'"&amp;$A45&amp;"'!B9")," ")</f>
        <v xml:space="preserve"> </v>
      </c>
      <c r="H45" s="144" t="str" cm="1">
        <f t="array" aca="1" ref="H45" ca="1">IFERROR(INDIRECT("'"&amp;$A45&amp;"'!D4")," ")</f>
        <v xml:space="preserve"> </v>
      </c>
      <c r="I45" s="5" t="str" cm="1">
        <f t="array" aca="1" ref="I45" ca="1">IFERROR(INDIRECT("'"&amp;$A45&amp;"'!D7")," ")</f>
        <v xml:space="preserve"> </v>
      </c>
      <c r="J45" s="5" t="str" cm="1">
        <f t="array" aca="1" ref="J45" ca="1">IFERROR(INDIRECT("'"&amp;$A45&amp;"'!D8")," ")</f>
        <v xml:space="preserve"> </v>
      </c>
      <c r="K45" s="5" t="str" cm="1">
        <f t="array" aca="1" ref="K45" ca="1">IFERROR(INDIRECT("'"&amp;$A45&amp;"'!D5")," ")</f>
        <v xml:space="preserve"> </v>
      </c>
      <c r="L45" s="54" t="str" cm="1">
        <f t="array" aca="1" ref="L45" ca="1">IFERROR(INDIRECT("'"&amp;$A45&amp;"'!Q10")," ")</f>
        <v xml:space="preserve"> </v>
      </c>
      <c r="M45" s="43" t="str" cm="1">
        <f t="array" aca="1" ref="M45" ca="1">IFERROR(INDIRECT("'"&amp;$A45&amp;"'!Q5")," ")</f>
        <v xml:space="preserve"> </v>
      </c>
      <c r="N45" s="43" t="str" cm="1">
        <f t="array" aca="1" ref="N45" ca="1">IFERROR(INDIRECT("'"&amp;$A45&amp;"'!Q6")," ")</f>
        <v xml:space="preserve"> </v>
      </c>
      <c r="O45" s="43" t="str" cm="1">
        <f t="array" aca="1" ref="O45" ca="1">IFERROR(INDIRECT("'"&amp;$A45&amp;"'!Q7")," ")</f>
        <v xml:space="preserve"> </v>
      </c>
      <c r="P45" s="43" t="str" cm="1">
        <f t="array" aca="1" ref="P45" ca="1">IFERROR(INDIRECT("'"&amp;$A45&amp;"'!S5")," ")</f>
        <v xml:space="preserve"> </v>
      </c>
      <c r="Q45" s="43" t="str" cm="1">
        <f t="array" aca="1" ref="Q45" ca="1">IFERROR(INDIRECT("'"&amp;$A45&amp;"'!S6")," ")</f>
        <v xml:space="preserve"> </v>
      </c>
      <c r="R45" s="43" t="str" cm="1">
        <f t="array" aca="1" ref="R45" ca="1">IFERROR(INDIRECT("'"&amp;$A45&amp;"'!S7")," ")</f>
        <v xml:space="preserve"> </v>
      </c>
      <c r="S45" s="43" t="str" cm="1">
        <f t="array" aca="1" ref="S45" ca="1">IFERROR(INDIRECT("'"&amp;$A45&amp;"'!S8")," ")</f>
        <v xml:space="preserve"> </v>
      </c>
      <c r="T45" s="43" t="str" cm="1">
        <f t="array" aca="1" ref="T45" ca="1">IFERROR(INDIRECT("'"&amp;$A45&amp;"'!S9")," ")</f>
        <v xml:space="preserve"> </v>
      </c>
      <c r="U45" s="43" t="str" cm="1">
        <f t="array" aca="1" ref="U45" ca="1">IFERROR(INDIRECT("'"&amp;$A45&amp;"'!S10")," ")</f>
        <v xml:space="preserve"> </v>
      </c>
      <c r="V45" s="43" t="str" cm="1">
        <f t="array" aca="1" ref="V45" ca="1">IFERROR(INDIRECT("'"&amp;$A45&amp;"'!S11")," ")</f>
        <v xml:space="preserve"> </v>
      </c>
      <c r="W45" s="43" t="str" cm="1">
        <f t="array" aca="1" ref="W45" ca="1">IFERROR(INDIRECT("'"&amp;$A45&amp;"'!W5")," ")</f>
        <v xml:space="preserve"> </v>
      </c>
      <c r="X45" s="43" t="str" cm="1">
        <f t="array" aca="1" ref="X45" ca="1">IFERROR(INDIRECT("'"&amp;$A45&amp;"'!s8")," ")</f>
        <v xml:space="preserve"> </v>
      </c>
      <c r="Y45" s="43" t="str" cm="1">
        <f t="array" aca="1" ref="Y45" ca="1">IFERROR(INDIRECT("'"&amp;$A45&amp;"'!U5")," ")</f>
        <v xml:space="preserve"> </v>
      </c>
      <c r="Z45" s="43" t="str" cm="1">
        <f t="array" aca="1" ref="Z45" ca="1">IFERROR(INDIRECT("'"&amp;$A45&amp;"'!U6")," ")</f>
        <v xml:space="preserve"> </v>
      </c>
      <c r="AA45" s="43" t="str" cm="1">
        <f t="array" aca="1" ref="AA45" ca="1">IFERROR(INDIRECT("'"&amp;$A45&amp;"'!U7")," ")</f>
        <v xml:space="preserve"> </v>
      </c>
      <c r="AB45" s="43" t="str" cm="1">
        <f t="array" aca="1" ref="AB45" ca="1">IFERROR(INDIRECT("'"&amp;$A45&amp;"'!U8")," ")</f>
        <v xml:space="preserve"> </v>
      </c>
      <c r="AC45" s="43" t="str" cm="1">
        <f t="array" aca="1" ref="AC45" ca="1">IFERROR(INDIRECT("'"&amp;$A45&amp;"'!s9")," ")</f>
        <v xml:space="preserve"> </v>
      </c>
      <c r="AD45" s="7" t="str" cm="1">
        <f t="array" aca="1" ref="AD45" ca="1">IFERROR(INDIRECT("'"&amp;$A45&amp;"'!F6")," ")</f>
        <v xml:space="preserve"> </v>
      </c>
      <c r="AE45" s="118" t="str" cm="1">
        <f t="array" aca="1" ref="AE45" ca="1">IFERROR(INDIRECT("'"&amp;$A45&amp;"'!L4")," ")</f>
        <v xml:space="preserve"> </v>
      </c>
    </row>
    <row r="46" spans="2:31" ht="15" customHeight="1" x14ac:dyDescent="0.3">
      <c r="B46" s="8" t="str" cm="1">
        <f t="array" aca="1" ref="B46" ca="1">IFERROR(INDIRECT("'"&amp;$A46&amp;"'!A2"),"")</f>
        <v/>
      </c>
      <c r="C46" s="8" t="str" cm="1">
        <f t="array" aca="1" ref="C46" ca="1">IFERROR(INDIRECT("'"&amp;$A46&amp;"'!B5"),"")</f>
        <v/>
      </c>
      <c r="D46" s="9" t="str" cm="1">
        <f t="array" aca="1" ref="D46" ca="1">IFERROR(INDIRECT("'"&amp;$A46&amp;"'!B4"),"")</f>
        <v/>
      </c>
      <c r="E46" s="9" t="str" cm="1">
        <f t="array" aca="1" ref="E46" ca="1">IFERROR(INDIRECT("'"&amp;$A46&amp;"'!B7")," ")</f>
        <v xml:space="preserve"> </v>
      </c>
      <c r="F46" s="122" t="str" cm="1">
        <f t="array" aca="1" ref="F46" ca="1">IFERROR(INDIRECT("'"&amp;$A46&amp;"'!D9")," ")</f>
        <v xml:space="preserve"> </v>
      </c>
      <c r="G46" s="52" t="str" cm="1">
        <f t="array" aca="1" ref="G46" ca="1">IFERROR(INDIRECT("'"&amp;$A46&amp;"'!B9")," ")</f>
        <v xml:space="preserve"> </v>
      </c>
      <c r="H46" s="70" t="str" cm="1">
        <f t="array" aca="1" ref="H46" ca="1">IFERROR(INDIRECT("'"&amp;$A46&amp;"'!D4")," ")</f>
        <v xml:space="preserve"> </v>
      </c>
      <c r="I46" s="5" t="str" cm="1">
        <f t="array" aca="1" ref="I46" ca="1">IFERROR(INDIRECT("'"&amp;$A46&amp;"'!D7")," ")</f>
        <v xml:space="preserve"> </v>
      </c>
      <c r="J46" s="5" t="str" cm="1">
        <f t="array" aca="1" ref="J46" ca="1">IFERROR(INDIRECT("'"&amp;$A46&amp;"'!D8")," ")</f>
        <v xml:space="preserve"> </v>
      </c>
      <c r="K46" s="5" t="str" cm="1">
        <f t="array" aca="1" ref="K46" ca="1">IFERROR(INDIRECT("'"&amp;$A46&amp;"'!D5")," ")</f>
        <v xml:space="preserve"> </v>
      </c>
      <c r="L46" s="54" t="str" cm="1">
        <f t="array" aca="1" ref="L46" ca="1">IFERROR(INDIRECT("'"&amp;$A46&amp;"'!Q10")," ")</f>
        <v xml:space="preserve"> </v>
      </c>
      <c r="M46" s="43" t="str" cm="1">
        <f t="array" aca="1" ref="M46" ca="1">IFERROR(INDIRECT("'"&amp;$A46&amp;"'!Q5")," ")</f>
        <v xml:space="preserve"> </v>
      </c>
      <c r="N46" s="43" t="str" cm="1">
        <f t="array" aca="1" ref="N46" ca="1">IFERROR(INDIRECT("'"&amp;$A46&amp;"'!Q6")," ")</f>
        <v xml:space="preserve"> </v>
      </c>
      <c r="O46" s="43" t="str" cm="1">
        <f t="array" aca="1" ref="O46" ca="1">IFERROR(INDIRECT("'"&amp;$A46&amp;"'!Q7")," ")</f>
        <v xml:space="preserve"> </v>
      </c>
      <c r="P46" s="43" t="str" cm="1">
        <f t="array" aca="1" ref="P46" ca="1">IFERROR(INDIRECT("'"&amp;$A46&amp;"'!S5")," ")</f>
        <v xml:space="preserve"> </v>
      </c>
      <c r="Q46" s="43" t="str" cm="1">
        <f t="array" aca="1" ref="Q46" ca="1">IFERROR(INDIRECT("'"&amp;$A46&amp;"'!S6")," ")</f>
        <v xml:space="preserve"> </v>
      </c>
      <c r="R46" s="43" t="str" cm="1">
        <f t="array" aca="1" ref="R46" ca="1">IFERROR(INDIRECT("'"&amp;$A46&amp;"'!S7")," ")</f>
        <v xml:space="preserve"> </v>
      </c>
      <c r="S46" s="43" t="str" cm="1">
        <f t="array" aca="1" ref="S46" ca="1">IFERROR(INDIRECT("'"&amp;$A46&amp;"'!S8")," ")</f>
        <v xml:space="preserve"> </v>
      </c>
      <c r="T46" s="43" t="str" cm="1">
        <f t="array" aca="1" ref="T46" ca="1">IFERROR(INDIRECT("'"&amp;$A46&amp;"'!S9")," ")</f>
        <v xml:space="preserve"> </v>
      </c>
      <c r="U46" s="43" t="str" cm="1">
        <f t="array" aca="1" ref="U46" ca="1">IFERROR(INDIRECT("'"&amp;$A46&amp;"'!S10")," ")</f>
        <v xml:space="preserve"> </v>
      </c>
      <c r="V46" s="43" t="str" cm="1">
        <f t="array" aca="1" ref="V46" ca="1">IFERROR(INDIRECT("'"&amp;$A46&amp;"'!S11")," ")</f>
        <v xml:space="preserve"> </v>
      </c>
      <c r="W46" s="43" t="str" cm="1">
        <f t="array" aca="1" ref="W46" ca="1">IFERROR(INDIRECT("'"&amp;$A46&amp;"'!W5")," ")</f>
        <v xml:space="preserve"> </v>
      </c>
      <c r="X46" s="43" t="str" cm="1">
        <f t="array" aca="1" ref="X46" ca="1">IFERROR(INDIRECT("'"&amp;$A46&amp;"'!s8")," ")</f>
        <v xml:space="preserve"> </v>
      </c>
      <c r="Y46" s="43" t="str" cm="1">
        <f t="array" aca="1" ref="Y46" ca="1">IFERROR(INDIRECT("'"&amp;$A46&amp;"'!U5")," ")</f>
        <v xml:space="preserve"> </v>
      </c>
      <c r="Z46" s="43" t="str" cm="1">
        <f t="array" aca="1" ref="Z46" ca="1">IFERROR(INDIRECT("'"&amp;$A46&amp;"'!U6")," ")</f>
        <v xml:space="preserve"> </v>
      </c>
      <c r="AA46" s="43" t="str" cm="1">
        <f t="array" aca="1" ref="AA46" ca="1">IFERROR(INDIRECT("'"&amp;$A46&amp;"'!U7")," ")</f>
        <v xml:space="preserve"> </v>
      </c>
      <c r="AB46" s="43" t="str" cm="1">
        <f t="array" aca="1" ref="AB46" ca="1">IFERROR(INDIRECT("'"&amp;$A46&amp;"'!U8")," ")</f>
        <v xml:space="preserve"> </v>
      </c>
      <c r="AC46" s="43" t="str" cm="1">
        <f t="array" aca="1" ref="AC46" ca="1">IFERROR(INDIRECT("'"&amp;$A46&amp;"'!s9")," ")</f>
        <v xml:space="preserve"> </v>
      </c>
      <c r="AD46" s="7" t="str" cm="1">
        <f t="array" aca="1" ref="AD46" ca="1">IFERROR(INDIRECT("'"&amp;$A46&amp;"'!F6")," ")</f>
        <v xml:space="preserve"> </v>
      </c>
      <c r="AE46" s="118" t="str" cm="1">
        <f t="array" aca="1" ref="AE46" ca="1">IFERROR(INDIRECT("'"&amp;$A46&amp;"'!L4")," ")</f>
        <v xml:space="preserve"> </v>
      </c>
    </row>
    <row r="47" spans="2:31" ht="15" customHeight="1" x14ac:dyDescent="0.3">
      <c r="B47" s="8" t="str" cm="1">
        <f t="array" aca="1" ref="B47" ca="1">IFERROR(INDIRECT("'"&amp;$A47&amp;"'!A2"),"")</f>
        <v/>
      </c>
      <c r="C47" s="8" t="str" cm="1">
        <f t="array" aca="1" ref="C47" ca="1">IFERROR(INDIRECT("'"&amp;$A47&amp;"'!B5"),"")</f>
        <v/>
      </c>
      <c r="D47" s="9" t="str" cm="1">
        <f t="array" aca="1" ref="D47" ca="1">IFERROR(INDIRECT("'"&amp;$A47&amp;"'!B4"),"")</f>
        <v/>
      </c>
      <c r="E47" s="9" t="str" cm="1">
        <f t="array" aca="1" ref="E47" ca="1">IFERROR(INDIRECT("'"&amp;$A47&amp;"'!B7")," ")</f>
        <v xml:space="preserve"> </v>
      </c>
      <c r="F47" s="122" t="str" cm="1">
        <f t="array" aca="1" ref="F47" ca="1">IFERROR(INDIRECT("'"&amp;$A47&amp;"'!D9")," ")</f>
        <v xml:space="preserve"> </v>
      </c>
      <c r="G47" s="52" t="str" cm="1">
        <f t="array" aca="1" ref="G47" ca="1">IFERROR(INDIRECT("'"&amp;$A47&amp;"'!B9")," ")</f>
        <v xml:space="preserve"> </v>
      </c>
      <c r="H47" s="144" t="str" cm="1">
        <f t="array" aca="1" ref="H47" ca="1">IFERROR(INDIRECT("'"&amp;$A47&amp;"'!D4")," ")</f>
        <v xml:space="preserve"> </v>
      </c>
      <c r="I47" s="5" t="str" cm="1">
        <f t="array" aca="1" ref="I47" ca="1">IFERROR(INDIRECT("'"&amp;$A47&amp;"'!D7")," ")</f>
        <v xml:space="preserve"> </v>
      </c>
      <c r="J47" s="5" t="str" cm="1">
        <f t="array" aca="1" ref="J47" ca="1">IFERROR(INDIRECT("'"&amp;$A47&amp;"'!D8")," ")</f>
        <v xml:space="preserve"> </v>
      </c>
      <c r="K47" s="5" t="str" cm="1">
        <f t="array" aca="1" ref="K47" ca="1">IFERROR(INDIRECT("'"&amp;$A47&amp;"'!D5")," ")</f>
        <v xml:space="preserve"> </v>
      </c>
      <c r="L47" s="54" t="str" cm="1">
        <f t="array" aca="1" ref="L47" ca="1">IFERROR(INDIRECT("'"&amp;$A47&amp;"'!Q10")," ")</f>
        <v xml:space="preserve"> </v>
      </c>
      <c r="M47" s="43" t="str" cm="1">
        <f t="array" aca="1" ref="M47" ca="1">IFERROR(INDIRECT("'"&amp;$A47&amp;"'!Q5")," ")</f>
        <v xml:space="preserve"> </v>
      </c>
      <c r="N47" s="43" t="str" cm="1">
        <f t="array" aca="1" ref="N47" ca="1">IFERROR(INDIRECT("'"&amp;$A47&amp;"'!Q6")," ")</f>
        <v xml:space="preserve"> </v>
      </c>
      <c r="O47" s="43" t="str" cm="1">
        <f t="array" aca="1" ref="O47" ca="1">IFERROR(INDIRECT("'"&amp;$A47&amp;"'!Q7")," ")</f>
        <v xml:space="preserve"> </v>
      </c>
      <c r="P47" s="43" t="str" cm="1">
        <f t="array" aca="1" ref="P47" ca="1">IFERROR(INDIRECT("'"&amp;$A47&amp;"'!S5")," ")</f>
        <v xml:space="preserve"> </v>
      </c>
      <c r="Q47" s="43" t="str" cm="1">
        <f t="array" aca="1" ref="Q47" ca="1">IFERROR(INDIRECT("'"&amp;$A47&amp;"'!S6")," ")</f>
        <v xml:space="preserve"> </v>
      </c>
      <c r="R47" s="43" t="str" cm="1">
        <f t="array" aca="1" ref="R47" ca="1">IFERROR(INDIRECT("'"&amp;$A47&amp;"'!S7")," ")</f>
        <v xml:space="preserve"> </v>
      </c>
      <c r="S47" s="43" t="str" cm="1">
        <f t="array" aca="1" ref="S47" ca="1">IFERROR(INDIRECT("'"&amp;$A47&amp;"'!S8")," ")</f>
        <v xml:space="preserve"> </v>
      </c>
      <c r="T47" s="43" t="str" cm="1">
        <f t="array" aca="1" ref="T47" ca="1">IFERROR(INDIRECT("'"&amp;$A47&amp;"'!S9")," ")</f>
        <v xml:space="preserve"> </v>
      </c>
      <c r="U47" s="43" t="str" cm="1">
        <f t="array" aca="1" ref="U47" ca="1">IFERROR(INDIRECT("'"&amp;$A47&amp;"'!S10")," ")</f>
        <v xml:space="preserve"> </v>
      </c>
      <c r="V47" s="43" t="str" cm="1">
        <f t="array" aca="1" ref="V47" ca="1">IFERROR(INDIRECT("'"&amp;$A47&amp;"'!S11")," ")</f>
        <v xml:space="preserve"> </v>
      </c>
      <c r="W47" s="43" t="str" cm="1">
        <f t="array" aca="1" ref="W47" ca="1">IFERROR(INDIRECT("'"&amp;$A47&amp;"'!W5")," ")</f>
        <v xml:space="preserve"> </v>
      </c>
      <c r="X47" s="43" t="str" cm="1">
        <f t="array" aca="1" ref="X47" ca="1">IFERROR(INDIRECT("'"&amp;$A47&amp;"'!s8")," ")</f>
        <v xml:space="preserve"> </v>
      </c>
      <c r="Y47" s="43" t="str" cm="1">
        <f t="array" aca="1" ref="Y47" ca="1">IFERROR(INDIRECT("'"&amp;$A47&amp;"'!U5")," ")</f>
        <v xml:space="preserve"> </v>
      </c>
      <c r="Z47" s="43" t="str" cm="1">
        <f t="array" aca="1" ref="Z47" ca="1">IFERROR(INDIRECT("'"&amp;$A47&amp;"'!U6")," ")</f>
        <v xml:space="preserve"> </v>
      </c>
      <c r="AA47" s="43" t="str" cm="1">
        <f t="array" aca="1" ref="AA47" ca="1">IFERROR(INDIRECT("'"&amp;$A47&amp;"'!U7")," ")</f>
        <v xml:space="preserve"> </v>
      </c>
      <c r="AB47" s="43" t="str" cm="1">
        <f t="array" aca="1" ref="AB47" ca="1">IFERROR(INDIRECT("'"&amp;$A47&amp;"'!U8")," ")</f>
        <v xml:space="preserve"> </v>
      </c>
      <c r="AC47" s="43" t="str" cm="1">
        <f t="array" aca="1" ref="AC47" ca="1">IFERROR(INDIRECT("'"&amp;$A47&amp;"'!s9")," ")</f>
        <v xml:space="preserve"> </v>
      </c>
      <c r="AD47" s="7" t="str" cm="1">
        <f t="array" aca="1" ref="AD47" ca="1">IFERROR(INDIRECT("'"&amp;$A47&amp;"'!F6")," ")</f>
        <v xml:space="preserve"> </v>
      </c>
      <c r="AE47" s="118" t="str" cm="1">
        <f t="array" aca="1" ref="AE47" ca="1">IFERROR(INDIRECT("'"&amp;$A47&amp;"'!L4")," ")</f>
        <v xml:space="preserve"> </v>
      </c>
    </row>
    <row r="48" spans="2:31" ht="15" customHeight="1" x14ac:dyDescent="0.3">
      <c r="B48" s="8" t="str" cm="1">
        <f t="array" aca="1" ref="B48" ca="1">IFERROR(INDIRECT("'"&amp;$A48&amp;"'!A2"),"")</f>
        <v/>
      </c>
      <c r="C48" s="8" t="str" cm="1">
        <f t="array" aca="1" ref="C48" ca="1">IFERROR(INDIRECT("'"&amp;$A48&amp;"'!B5"),"")</f>
        <v/>
      </c>
      <c r="D48" s="9" t="str" cm="1">
        <f t="array" aca="1" ref="D48" ca="1">IFERROR(INDIRECT("'"&amp;$A48&amp;"'!B4"),"")</f>
        <v/>
      </c>
      <c r="E48" s="9" t="str" cm="1">
        <f t="array" aca="1" ref="E48" ca="1">IFERROR(INDIRECT("'"&amp;$A48&amp;"'!B7")," ")</f>
        <v xml:space="preserve"> </v>
      </c>
      <c r="F48" s="122" t="str" cm="1">
        <f t="array" aca="1" ref="F48" ca="1">IFERROR(INDIRECT("'"&amp;$A48&amp;"'!D9")," ")</f>
        <v xml:space="preserve"> </v>
      </c>
      <c r="G48" s="52" t="str" cm="1">
        <f t="array" aca="1" ref="G48" ca="1">IFERROR(INDIRECT("'"&amp;$A48&amp;"'!B9")," ")</f>
        <v xml:space="preserve"> </v>
      </c>
      <c r="H48" s="144" t="str" cm="1">
        <f t="array" aca="1" ref="H48" ca="1">IFERROR(INDIRECT("'"&amp;$A48&amp;"'!D4")," ")</f>
        <v xml:space="preserve"> </v>
      </c>
      <c r="I48" s="5" t="str" cm="1">
        <f t="array" aca="1" ref="I48" ca="1">IFERROR(INDIRECT("'"&amp;$A48&amp;"'!D7")," ")</f>
        <v xml:space="preserve"> </v>
      </c>
      <c r="J48" s="5" t="str" cm="1">
        <f t="array" aca="1" ref="J48" ca="1">IFERROR(INDIRECT("'"&amp;$A48&amp;"'!D8")," ")</f>
        <v xml:space="preserve"> </v>
      </c>
      <c r="K48" s="5" t="str" cm="1">
        <f t="array" aca="1" ref="K48" ca="1">IFERROR(INDIRECT("'"&amp;$A48&amp;"'!D5")," ")</f>
        <v xml:space="preserve"> </v>
      </c>
      <c r="L48" s="54" t="str" cm="1">
        <f t="array" aca="1" ref="L48" ca="1">IFERROR(INDIRECT("'"&amp;$A48&amp;"'!Q10")," ")</f>
        <v xml:space="preserve"> </v>
      </c>
      <c r="M48" s="43" t="str" cm="1">
        <f t="array" aca="1" ref="M48" ca="1">IFERROR(INDIRECT("'"&amp;$A48&amp;"'!Q5")," ")</f>
        <v xml:space="preserve"> </v>
      </c>
      <c r="N48" s="43" t="str" cm="1">
        <f t="array" aca="1" ref="N48" ca="1">IFERROR(INDIRECT("'"&amp;$A48&amp;"'!Q6")," ")</f>
        <v xml:space="preserve"> </v>
      </c>
      <c r="O48" s="43" t="str" cm="1">
        <f t="array" aca="1" ref="O48" ca="1">IFERROR(INDIRECT("'"&amp;$A48&amp;"'!Q7")," ")</f>
        <v xml:space="preserve"> </v>
      </c>
      <c r="P48" s="43" t="str" cm="1">
        <f t="array" aca="1" ref="P48" ca="1">IFERROR(INDIRECT("'"&amp;$A48&amp;"'!S5")," ")</f>
        <v xml:space="preserve"> </v>
      </c>
      <c r="Q48" s="43" t="str" cm="1">
        <f t="array" aca="1" ref="Q48" ca="1">IFERROR(INDIRECT("'"&amp;$A48&amp;"'!S6")," ")</f>
        <v xml:space="preserve"> </v>
      </c>
      <c r="R48" s="43" t="str" cm="1">
        <f t="array" aca="1" ref="R48" ca="1">IFERROR(INDIRECT("'"&amp;$A48&amp;"'!S7")," ")</f>
        <v xml:space="preserve"> </v>
      </c>
      <c r="S48" s="43" t="str" cm="1">
        <f t="array" aca="1" ref="S48" ca="1">IFERROR(INDIRECT("'"&amp;$A48&amp;"'!S8")," ")</f>
        <v xml:space="preserve"> </v>
      </c>
      <c r="T48" s="43" t="str" cm="1">
        <f t="array" aca="1" ref="T48" ca="1">IFERROR(INDIRECT("'"&amp;$A48&amp;"'!S9")," ")</f>
        <v xml:space="preserve"> </v>
      </c>
      <c r="U48" s="43" t="str" cm="1">
        <f t="array" aca="1" ref="U48" ca="1">IFERROR(INDIRECT("'"&amp;$A48&amp;"'!S10")," ")</f>
        <v xml:space="preserve"> </v>
      </c>
      <c r="V48" s="43" t="str" cm="1">
        <f t="array" aca="1" ref="V48" ca="1">IFERROR(INDIRECT("'"&amp;$A48&amp;"'!S11")," ")</f>
        <v xml:space="preserve"> </v>
      </c>
      <c r="W48" s="43" t="str" cm="1">
        <f t="array" aca="1" ref="W48" ca="1">IFERROR(INDIRECT("'"&amp;$A48&amp;"'!W5")," ")</f>
        <v xml:space="preserve"> </v>
      </c>
      <c r="X48" s="43" t="str" cm="1">
        <f t="array" aca="1" ref="X48" ca="1">IFERROR(INDIRECT("'"&amp;$A48&amp;"'!s8")," ")</f>
        <v xml:space="preserve"> </v>
      </c>
      <c r="Y48" s="43" t="str" cm="1">
        <f t="array" aca="1" ref="Y48" ca="1">IFERROR(INDIRECT("'"&amp;$A48&amp;"'!U5")," ")</f>
        <v xml:space="preserve"> </v>
      </c>
      <c r="Z48" s="43" t="str" cm="1">
        <f t="array" aca="1" ref="Z48" ca="1">IFERROR(INDIRECT("'"&amp;$A48&amp;"'!U6")," ")</f>
        <v xml:space="preserve"> </v>
      </c>
      <c r="AA48" s="43" t="str" cm="1">
        <f t="array" aca="1" ref="AA48" ca="1">IFERROR(INDIRECT("'"&amp;$A48&amp;"'!U7")," ")</f>
        <v xml:space="preserve"> </v>
      </c>
      <c r="AB48" s="43" t="str" cm="1">
        <f t="array" aca="1" ref="AB48" ca="1">IFERROR(INDIRECT("'"&amp;$A48&amp;"'!U8")," ")</f>
        <v xml:space="preserve"> </v>
      </c>
      <c r="AC48" s="43" t="str" cm="1">
        <f t="array" aca="1" ref="AC48" ca="1">IFERROR(INDIRECT("'"&amp;$A48&amp;"'!s9")," ")</f>
        <v xml:space="preserve"> </v>
      </c>
      <c r="AD48" s="7" t="str" cm="1">
        <f t="array" aca="1" ref="AD48" ca="1">IFERROR(INDIRECT("'"&amp;$A48&amp;"'!F6")," ")</f>
        <v xml:space="preserve"> </v>
      </c>
      <c r="AE48" s="118" t="str" cm="1">
        <f t="array" aca="1" ref="AE48" ca="1">IFERROR(INDIRECT("'"&amp;$A48&amp;"'!L4")," ")</f>
        <v xml:space="preserve"> </v>
      </c>
    </row>
    <row r="49" spans="2:31" ht="15" customHeight="1" x14ac:dyDescent="0.3">
      <c r="B49" s="8" t="str" cm="1">
        <f t="array" aca="1" ref="B49" ca="1">IFERROR(INDIRECT("'"&amp;$A49&amp;"'!A2"),"")</f>
        <v/>
      </c>
      <c r="C49" s="8" t="str" cm="1">
        <f t="array" aca="1" ref="C49" ca="1">IFERROR(INDIRECT("'"&amp;$A49&amp;"'!B5"),"")</f>
        <v/>
      </c>
      <c r="D49" s="9" t="str" cm="1">
        <f t="array" aca="1" ref="D49" ca="1">IFERROR(INDIRECT("'"&amp;$A49&amp;"'!B4"),"")</f>
        <v/>
      </c>
      <c r="E49" s="9" t="str" cm="1">
        <f t="array" aca="1" ref="E49" ca="1">IFERROR(INDIRECT("'"&amp;$A49&amp;"'!B7")," ")</f>
        <v xml:space="preserve"> </v>
      </c>
      <c r="F49" s="122" t="str" cm="1">
        <f t="array" aca="1" ref="F49" ca="1">IFERROR(INDIRECT("'"&amp;$A49&amp;"'!D9")," ")</f>
        <v xml:space="preserve"> </v>
      </c>
      <c r="G49" s="52" t="str" cm="1">
        <f t="array" aca="1" ref="G49" ca="1">IFERROR(INDIRECT("'"&amp;$A49&amp;"'!B9")," ")</f>
        <v xml:space="preserve"> </v>
      </c>
      <c r="H49" s="144" t="str" cm="1">
        <f t="array" aca="1" ref="H49" ca="1">IFERROR(INDIRECT("'"&amp;$A49&amp;"'!D4")," ")</f>
        <v xml:space="preserve"> </v>
      </c>
      <c r="I49" s="5" t="str" cm="1">
        <f t="array" aca="1" ref="I49" ca="1">IFERROR(INDIRECT("'"&amp;$A49&amp;"'!D7")," ")</f>
        <v xml:space="preserve"> </v>
      </c>
      <c r="J49" s="5" t="str" cm="1">
        <f t="array" aca="1" ref="J49" ca="1">IFERROR(INDIRECT("'"&amp;$A49&amp;"'!D8")," ")</f>
        <v xml:space="preserve"> </v>
      </c>
      <c r="K49" s="5" t="str" cm="1">
        <f t="array" aca="1" ref="K49" ca="1">IFERROR(INDIRECT("'"&amp;$A49&amp;"'!D5")," ")</f>
        <v xml:space="preserve"> </v>
      </c>
      <c r="L49" s="54" t="str" cm="1">
        <f t="array" aca="1" ref="L49" ca="1">IFERROR(INDIRECT("'"&amp;$A49&amp;"'!Q10")," ")</f>
        <v xml:space="preserve"> </v>
      </c>
      <c r="M49" s="43" t="str" cm="1">
        <f t="array" aca="1" ref="M49" ca="1">IFERROR(INDIRECT("'"&amp;$A49&amp;"'!Q5")," ")</f>
        <v xml:space="preserve"> </v>
      </c>
      <c r="N49" s="43" t="str" cm="1">
        <f t="array" aca="1" ref="N49" ca="1">IFERROR(INDIRECT("'"&amp;$A49&amp;"'!Q6")," ")</f>
        <v xml:space="preserve"> </v>
      </c>
      <c r="O49" s="43" t="str" cm="1">
        <f t="array" aca="1" ref="O49" ca="1">IFERROR(INDIRECT("'"&amp;$A49&amp;"'!Q7")," ")</f>
        <v xml:space="preserve"> </v>
      </c>
      <c r="P49" s="43" t="str" cm="1">
        <f t="array" aca="1" ref="P49" ca="1">IFERROR(INDIRECT("'"&amp;$A49&amp;"'!S5")," ")</f>
        <v xml:space="preserve"> </v>
      </c>
      <c r="Q49" s="43" t="str" cm="1">
        <f t="array" aca="1" ref="Q49" ca="1">IFERROR(INDIRECT("'"&amp;$A49&amp;"'!S6")," ")</f>
        <v xml:space="preserve"> </v>
      </c>
      <c r="R49" s="43" t="str" cm="1">
        <f t="array" aca="1" ref="R49" ca="1">IFERROR(INDIRECT("'"&amp;$A49&amp;"'!S7")," ")</f>
        <v xml:space="preserve"> </v>
      </c>
      <c r="S49" s="43" t="str" cm="1">
        <f t="array" aca="1" ref="S49" ca="1">IFERROR(INDIRECT("'"&amp;$A49&amp;"'!S8")," ")</f>
        <v xml:space="preserve"> </v>
      </c>
      <c r="T49" s="43" t="str" cm="1">
        <f t="array" aca="1" ref="T49" ca="1">IFERROR(INDIRECT("'"&amp;$A49&amp;"'!S9")," ")</f>
        <v xml:space="preserve"> </v>
      </c>
      <c r="U49" s="43" t="str" cm="1">
        <f t="array" aca="1" ref="U49" ca="1">IFERROR(INDIRECT("'"&amp;$A49&amp;"'!S10")," ")</f>
        <v xml:space="preserve"> </v>
      </c>
      <c r="V49" s="43" t="str" cm="1">
        <f t="array" aca="1" ref="V49" ca="1">IFERROR(INDIRECT("'"&amp;$A49&amp;"'!S11")," ")</f>
        <v xml:space="preserve"> </v>
      </c>
      <c r="W49" s="43" t="str" cm="1">
        <f t="array" aca="1" ref="W49" ca="1">IFERROR(INDIRECT("'"&amp;$A49&amp;"'!W5")," ")</f>
        <v xml:space="preserve"> </v>
      </c>
      <c r="X49" s="43" t="str" cm="1">
        <f t="array" aca="1" ref="X49" ca="1">IFERROR(INDIRECT("'"&amp;$A49&amp;"'!s8")," ")</f>
        <v xml:space="preserve"> </v>
      </c>
      <c r="Y49" s="43" t="str" cm="1">
        <f t="array" aca="1" ref="Y49" ca="1">IFERROR(INDIRECT("'"&amp;$A49&amp;"'!U5")," ")</f>
        <v xml:space="preserve"> </v>
      </c>
      <c r="Z49" s="43" t="str" cm="1">
        <f t="array" aca="1" ref="Z49" ca="1">IFERROR(INDIRECT("'"&amp;$A49&amp;"'!U6")," ")</f>
        <v xml:space="preserve"> </v>
      </c>
      <c r="AA49" s="43" t="str" cm="1">
        <f t="array" aca="1" ref="AA49" ca="1">IFERROR(INDIRECT("'"&amp;$A49&amp;"'!U7")," ")</f>
        <v xml:space="preserve"> </v>
      </c>
      <c r="AB49" s="43" t="str" cm="1">
        <f t="array" aca="1" ref="AB49" ca="1">IFERROR(INDIRECT("'"&amp;$A49&amp;"'!U8")," ")</f>
        <v xml:space="preserve"> </v>
      </c>
      <c r="AC49" s="43" t="str" cm="1">
        <f t="array" aca="1" ref="AC49" ca="1">IFERROR(INDIRECT("'"&amp;$A49&amp;"'!s9")," ")</f>
        <v xml:space="preserve"> </v>
      </c>
      <c r="AD49" s="7" t="str" cm="1">
        <f t="array" aca="1" ref="AD49" ca="1">IFERROR(INDIRECT("'"&amp;$A49&amp;"'!F6")," ")</f>
        <v xml:space="preserve"> </v>
      </c>
      <c r="AE49" s="118" t="str" cm="1">
        <f t="array" aca="1" ref="AE49" ca="1">IFERROR(INDIRECT("'"&amp;$A49&amp;"'!L4")," ")</f>
        <v xml:space="preserve"> </v>
      </c>
    </row>
    <row r="50" spans="2:31" ht="15" customHeight="1" x14ac:dyDescent="0.3">
      <c r="B50" s="8" t="str" cm="1">
        <f t="array" aca="1" ref="B50" ca="1">IFERROR(INDIRECT("'"&amp;$A50&amp;"'!A2"),"")</f>
        <v/>
      </c>
      <c r="C50" s="8" t="str" cm="1">
        <f t="array" aca="1" ref="C50" ca="1">IFERROR(INDIRECT("'"&amp;$A50&amp;"'!B5"),"")</f>
        <v/>
      </c>
      <c r="D50" s="9" t="str" cm="1">
        <f t="array" aca="1" ref="D50" ca="1">IFERROR(INDIRECT("'"&amp;$A50&amp;"'!B4"),"")</f>
        <v/>
      </c>
      <c r="E50" s="9" t="str" cm="1">
        <f t="array" aca="1" ref="E50" ca="1">IFERROR(INDIRECT("'"&amp;$A50&amp;"'!B7")," ")</f>
        <v xml:space="preserve"> </v>
      </c>
      <c r="F50" s="122" t="str" cm="1">
        <f t="array" aca="1" ref="F50" ca="1">IFERROR(INDIRECT("'"&amp;$A50&amp;"'!D9")," ")</f>
        <v xml:space="preserve"> </v>
      </c>
      <c r="G50" s="52" t="str" cm="1">
        <f t="array" aca="1" ref="G50" ca="1">IFERROR(INDIRECT("'"&amp;$A50&amp;"'!B9")," ")</f>
        <v xml:space="preserve"> </v>
      </c>
      <c r="H50" s="144" t="str" cm="1">
        <f t="array" aca="1" ref="H50" ca="1">IFERROR(INDIRECT("'"&amp;$A50&amp;"'!D4")," ")</f>
        <v xml:space="preserve"> </v>
      </c>
      <c r="I50" s="5" t="str" cm="1">
        <f t="array" aca="1" ref="I50" ca="1">IFERROR(INDIRECT("'"&amp;$A50&amp;"'!D7")," ")</f>
        <v xml:space="preserve"> </v>
      </c>
      <c r="J50" s="5" t="str" cm="1">
        <f t="array" aca="1" ref="J50" ca="1">IFERROR(INDIRECT("'"&amp;$A50&amp;"'!D8")," ")</f>
        <v xml:space="preserve"> </v>
      </c>
      <c r="K50" s="5" t="str" cm="1">
        <f t="array" aca="1" ref="K50" ca="1">IFERROR(INDIRECT("'"&amp;$A50&amp;"'!D5")," ")</f>
        <v xml:space="preserve"> </v>
      </c>
      <c r="L50" s="54" t="str" cm="1">
        <f t="array" aca="1" ref="L50" ca="1">IFERROR(INDIRECT("'"&amp;$A50&amp;"'!Q10")," ")</f>
        <v xml:space="preserve"> </v>
      </c>
      <c r="M50" s="43" t="str" cm="1">
        <f t="array" aca="1" ref="M50" ca="1">IFERROR(INDIRECT("'"&amp;$A50&amp;"'!Q5")," ")</f>
        <v xml:space="preserve"> </v>
      </c>
      <c r="N50" s="43" t="str" cm="1">
        <f t="array" aca="1" ref="N50" ca="1">IFERROR(INDIRECT("'"&amp;$A50&amp;"'!Q6")," ")</f>
        <v xml:space="preserve"> </v>
      </c>
      <c r="O50" s="43" t="str" cm="1">
        <f t="array" aca="1" ref="O50" ca="1">IFERROR(INDIRECT("'"&amp;$A50&amp;"'!Q7")," ")</f>
        <v xml:space="preserve"> </v>
      </c>
      <c r="P50" s="43" t="str" cm="1">
        <f t="array" aca="1" ref="P50" ca="1">IFERROR(INDIRECT("'"&amp;$A50&amp;"'!S5")," ")</f>
        <v xml:space="preserve"> </v>
      </c>
      <c r="Q50" s="43" t="str" cm="1">
        <f t="array" aca="1" ref="Q50" ca="1">IFERROR(INDIRECT("'"&amp;$A50&amp;"'!S6")," ")</f>
        <v xml:space="preserve"> </v>
      </c>
      <c r="R50" s="43" t="str" cm="1">
        <f t="array" aca="1" ref="R50" ca="1">IFERROR(INDIRECT("'"&amp;$A50&amp;"'!S7")," ")</f>
        <v xml:space="preserve"> </v>
      </c>
      <c r="S50" s="43" t="str" cm="1">
        <f t="array" aca="1" ref="S50" ca="1">IFERROR(INDIRECT("'"&amp;$A50&amp;"'!S8")," ")</f>
        <v xml:space="preserve"> </v>
      </c>
      <c r="T50" s="43" t="str" cm="1">
        <f t="array" aca="1" ref="T50" ca="1">IFERROR(INDIRECT("'"&amp;$A50&amp;"'!S9")," ")</f>
        <v xml:space="preserve"> </v>
      </c>
      <c r="U50" s="43" t="str" cm="1">
        <f t="array" aca="1" ref="U50" ca="1">IFERROR(INDIRECT("'"&amp;$A50&amp;"'!S10")," ")</f>
        <v xml:space="preserve"> </v>
      </c>
      <c r="V50" s="43" t="str" cm="1">
        <f t="array" aca="1" ref="V50" ca="1">IFERROR(INDIRECT("'"&amp;$A50&amp;"'!S11")," ")</f>
        <v xml:space="preserve"> </v>
      </c>
      <c r="W50" s="43" t="str" cm="1">
        <f t="array" aca="1" ref="W50" ca="1">IFERROR(INDIRECT("'"&amp;$A50&amp;"'!W5")," ")</f>
        <v xml:space="preserve"> </v>
      </c>
      <c r="X50" s="43" t="str" cm="1">
        <f t="array" aca="1" ref="X50" ca="1">IFERROR(INDIRECT("'"&amp;$A50&amp;"'!s8")," ")</f>
        <v xml:space="preserve"> </v>
      </c>
      <c r="Y50" s="43" t="str" cm="1">
        <f t="array" aca="1" ref="Y50" ca="1">IFERROR(INDIRECT("'"&amp;$A50&amp;"'!U5")," ")</f>
        <v xml:space="preserve"> </v>
      </c>
      <c r="Z50" s="43" t="str" cm="1">
        <f t="array" aca="1" ref="Z50" ca="1">IFERROR(INDIRECT("'"&amp;$A50&amp;"'!U6")," ")</f>
        <v xml:space="preserve"> </v>
      </c>
      <c r="AA50" s="43" t="str" cm="1">
        <f t="array" aca="1" ref="AA50" ca="1">IFERROR(INDIRECT("'"&amp;$A50&amp;"'!U7")," ")</f>
        <v xml:space="preserve"> </v>
      </c>
      <c r="AB50" s="43" t="str" cm="1">
        <f t="array" aca="1" ref="AB50" ca="1">IFERROR(INDIRECT("'"&amp;$A50&amp;"'!U8")," ")</f>
        <v xml:space="preserve"> </v>
      </c>
      <c r="AC50" s="43" t="str" cm="1">
        <f t="array" aca="1" ref="AC50" ca="1">IFERROR(INDIRECT("'"&amp;$A50&amp;"'!s9")," ")</f>
        <v xml:space="preserve"> </v>
      </c>
      <c r="AD50" s="7" t="str" cm="1">
        <f t="array" aca="1" ref="AD50" ca="1">IFERROR(INDIRECT("'"&amp;$A50&amp;"'!F6")," ")</f>
        <v xml:space="preserve"> </v>
      </c>
      <c r="AE50" s="118" t="str" cm="1">
        <f t="array" aca="1" ref="AE50" ca="1">IFERROR(INDIRECT("'"&amp;$A50&amp;"'!L4")," ")</f>
        <v xml:space="preserve"> </v>
      </c>
    </row>
    <row r="51" spans="2:31" ht="15" customHeight="1" x14ac:dyDescent="0.3">
      <c r="B51" s="8" t="str" cm="1">
        <f t="array" aca="1" ref="B51" ca="1">IFERROR(INDIRECT("'"&amp;$A51&amp;"'!A2"),"")</f>
        <v/>
      </c>
      <c r="C51" s="8" t="str" cm="1">
        <f t="array" aca="1" ref="C51" ca="1">IFERROR(INDIRECT("'"&amp;$A51&amp;"'!B5"),"")</f>
        <v/>
      </c>
      <c r="D51" s="9" t="str" cm="1">
        <f t="array" aca="1" ref="D51" ca="1">IFERROR(INDIRECT("'"&amp;$A51&amp;"'!B4"),"")</f>
        <v/>
      </c>
      <c r="E51" s="9" t="str" cm="1">
        <f t="array" aca="1" ref="E51" ca="1">IFERROR(INDIRECT("'"&amp;$A51&amp;"'!B7")," ")</f>
        <v xml:space="preserve"> </v>
      </c>
      <c r="F51" s="122" t="str" cm="1">
        <f t="array" aca="1" ref="F51" ca="1">IFERROR(INDIRECT("'"&amp;$A51&amp;"'!D9")," ")</f>
        <v xml:space="preserve"> </v>
      </c>
      <c r="G51" s="52" t="str" cm="1">
        <f t="array" aca="1" ref="G51" ca="1">IFERROR(INDIRECT("'"&amp;$A51&amp;"'!B9")," ")</f>
        <v xml:space="preserve"> </v>
      </c>
      <c r="H51" s="144" t="str" cm="1">
        <f t="array" aca="1" ref="H51" ca="1">IFERROR(INDIRECT("'"&amp;$A51&amp;"'!D4")," ")</f>
        <v xml:space="preserve"> </v>
      </c>
      <c r="I51" s="5" t="str" cm="1">
        <f t="array" aca="1" ref="I51" ca="1">IFERROR(INDIRECT("'"&amp;$A51&amp;"'!D7")," ")</f>
        <v xml:space="preserve"> </v>
      </c>
      <c r="J51" s="5" t="str" cm="1">
        <f t="array" aca="1" ref="J51" ca="1">IFERROR(INDIRECT("'"&amp;$A51&amp;"'!D8")," ")</f>
        <v xml:space="preserve"> </v>
      </c>
      <c r="K51" s="5" t="str" cm="1">
        <f t="array" aca="1" ref="K51" ca="1">IFERROR(INDIRECT("'"&amp;$A51&amp;"'!D5")," ")</f>
        <v xml:space="preserve"> </v>
      </c>
      <c r="L51" s="54" t="str" cm="1">
        <f t="array" aca="1" ref="L51" ca="1">IFERROR(INDIRECT("'"&amp;$A51&amp;"'!Q10")," ")</f>
        <v xml:space="preserve"> </v>
      </c>
      <c r="M51" s="43" t="str" cm="1">
        <f t="array" aca="1" ref="M51" ca="1">IFERROR(INDIRECT("'"&amp;$A51&amp;"'!Q5")," ")</f>
        <v xml:space="preserve"> </v>
      </c>
      <c r="N51" s="43" t="str" cm="1">
        <f t="array" aca="1" ref="N51" ca="1">IFERROR(INDIRECT("'"&amp;$A51&amp;"'!Q6")," ")</f>
        <v xml:space="preserve"> </v>
      </c>
      <c r="O51" s="43" t="str" cm="1">
        <f t="array" aca="1" ref="O51" ca="1">IFERROR(INDIRECT("'"&amp;$A51&amp;"'!Q7")," ")</f>
        <v xml:space="preserve"> </v>
      </c>
      <c r="P51" s="43" t="str" cm="1">
        <f t="array" aca="1" ref="P51" ca="1">IFERROR(INDIRECT("'"&amp;$A51&amp;"'!S5")," ")</f>
        <v xml:space="preserve"> </v>
      </c>
      <c r="Q51" s="43" t="str" cm="1">
        <f t="array" aca="1" ref="Q51" ca="1">IFERROR(INDIRECT("'"&amp;$A51&amp;"'!S6")," ")</f>
        <v xml:space="preserve"> </v>
      </c>
      <c r="R51" s="43" t="str" cm="1">
        <f t="array" aca="1" ref="R51" ca="1">IFERROR(INDIRECT("'"&amp;$A51&amp;"'!S7")," ")</f>
        <v xml:space="preserve"> </v>
      </c>
      <c r="S51" s="43" t="str" cm="1">
        <f t="array" aca="1" ref="S51" ca="1">IFERROR(INDIRECT("'"&amp;$A51&amp;"'!S8")," ")</f>
        <v xml:space="preserve"> </v>
      </c>
      <c r="T51" s="43" t="str" cm="1">
        <f t="array" aca="1" ref="T51" ca="1">IFERROR(INDIRECT("'"&amp;$A51&amp;"'!S9")," ")</f>
        <v xml:space="preserve"> </v>
      </c>
      <c r="U51" s="43" t="str" cm="1">
        <f t="array" aca="1" ref="U51" ca="1">IFERROR(INDIRECT("'"&amp;$A51&amp;"'!S10")," ")</f>
        <v xml:space="preserve"> </v>
      </c>
      <c r="V51" s="43" t="str" cm="1">
        <f t="array" aca="1" ref="V51" ca="1">IFERROR(INDIRECT("'"&amp;$A51&amp;"'!S11")," ")</f>
        <v xml:space="preserve"> </v>
      </c>
      <c r="W51" s="43" t="str" cm="1">
        <f t="array" aca="1" ref="W51" ca="1">IFERROR(INDIRECT("'"&amp;$A51&amp;"'!W5")," ")</f>
        <v xml:space="preserve"> </v>
      </c>
      <c r="X51" s="43" t="str" cm="1">
        <f t="array" aca="1" ref="X51" ca="1">IFERROR(INDIRECT("'"&amp;$A51&amp;"'!s8")," ")</f>
        <v xml:space="preserve"> </v>
      </c>
      <c r="Y51" s="43" t="str" cm="1">
        <f t="array" aca="1" ref="Y51" ca="1">IFERROR(INDIRECT("'"&amp;$A51&amp;"'!U5")," ")</f>
        <v xml:space="preserve"> </v>
      </c>
      <c r="Z51" s="43" t="str" cm="1">
        <f t="array" aca="1" ref="Z51" ca="1">IFERROR(INDIRECT("'"&amp;$A51&amp;"'!U6")," ")</f>
        <v xml:space="preserve"> </v>
      </c>
      <c r="AA51" s="43" t="str" cm="1">
        <f t="array" aca="1" ref="AA51" ca="1">IFERROR(INDIRECT("'"&amp;$A51&amp;"'!U7")," ")</f>
        <v xml:space="preserve"> </v>
      </c>
      <c r="AB51" s="43" t="str" cm="1">
        <f t="array" aca="1" ref="AB51" ca="1">IFERROR(INDIRECT("'"&amp;$A51&amp;"'!U8")," ")</f>
        <v xml:space="preserve"> </v>
      </c>
      <c r="AC51" s="43" t="str" cm="1">
        <f t="array" aca="1" ref="AC51" ca="1">IFERROR(INDIRECT("'"&amp;$A51&amp;"'!s9")," ")</f>
        <v xml:space="preserve"> </v>
      </c>
      <c r="AD51" s="7" t="str" cm="1">
        <f t="array" aca="1" ref="AD51" ca="1">IFERROR(INDIRECT("'"&amp;$A51&amp;"'!F6")," ")</f>
        <v xml:space="preserve"> </v>
      </c>
      <c r="AE51" s="118" t="str" cm="1">
        <f t="array" aca="1" ref="AE51" ca="1">IFERROR(INDIRECT("'"&amp;$A51&amp;"'!L4")," ")</f>
        <v xml:space="preserve"> </v>
      </c>
    </row>
    <row r="52" spans="2:31" ht="15" customHeight="1" x14ac:dyDescent="0.3">
      <c r="B52" s="8" t="str" cm="1">
        <f t="array" aca="1" ref="B52" ca="1">IFERROR(INDIRECT("'"&amp;$A52&amp;"'!A2"),"")</f>
        <v/>
      </c>
      <c r="C52" s="8" t="str" cm="1">
        <f t="array" aca="1" ref="C52" ca="1">IFERROR(INDIRECT("'"&amp;$A52&amp;"'!B5"),"")</f>
        <v/>
      </c>
      <c r="D52" s="9" t="str" cm="1">
        <f t="array" aca="1" ref="D52" ca="1">IFERROR(INDIRECT("'"&amp;$A52&amp;"'!B4"),"")</f>
        <v/>
      </c>
      <c r="E52" s="9" t="str" cm="1">
        <f t="array" aca="1" ref="E52" ca="1">IFERROR(INDIRECT("'"&amp;$A52&amp;"'!B7")," ")</f>
        <v xml:space="preserve"> </v>
      </c>
      <c r="F52" s="122" t="str" cm="1">
        <f t="array" aca="1" ref="F52" ca="1">IFERROR(INDIRECT("'"&amp;$A52&amp;"'!D9")," ")</f>
        <v xml:space="preserve"> </v>
      </c>
      <c r="G52" s="52" t="str" cm="1">
        <f t="array" aca="1" ref="G52" ca="1">IFERROR(INDIRECT("'"&amp;$A52&amp;"'!B9")," ")</f>
        <v xml:space="preserve"> </v>
      </c>
      <c r="H52" s="70" t="str" cm="1">
        <f t="array" aca="1" ref="H52" ca="1">IFERROR(INDIRECT("'"&amp;$A52&amp;"'!D4")," ")</f>
        <v xml:space="preserve"> </v>
      </c>
      <c r="I52" s="5" t="str" cm="1">
        <f t="array" aca="1" ref="I52" ca="1">IFERROR(INDIRECT("'"&amp;$A52&amp;"'!D7")," ")</f>
        <v xml:space="preserve"> </v>
      </c>
      <c r="J52" s="5" t="str" cm="1">
        <f t="array" aca="1" ref="J52" ca="1">IFERROR(INDIRECT("'"&amp;$A52&amp;"'!D8")," ")</f>
        <v xml:space="preserve"> </v>
      </c>
      <c r="K52" s="5" t="str" cm="1">
        <f t="array" aca="1" ref="K52" ca="1">IFERROR(INDIRECT("'"&amp;$A52&amp;"'!D5")," ")</f>
        <v xml:space="preserve"> </v>
      </c>
      <c r="L52" s="54" t="str" cm="1">
        <f t="array" aca="1" ref="L52" ca="1">IFERROR(INDIRECT("'"&amp;$A52&amp;"'!Q10")," ")</f>
        <v xml:space="preserve"> </v>
      </c>
      <c r="M52" s="43" t="str" cm="1">
        <f t="array" aca="1" ref="M52" ca="1">IFERROR(INDIRECT("'"&amp;$A52&amp;"'!Q5")," ")</f>
        <v xml:space="preserve"> </v>
      </c>
      <c r="N52" s="43" t="str" cm="1">
        <f t="array" aca="1" ref="N52" ca="1">IFERROR(INDIRECT("'"&amp;$A52&amp;"'!Q6")," ")</f>
        <v xml:space="preserve"> </v>
      </c>
      <c r="O52" s="43" t="str" cm="1">
        <f t="array" aca="1" ref="O52" ca="1">IFERROR(INDIRECT("'"&amp;$A52&amp;"'!Q7")," ")</f>
        <v xml:space="preserve"> </v>
      </c>
      <c r="P52" s="43" t="str" cm="1">
        <f t="array" aca="1" ref="P52" ca="1">IFERROR(INDIRECT("'"&amp;$A52&amp;"'!S5")," ")</f>
        <v xml:space="preserve"> </v>
      </c>
      <c r="Q52" s="43" t="str" cm="1">
        <f t="array" aca="1" ref="Q52" ca="1">IFERROR(INDIRECT("'"&amp;$A52&amp;"'!S6")," ")</f>
        <v xml:space="preserve"> </v>
      </c>
      <c r="R52" s="43" t="str" cm="1">
        <f t="array" aca="1" ref="R52" ca="1">IFERROR(INDIRECT("'"&amp;$A52&amp;"'!S7")," ")</f>
        <v xml:space="preserve"> </v>
      </c>
      <c r="S52" s="43" t="str" cm="1">
        <f t="array" aca="1" ref="S52" ca="1">IFERROR(INDIRECT("'"&amp;$A52&amp;"'!S8")," ")</f>
        <v xml:space="preserve"> </v>
      </c>
      <c r="T52" s="43" t="str" cm="1">
        <f t="array" aca="1" ref="T52" ca="1">IFERROR(INDIRECT("'"&amp;$A52&amp;"'!S9")," ")</f>
        <v xml:space="preserve"> </v>
      </c>
      <c r="U52" s="43" t="str" cm="1">
        <f t="array" aca="1" ref="U52" ca="1">IFERROR(INDIRECT("'"&amp;$A52&amp;"'!S10")," ")</f>
        <v xml:space="preserve"> </v>
      </c>
      <c r="V52" s="43" t="str" cm="1">
        <f t="array" aca="1" ref="V52" ca="1">IFERROR(INDIRECT("'"&amp;$A52&amp;"'!S11")," ")</f>
        <v xml:space="preserve"> </v>
      </c>
      <c r="W52" s="43" t="str" cm="1">
        <f t="array" aca="1" ref="W52" ca="1">IFERROR(INDIRECT("'"&amp;$A52&amp;"'!W5")," ")</f>
        <v xml:space="preserve"> </v>
      </c>
      <c r="X52" s="43" t="str" cm="1">
        <f t="array" aca="1" ref="X52" ca="1">IFERROR(INDIRECT("'"&amp;$A52&amp;"'!s8")," ")</f>
        <v xml:space="preserve"> </v>
      </c>
      <c r="Y52" s="43" t="str" cm="1">
        <f t="array" aca="1" ref="Y52" ca="1">IFERROR(INDIRECT("'"&amp;$A52&amp;"'!U5")," ")</f>
        <v xml:space="preserve"> </v>
      </c>
      <c r="Z52" s="43" t="str" cm="1">
        <f t="array" aca="1" ref="Z52" ca="1">IFERROR(INDIRECT("'"&amp;$A52&amp;"'!U6")," ")</f>
        <v xml:space="preserve"> </v>
      </c>
      <c r="AA52" s="43" t="str" cm="1">
        <f t="array" aca="1" ref="AA52" ca="1">IFERROR(INDIRECT("'"&amp;$A52&amp;"'!U7")," ")</f>
        <v xml:space="preserve"> </v>
      </c>
      <c r="AB52" s="43" t="str" cm="1">
        <f t="array" aca="1" ref="AB52" ca="1">IFERROR(INDIRECT("'"&amp;$A52&amp;"'!U8")," ")</f>
        <v xml:space="preserve"> </v>
      </c>
      <c r="AC52" s="43" t="str" cm="1">
        <f t="array" aca="1" ref="AC52" ca="1">IFERROR(INDIRECT("'"&amp;$A52&amp;"'!s9")," ")</f>
        <v xml:space="preserve"> </v>
      </c>
      <c r="AD52" s="7" t="str" cm="1">
        <f t="array" aca="1" ref="AD52" ca="1">IFERROR(INDIRECT("'"&amp;$A52&amp;"'!F6")," ")</f>
        <v xml:space="preserve"> </v>
      </c>
      <c r="AE52" s="118" t="str" cm="1">
        <f t="array" aca="1" ref="AE52" ca="1">IFERROR(INDIRECT("'"&amp;$A52&amp;"'!L4")," ")</f>
        <v xml:space="preserve"> </v>
      </c>
    </row>
    <row r="53" spans="2:31" ht="15" customHeight="1" x14ac:dyDescent="0.3">
      <c r="B53" s="8" t="str" cm="1">
        <f t="array" aca="1" ref="B53" ca="1">IFERROR(INDIRECT("'"&amp;$A53&amp;"'!A2"),"")</f>
        <v/>
      </c>
      <c r="C53" s="8" t="str" cm="1">
        <f t="array" aca="1" ref="C53" ca="1">IFERROR(INDIRECT("'"&amp;$A53&amp;"'!B5"),"")</f>
        <v/>
      </c>
      <c r="D53" s="9" t="str" cm="1">
        <f t="array" aca="1" ref="D53" ca="1">IFERROR(INDIRECT("'"&amp;$A53&amp;"'!B4"),"")</f>
        <v/>
      </c>
      <c r="E53" s="9" t="str" cm="1">
        <f t="array" aca="1" ref="E53" ca="1">IFERROR(INDIRECT("'"&amp;$A53&amp;"'!B7")," ")</f>
        <v xml:space="preserve"> </v>
      </c>
      <c r="F53" s="122" t="str" cm="1">
        <f t="array" aca="1" ref="F53" ca="1">IFERROR(INDIRECT("'"&amp;$A53&amp;"'!D9")," ")</f>
        <v xml:space="preserve"> </v>
      </c>
      <c r="G53" s="52" t="str" cm="1">
        <f t="array" aca="1" ref="G53" ca="1">IFERROR(INDIRECT("'"&amp;$A53&amp;"'!B9")," ")</f>
        <v xml:space="preserve"> </v>
      </c>
      <c r="H53" s="144" t="str" cm="1">
        <f t="array" aca="1" ref="H53" ca="1">IFERROR(INDIRECT("'"&amp;$A53&amp;"'!D4")," ")</f>
        <v xml:space="preserve"> </v>
      </c>
      <c r="I53" s="5" t="str" cm="1">
        <f t="array" aca="1" ref="I53" ca="1">IFERROR(INDIRECT("'"&amp;$A53&amp;"'!D7")," ")</f>
        <v xml:space="preserve"> </v>
      </c>
      <c r="J53" s="5" t="str" cm="1">
        <f t="array" aca="1" ref="J53" ca="1">IFERROR(INDIRECT("'"&amp;$A53&amp;"'!D8")," ")</f>
        <v xml:space="preserve"> </v>
      </c>
      <c r="K53" s="5" t="str" cm="1">
        <f t="array" aca="1" ref="K53" ca="1">IFERROR(INDIRECT("'"&amp;$A53&amp;"'!D5")," ")</f>
        <v xml:space="preserve"> </v>
      </c>
      <c r="L53" s="54" t="str" cm="1">
        <f t="array" aca="1" ref="L53" ca="1">IFERROR(INDIRECT("'"&amp;$A53&amp;"'!Q10")," ")</f>
        <v xml:space="preserve"> </v>
      </c>
      <c r="M53" s="43" t="str" cm="1">
        <f t="array" aca="1" ref="M53" ca="1">IFERROR(INDIRECT("'"&amp;$A53&amp;"'!Q5")," ")</f>
        <v xml:space="preserve"> </v>
      </c>
      <c r="N53" s="43" t="str" cm="1">
        <f t="array" aca="1" ref="N53" ca="1">IFERROR(INDIRECT("'"&amp;$A53&amp;"'!Q6")," ")</f>
        <v xml:space="preserve"> </v>
      </c>
      <c r="O53" s="43" t="str" cm="1">
        <f t="array" aca="1" ref="O53" ca="1">IFERROR(INDIRECT("'"&amp;$A53&amp;"'!Q7")," ")</f>
        <v xml:space="preserve"> </v>
      </c>
      <c r="P53" s="43" t="str" cm="1">
        <f t="array" aca="1" ref="P53" ca="1">IFERROR(INDIRECT("'"&amp;$A53&amp;"'!S5")," ")</f>
        <v xml:space="preserve"> </v>
      </c>
      <c r="Q53" s="43" t="str" cm="1">
        <f t="array" aca="1" ref="Q53" ca="1">IFERROR(INDIRECT("'"&amp;$A53&amp;"'!S6")," ")</f>
        <v xml:space="preserve"> </v>
      </c>
      <c r="R53" s="43" t="str" cm="1">
        <f t="array" aca="1" ref="R53" ca="1">IFERROR(INDIRECT("'"&amp;$A53&amp;"'!S7")," ")</f>
        <v xml:space="preserve"> </v>
      </c>
      <c r="S53" s="43" t="str" cm="1">
        <f t="array" aca="1" ref="S53" ca="1">IFERROR(INDIRECT("'"&amp;$A53&amp;"'!S8")," ")</f>
        <v xml:space="preserve"> </v>
      </c>
      <c r="T53" s="43" t="str" cm="1">
        <f t="array" aca="1" ref="T53" ca="1">IFERROR(INDIRECT("'"&amp;$A53&amp;"'!S9")," ")</f>
        <v xml:space="preserve"> </v>
      </c>
      <c r="U53" s="43" t="str" cm="1">
        <f t="array" aca="1" ref="U53" ca="1">IFERROR(INDIRECT("'"&amp;$A53&amp;"'!S10")," ")</f>
        <v xml:space="preserve"> </v>
      </c>
      <c r="V53" s="43" t="str" cm="1">
        <f t="array" aca="1" ref="V53" ca="1">IFERROR(INDIRECT("'"&amp;$A53&amp;"'!S11")," ")</f>
        <v xml:space="preserve"> </v>
      </c>
      <c r="W53" s="43" t="str" cm="1">
        <f t="array" aca="1" ref="W53" ca="1">IFERROR(INDIRECT("'"&amp;$A53&amp;"'!W5")," ")</f>
        <v xml:space="preserve"> </v>
      </c>
      <c r="X53" s="43" t="str" cm="1">
        <f t="array" aca="1" ref="X53" ca="1">IFERROR(INDIRECT("'"&amp;$A53&amp;"'!s8")," ")</f>
        <v xml:space="preserve"> </v>
      </c>
      <c r="Y53" s="43" t="str" cm="1">
        <f t="array" aca="1" ref="Y53" ca="1">IFERROR(INDIRECT("'"&amp;$A53&amp;"'!U5")," ")</f>
        <v xml:space="preserve"> </v>
      </c>
      <c r="Z53" s="43" t="str" cm="1">
        <f t="array" aca="1" ref="Z53" ca="1">IFERROR(INDIRECT("'"&amp;$A53&amp;"'!U6")," ")</f>
        <v xml:space="preserve"> </v>
      </c>
      <c r="AA53" s="43" t="str" cm="1">
        <f t="array" aca="1" ref="AA53" ca="1">IFERROR(INDIRECT("'"&amp;$A53&amp;"'!U7")," ")</f>
        <v xml:space="preserve"> </v>
      </c>
      <c r="AB53" s="43" t="str" cm="1">
        <f t="array" aca="1" ref="AB53" ca="1">IFERROR(INDIRECT("'"&amp;$A53&amp;"'!U8")," ")</f>
        <v xml:space="preserve"> </v>
      </c>
      <c r="AC53" s="43" t="str" cm="1">
        <f t="array" aca="1" ref="AC53" ca="1">IFERROR(INDIRECT("'"&amp;$A53&amp;"'!s9")," ")</f>
        <v xml:space="preserve"> </v>
      </c>
      <c r="AD53" s="7" t="str" cm="1">
        <f t="array" aca="1" ref="AD53" ca="1">IFERROR(INDIRECT("'"&amp;$A53&amp;"'!F6")," ")</f>
        <v xml:space="preserve"> </v>
      </c>
      <c r="AE53" s="118" t="str" cm="1">
        <f t="array" aca="1" ref="AE53" ca="1">IFERROR(INDIRECT("'"&amp;$A53&amp;"'!L4")," ")</f>
        <v xml:space="preserve"> </v>
      </c>
    </row>
    <row r="54" spans="2:31" ht="15" customHeight="1" x14ac:dyDescent="0.3">
      <c r="B54" s="8" t="str" cm="1">
        <f t="array" aca="1" ref="B54" ca="1">IFERROR(INDIRECT("'"&amp;$A54&amp;"'!A2"),"")</f>
        <v/>
      </c>
      <c r="C54" s="8" t="str" cm="1">
        <f t="array" aca="1" ref="C54" ca="1">IFERROR(INDIRECT("'"&amp;$A54&amp;"'!B5"),"")</f>
        <v/>
      </c>
      <c r="D54" s="9" t="str" cm="1">
        <f t="array" aca="1" ref="D54" ca="1">IFERROR(INDIRECT("'"&amp;$A54&amp;"'!B4"),"")</f>
        <v/>
      </c>
      <c r="E54" s="9" t="str" cm="1">
        <f t="array" aca="1" ref="E54" ca="1">IFERROR(INDIRECT("'"&amp;$A54&amp;"'!B7")," ")</f>
        <v xml:space="preserve"> </v>
      </c>
      <c r="F54" s="122" t="str" cm="1">
        <f t="array" aca="1" ref="F54" ca="1">IFERROR(INDIRECT("'"&amp;$A54&amp;"'!D9")," ")</f>
        <v xml:space="preserve"> </v>
      </c>
      <c r="G54" s="52" t="str" cm="1">
        <f t="array" aca="1" ref="G54" ca="1">IFERROR(INDIRECT("'"&amp;$A54&amp;"'!B9")," ")</f>
        <v xml:space="preserve"> </v>
      </c>
      <c r="H54" s="144" t="str" cm="1">
        <f t="array" aca="1" ref="H54" ca="1">IFERROR(INDIRECT("'"&amp;$A54&amp;"'!D4")," ")</f>
        <v xml:space="preserve"> </v>
      </c>
      <c r="I54" s="5" t="str" cm="1">
        <f t="array" aca="1" ref="I54" ca="1">IFERROR(INDIRECT("'"&amp;$A54&amp;"'!D7")," ")</f>
        <v xml:space="preserve"> </v>
      </c>
      <c r="J54" s="5" t="str" cm="1">
        <f t="array" aca="1" ref="J54" ca="1">IFERROR(INDIRECT("'"&amp;$A54&amp;"'!D8")," ")</f>
        <v xml:space="preserve"> </v>
      </c>
      <c r="K54" s="5" t="str" cm="1">
        <f t="array" aca="1" ref="K54" ca="1">IFERROR(INDIRECT("'"&amp;$A54&amp;"'!D5")," ")</f>
        <v xml:space="preserve"> </v>
      </c>
      <c r="L54" s="54" t="str" cm="1">
        <f t="array" aca="1" ref="L54" ca="1">IFERROR(INDIRECT("'"&amp;$A54&amp;"'!Q10")," ")</f>
        <v xml:space="preserve"> </v>
      </c>
      <c r="M54" s="43" t="str" cm="1">
        <f t="array" aca="1" ref="M54" ca="1">IFERROR(INDIRECT("'"&amp;$A54&amp;"'!Q5")," ")</f>
        <v xml:space="preserve"> </v>
      </c>
      <c r="N54" s="43" t="str" cm="1">
        <f t="array" aca="1" ref="N54" ca="1">IFERROR(INDIRECT("'"&amp;$A54&amp;"'!Q6")," ")</f>
        <v xml:space="preserve"> </v>
      </c>
      <c r="O54" s="43" t="str" cm="1">
        <f t="array" aca="1" ref="O54" ca="1">IFERROR(INDIRECT("'"&amp;$A54&amp;"'!Q7")," ")</f>
        <v xml:space="preserve"> </v>
      </c>
      <c r="P54" s="43" t="str" cm="1">
        <f t="array" aca="1" ref="P54" ca="1">IFERROR(INDIRECT("'"&amp;$A54&amp;"'!S5")," ")</f>
        <v xml:space="preserve"> </v>
      </c>
      <c r="Q54" s="43" t="str" cm="1">
        <f t="array" aca="1" ref="Q54" ca="1">IFERROR(INDIRECT("'"&amp;$A54&amp;"'!S6")," ")</f>
        <v xml:space="preserve"> </v>
      </c>
      <c r="R54" s="43" t="str" cm="1">
        <f t="array" aca="1" ref="R54" ca="1">IFERROR(INDIRECT("'"&amp;$A54&amp;"'!S7")," ")</f>
        <v xml:space="preserve"> </v>
      </c>
      <c r="S54" s="43" t="str" cm="1">
        <f t="array" aca="1" ref="S54" ca="1">IFERROR(INDIRECT("'"&amp;$A54&amp;"'!S8")," ")</f>
        <v xml:space="preserve"> </v>
      </c>
      <c r="T54" s="43" t="str" cm="1">
        <f t="array" aca="1" ref="T54" ca="1">IFERROR(INDIRECT("'"&amp;$A54&amp;"'!S9")," ")</f>
        <v xml:space="preserve"> </v>
      </c>
      <c r="U54" s="43" t="str" cm="1">
        <f t="array" aca="1" ref="U54" ca="1">IFERROR(INDIRECT("'"&amp;$A54&amp;"'!S10")," ")</f>
        <v xml:space="preserve"> </v>
      </c>
      <c r="V54" s="43" t="str" cm="1">
        <f t="array" aca="1" ref="V54" ca="1">IFERROR(INDIRECT("'"&amp;$A54&amp;"'!S11")," ")</f>
        <v xml:space="preserve"> </v>
      </c>
      <c r="W54" s="43" t="str" cm="1">
        <f t="array" aca="1" ref="W54" ca="1">IFERROR(INDIRECT("'"&amp;$A54&amp;"'!W5")," ")</f>
        <v xml:space="preserve"> </v>
      </c>
      <c r="X54" s="43" t="str" cm="1">
        <f t="array" aca="1" ref="X54" ca="1">IFERROR(INDIRECT("'"&amp;$A54&amp;"'!s8")," ")</f>
        <v xml:space="preserve"> </v>
      </c>
      <c r="Y54" s="43" t="str" cm="1">
        <f t="array" aca="1" ref="Y54" ca="1">IFERROR(INDIRECT("'"&amp;$A54&amp;"'!U5")," ")</f>
        <v xml:space="preserve"> </v>
      </c>
      <c r="Z54" s="43" t="str" cm="1">
        <f t="array" aca="1" ref="Z54" ca="1">IFERROR(INDIRECT("'"&amp;$A54&amp;"'!U6")," ")</f>
        <v xml:space="preserve"> </v>
      </c>
      <c r="AA54" s="43" t="str" cm="1">
        <f t="array" aca="1" ref="AA54" ca="1">IFERROR(INDIRECT("'"&amp;$A54&amp;"'!U7")," ")</f>
        <v xml:space="preserve"> </v>
      </c>
      <c r="AB54" s="43" t="str" cm="1">
        <f t="array" aca="1" ref="AB54" ca="1">IFERROR(INDIRECT("'"&amp;$A54&amp;"'!U8")," ")</f>
        <v xml:space="preserve"> </v>
      </c>
      <c r="AC54" s="43" t="str" cm="1">
        <f t="array" aca="1" ref="AC54" ca="1">IFERROR(INDIRECT("'"&amp;$A54&amp;"'!s9")," ")</f>
        <v xml:space="preserve"> </v>
      </c>
      <c r="AD54" s="7" t="str" cm="1">
        <f t="array" aca="1" ref="AD54" ca="1">IFERROR(INDIRECT("'"&amp;$A54&amp;"'!F6")," ")</f>
        <v xml:space="preserve"> </v>
      </c>
      <c r="AE54" s="118" t="str" cm="1">
        <f t="array" aca="1" ref="AE54" ca="1">IFERROR(INDIRECT("'"&amp;$A54&amp;"'!L4")," ")</f>
        <v xml:space="preserve"> </v>
      </c>
    </row>
    <row r="55" spans="2:31" ht="15" customHeight="1" x14ac:dyDescent="0.3">
      <c r="B55" s="8" t="str" cm="1">
        <f t="array" aca="1" ref="B55" ca="1">IFERROR(INDIRECT("'"&amp;$A55&amp;"'!A2"),"")</f>
        <v/>
      </c>
      <c r="C55" s="8" t="str" cm="1">
        <f t="array" aca="1" ref="C55" ca="1">IFERROR(INDIRECT("'"&amp;$A55&amp;"'!B5"),"")</f>
        <v/>
      </c>
      <c r="D55" s="9" t="str" cm="1">
        <f t="array" aca="1" ref="D55" ca="1">IFERROR(INDIRECT("'"&amp;$A55&amp;"'!B4"),"")</f>
        <v/>
      </c>
      <c r="E55" s="9" t="str" cm="1">
        <f t="array" aca="1" ref="E55" ca="1">IFERROR(INDIRECT("'"&amp;$A55&amp;"'!B7")," ")</f>
        <v xml:space="preserve"> </v>
      </c>
      <c r="F55" s="122" t="str" cm="1">
        <f t="array" aca="1" ref="F55" ca="1">IFERROR(INDIRECT("'"&amp;$A55&amp;"'!D9")," ")</f>
        <v xml:space="preserve"> </v>
      </c>
      <c r="G55" s="52" t="str" cm="1">
        <f t="array" aca="1" ref="G55" ca="1">IFERROR(INDIRECT("'"&amp;$A55&amp;"'!B9")," ")</f>
        <v xml:space="preserve"> </v>
      </c>
      <c r="H55" s="144" t="str" cm="1">
        <f t="array" aca="1" ref="H55" ca="1">IFERROR(INDIRECT("'"&amp;$A55&amp;"'!D4")," ")</f>
        <v xml:space="preserve"> </v>
      </c>
      <c r="I55" s="5" t="str" cm="1">
        <f t="array" aca="1" ref="I55" ca="1">IFERROR(INDIRECT("'"&amp;$A55&amp;"'!D7")," ")</f>
        <v xml:space="preserve"> </v>
      </c>
      <c r="J55" s="5" t="str" cm="1">
        <f t="array" aca="1" ref="J55" ca="1">IFERROR(INDIRECT("'"&amp;$A55&amp;"'!D8")," ")</f>
        <v xml:space="preserve"> </v>
      </c>
      <c r="K55" s="5" t="str" cm="1">
        <f t="array" aca="1" ref="K55" ca="1">IFERROR(INDIRECT("'"&amp;$A55&amp;"'!D5")," ")</f>
        <v xml:space="preserve"> </v>
      </c>
      <c r="L55" s="54" t="str" cm="1">
        <f t="array" aca="1" ref="L55" ca="1">IFERROR(INDIRECT("'"&amp;$A55&amp;"'!Q10")," ")</f>
        <v xml:space="preserve"> </v>
      </c>
      <c r="M55" s="43" t="str" cm="1">
        <f t="array" aca="1" ref="M55" ca="1">IFERROR(INDIRECT("'"&amp;$A55&amp;"'!Q5")," ")</f>
        <v xml:space="preserve"> </v>
      </c>
      <c r="N55" s="43" t="str" cm="1">
        <f t="array" aca="1" ref="N55" ca="1">IFERROR(INDIRECT("'"&amp;$A55&amp;"'!Q6")," ")</f>
        <v xml:space="preserve"> </v>
      </c>
      <c r="O55" s="43" t="str" cm="1">
        <f t="array" aca="1" ref="O55" ca="1">IFERROR(INDIRECT("'"&amp;$A55&amp;"'!Q7")," ")</f>
        <v xml:space="preserve"> </v>
      </c>
      <c r="P55" s="43" t="str" cm="1">
        <f t="array" aca="1" ref="P55" ca="1">IFERROR(INDIRECT("'"&amp;$A55&amp;"'!S5")," ")</f>
        <v xml:space="preserve"> </v>
      </c>
      <c r="Q55" s="43" t="str" cm="1">
        <f t="array" aca="1" ref="Q55" ca="1">IFERROR(INDIRECT("'"&amp;$A55&amp;"'!S6")," ")</f>
        <v xml:space="preserve"> </v>
      </c>
      <c r="R55" s="43" t="str" cm="1">
        <f t="array" aca="1" ref="R55" ca="1">IFERROR(INDIRECT("'"&amp;$A55&amp;"'!S7")," ")</f>
        <v xml:space="preserve"> </v>
      </c>
      <c r="S55" s="43" t="str" cm="1">
        <f t="array" aca="1" ref="S55" ca="1">IFERROR(INDIRECT("'"&amp;$A55&amp;"'!S8")," ")</f>
        <v xml:space="preserve"> </v>
      </c>
      <c r="T55" s="43" t="str" cm="1">
        <f t="array" aca="1" ref="T55" ca="1">IFERROR(INDIRECT("'"&amp;$A55&amp;"'!S9")," ")</f>
        <v xml:space="preserve"> </v>
      </c>
      <c r="U55" s="43" t="str" cm="1">
        <f t="array" aca="1" ref="U55" ca="1">IFERROR(INDIRECT("'"&amp;$A55&amp;"'!S10")," ")</f>
        <v xml:space="preserve"> </v>
      </c>
      <c r="V55" s="43" t="str" cm="1">
        <f t="array" aca="1" ref="V55" ca="1">IFERROR(INDIRECT("'"&amp;$A55&amp;"'!S11")," ")</f>
        <v xml:space="preserve"> </v>
      </c>
      <c r="W55" s="43" t="str" cm="1">
        <f t="array" aca="1" ref="W55" ca="1">IFERROR(INDIRECT("'"&amp;$A55&amp;"'!W5")," ")</f>
        <v xml:space="preserve"> </v>
      </c>
      <c r="X55" s="43" t="str" cm="1">
        <f t="array" aca="1" ref="X55" ca="1">IFERROR(INDIRECT("'"&amp;$A55&amp;"'!s8")," ")</f>
        <v xml:space="preserve"> </v>
      </c>
      <c r="Y55" s="43" t="str" cm="1">
        <f t="array" aca="1" ref="Y55" ca="1">IFERROR(INDIRECT("'"&amp;$A55&amp;"'!U5")," ")</f>
        <v xml:space="preserve"> </v>
      </c>
      <c r="Z55" s="43" t="str" cm="1">
        <f t="array" aca="1" ref="Z55" ca="1">IFERROR(INDIRECT("'"&amp;$A55&amp;"'!U6")," ")</f>
        <v xml:space="preserve"> </v>
      </c>
      <c r="AA55" s="43" t="str" cm="1">
        <f t="array" aca="1" ref="AA55" ca="1">IFERROR(INDIRECT("'"&amp;$A55&amp;"'!U7")," ")</f>
        <v xml:space="preserve"> </v>
      </c>
      <c r="AB55" s="43" t="str" cm="1">
        <f t="array" aca="1" ref="AB55" ca="1">IFERROR(INDIRECT("'"&amp;$A55&amp;"'!U8")," ")</f>
        <v xml:space="preserve"> </v>
      </c>
      <c r="AC55" s="43" t="str" cm="1">
        <f t="array" aca="1" ref="AC55" ca="1">IFERROR(INDIRECT("'"&amp;$A55&amp;"'!s9")," ")</f>
        <v xml:space="preserve"> </v>
      </c>
      <c r="AD55" s="7" t="str" cm="1">
        <f t="array" aca="1" ref="AD55" ca="1">IFERROR(INDIRECT("'"&amp;$A55&amp;"'!F6")," ")</f>
        <v xml:space="preserve"> </v>
      </c>
      <c r="AE55" s="118" t="str" cm="1">
        <f t="array" aca="1" ref="AE55" ca="1">IFERROR(INDIRECT("'"&amp;$A55&amp;"'!L4")," ")</f>
        <v xml:space="preserve"> </v>
      </c>
    </row>
    <row r="56" spans="2:31" ht="15" customHeight="1" x14ac:dyDescent="0.3">
      <c r="B56" s="8" t="str" cm="1">
        <f t="array" aca="1" ref="B56" ca="1">IFERROR(INDIRECT("'"&amp;$A56&amp;"'!A2"),"")</f>
        <v/>
      </c>
      <c r="C56" s="8" t="str" cm="1">
        <f t="array" aca="1" ref="C56" ca="1">IFERROR(INDIRECT("'"&amp;$A56&amp;"'!B5"),"")</f>
        <v/>
      </c>
      <c r="D56" s="9" t="str" cm="1">
        <f t="array" aca="1" ref="D56" ca="1">IFERROR(INDIRECT("'"&amp;$A56&amp;"'!B4"),"")</f>
        <v/>
      </c>
      <c r="E56" s="9" t="str" cm="1">
        <f t="array" aca="1" ref="E56" ca="1">IFERROR(INDIRECT("'"&amp;$A56&amp;"'!B7")," ")</f>
        <v xml:space="preserve"> </v>
      </c>
      <c r="F56" s="122" t="str" cm="1">
        <f t="array" aca="1" ref="F56" ca="1">IFERROR(INDIRECT("'"&amp;$A56&amp;"'!D9")," ")</f>
        <v xml:space="preserve"> </v>
      </c>
      <c r="G56" s="52" t="str" cm="1">
        <f t="array" aca="1" ref="G56" ca="1">IFERROR(INDIRECT("'"&amp;$A56&amp;"'!B9")," ")</f>
        <v xml:space="preserve"> </v>
      </c>
      <c r="H56" s="144" t="str" cm="1">
        <f t="array" aca="1" ref="H56" ca="1">IFERROR(INDIRECT("'"&amp;$A56&amp;"'!D4")," ")</f>
        <v xml:space="preserve"> </v>
      </c>
      <c r="I56" s="5" t="str" cm="1">
        <f t="array" aca="1" ref="I56" ca="1">IFERROR(INDIRECT("'"&amp;$A56&amp;"'!D7")," ")</f>
        <v xml:space="preserve"> </v>
      </c>
      <c r="J56" s="5" t="str" cm="1">
        <f t="array" aca="1" ref="J56" ca="1">IFERROR(INDIRECT("'"&amp;$A56&amp;"'!D8")," ")</f>
        <v xml:space="preserve"> </v>
      </c>
      <c r="K56" s="5" t="str" cm="1">
        <f t="array" aca="1" ref="K56" ca="1">IFERROR(INDIRECT("'"&amp;$A56&amp;"'!D5")," ")</f>
        <v xml:space="preserve"> </v>
      </c>
      <c r="L56" s="54" t="str" cm="1">
        <f t="array" aca="1" ref="L56" ca="1">IFERROR(INDIRECT("'"&amp;$A56&amp;"'!Q10")," ")</f>
        <v xml:space="preserve"> </v>
      </c>
      <c r="M56" s="43" t="str" cm="1">
        <f t="array" aca="1" ref="M56" ca="1">IFERROR(INDIRECT("'"&amp;$A56&amp;"'!Q5")," ")</f>
        <v xml:space="preserve"> </v>
      </c>
      <c r="N56" s="43" t="str" cm="1">
        <f t="array" aca="1" ref="N56" ca="1">IFERROR(INDIRECT("'"&amp;$A56&amp;"'!Q6")," ")</f>
        <v xml:space="preserve"> </v>
      </c>
      <c r="O56" s="43" t="str" cm="1">
        <f t="array" aca="1" ref="O56" ca="1">IFERROR(INDIRECT("'"&amp;$A56&amp;"'!Q7")," ")</f>
        <v xml:space="preserve"> </v>
      </c>
      <c r="P56" s="43" t="str" cm="1">
        <f t="array" aca="1" ref="P56" ca="1">IFERROR(INDIRECT("'"&amp;$A56&amp;"'!S5")," ")</f>
        <v xml:space="preserve"> </v>
      </c>
      <c r="Q56" s="43" t="str" cm="1">
        <f t="array" aca="1" ref="Q56" ca="1">IFERROR(INDIRECT("'"&amp;$A56&amp;"'!S6")," ")</f>
        <v xml:space="preserve"> </v>
      </c>
      <c r="R56" s="43" t="str" cm="1">
        <f t="array" aca="1" ref="R56" ca="1">IFERROR(INDIRECT("'"&amp;$A56&amp;"'!S7")," ")</f>
        <v xml:space="preserve"> </v>
      </c>
      <c r="S56" s="43" t="str" cm="1">
        <f t="array" aca="1" ref="S56" ca="1">IFERROR(INDIRECT("'"&amp;$A56&amp;"'!S8")," ")</f>
        <v xml:space="preserve"> </v>
      </c>
      <c r="T56" s="43" t="str" cm="1">
        <f t="array" aca="1" ref="T56" ca="1">IFERROR(INDIRECT("'"&amp;$A56&amp;"'!S9")," ")</f>
        <v xml:space="preserve"> </v>
      </c>
      <c r="U56" s="43" t="str" cm="1">
        <f t="array" aca="1" ref="U56" ca="1">IFERROR(INDIRECT("'"&amp;$A56&amp;"'!S10")," ")</f>
        <v xml:space="preserve"> </v>
      </c>
      <c r="V56" s="43" t="str" cm="1">
        <f t="array" aca="1" ref="V56" ca="1">IFERROR(INDIRECT("'"&amp;$A56&amp;"'!S11")," ")</f>
        <v xml:space="preserve"> </v>
      </c>
      <c r="W56" s="43" t="str" cm="1">
        <f t="array" aca="1" ref="W56" ca="1">IFERROR(INDIRECT("'"&amp;$A56&amp;"'!W5")," ")</f>
        <v xml:space="preserve"> </v>
      </c>
      <c r="X56" s="43" t="str" cm="1">
        <f t="array" aca="1" ref="X56" ca="1">IFERROR(INDIRECT("'"&amp;$A56&amp;"'!s8")," ")</f>
        <v xml:space="preserve"> </v>
      </c>
      <c r="Y56" s="43" t="str" cm="1">
        <f t="array" aca="1" ref="Y56" ca="1">IFERROR(INDIRECT("'"&amp;$A56&amp;"'!U5")," ")</f>
        <v xml:space="preserve"> </v>
      </c>
      <c r="Z56" s="43" t="str" cm="1">
        <f t="array" aca="1" ref="Z56" ca="1">IFERROR(INDIRECT("'"&amp;$A56&amp;"'!U6")," ")</f>
        <v xml:space="preserve"> </v>
      </c>
      <c r="AA56" s="43" t="str" cm="1">
        <f t="array" aca="1" ref="AA56" ca="1">IFERROR(INDIRECT("'"&amp;$A56&amp;"'!U7")," ")</f>
        <v xml:space="preserve"> </v>
      </c>
      <c r="AB56" s="43" t="str" cm="1">
        <f t="array" aca="1" ref="AB56" ca="1">IFERROR(INDIRECT("'"&amp;$A56&amp;"'!U8")," ")</f>
        <v xml:space="preserve"> </v>
      </c>
      <c r="AC56" s="43" t="str" cm="1">
        <f t="array" aca="1" ref="AC56" ca="1">IFERROR(INDIRECT("'"&amp;$A56&amp;"'!s9")," ")</f>
        <v xml:space="preserve"> </v>
      </c>
      <c r="AD56" s="7" t="str" cm="1">
        <f t="array" aca="1" ref="AD56" ca="1">IFERROR(INDIRECT("'"&amp;$A56&amp;"'!F6")," ")</f>
        <v xml:space="preserve"> </v>
      </c>
      <c r="AE56" s="118" t="str" cm="1">
        <f t="array" aca="1" ref="AE56" ca="1">IFERROR(INDIRECT("'"&amp;$A56&amp;"'!L4")," ")</f>
        <v xml:space="preserve"> </v>
      </c>
    </row>
    <row r="57" spans="2:31" ht="15" customHeight="1" x14ac:dyDescent="0.3">
      <c r="B57" s="8" t="str" cm="1">
        <f t="array" aca="1" ref="B57" ca="1">IFERROR(INDIRECT("'"&amp;$A57&amp;"'!A2"),"")</f>
        <v/>
      </c>
      <c r="C57" s="8" t="str" cm="1">
        <f t="array" aca="1" ref="C57" ca="1">IFERROR(INDIRECT("'"&amp;$A57&amp;"'!B5"),"")</f>
        <v/>
      </c>
      <c r="D57" s="9" t="str" cm="1">
        <f t="array" aca="1" ref="D57" ca="1">IFERROR(INDIRECT("'"&amp;$A57&amp;"'!B4"),"")</f>
        <v/>
      </c>
      <c r="E57" s="9" t="str" cm="1">
        <f t="array" aca="1" ref="E57" ca="1">IFERROR(INDIRECT("'"&amp;$A57&amp;"'!B7")," ")</f>
        <v xml:space="preserve"> </v>
      </c>
      <c r="F57" s="122" t="str" cm="1">
        <f t="array" aca="1" ref="F57" ca="1">IFERROR(INDIRECT("'"&amp;$A57&amp;"'!D9")," ")</f>
        <v xml:space="preserve"> </v>
      </c>
      <c r="G57" s="52" t="str" cm="1">
        <f t="array" aca="1" ref="G57" ca="1">IFERROR(INDIRECT("'"&amp;$A57&amp;"'!B9")," ")</f>
        <v xml:space="preserve"> </v>
      </c>
      <c r="H57" s="144" t="str" cm="1">
        <f t="array" aca="1" ref="H57" ca="1">IFERROR(INDIRECT("'"&amp;$A57&amp;"'!D4")," ")</f>
        <v xml:space="preserve"> </v>
      </c>
      <c r="I57" s="5" t="str" cm="1">
        <f t="array" aca="1" ref="I57" ca="1">IFERROR(INDIRECT("'"&amp;$A57&amp;"'!D7")," ")</f>
        <v xml:space="preserve"> </v>
      </c>
      <c r="J57" s="5" t="str" cm="1">
        <f t="array" aca="1" ref="J57" ca="1">IFERROR(INDIRECT("'"&amp;$A57&amp;"'!D8")," ")</f>
        <v xml:space="preserve"> </v>
      </c>
      <c r="K57" s="5" t="str" cm="1">
        <f t="array" aca="1" ref="K57" ca="1">IFERROR(INDIRECT("'"&amp;$A57&amp;"'!D5")," ")</f>
        <v xml:space="preserve"> </v>
      </c>
      <c r="L57" s="54" t="str" cm="1">
        <f t="array" aca="1" ref="L57" ca="1">IFERROR(INDIRECT("'"&amp;$A57&amp;"'!Q10")," ")</f>
        <v xml:space="preserve"> </v>
      </c>
      <c r="M57" s="43" t="str" cm="1">
        <f t="array" aca="1" ref="M57" ca="1">IFERROR(INDIRECT("'"&amp;$A57&amp;"'!Q5")," ")</f>
        <v xml:space="preserve"> </v>
      </c>
      <c r="N57" s="43" t="str" cm="1">
        <f t="array" aca="1" ref="N57" ca="1">IFERROR(INDIRECT("'"&amp;$A57&amp;"'!Q6")," ")</f>
        <v xml:space="preserve"> </v>
      </c>
      <c r="O57" s="43" t="str" cm="1">
        <f t="array" aca="1" ref="O57" ca="1">IFERROR(INDIRECT("'"&amp;$A57&amp;"'!Q7")," ")</f>
        <v xml:space="preserve"> </v>
      </c>
      <c r="P57" s="43" t="str" cm="1">
        <f t="array" aca="1" ref="P57" ca="1">IFERROR(INDIRECT("'"&amp;$A57&amp;"'!S5")," ")</f>
        <v xml:space="preserve"> </v>
      </c>
      <c r="Q57" s="43" t="str" cm="1">
        <f t="array" aca="1" ref="Q57" ca="1">IFERROR(INDIRECT("'"&amp;$A57&amp;"'!S6")," ")</f>
        <v xml:space="preserve"> </v>
      </c>
      <c r="R57" s="43" t="str" cm="1">
        <f t="array" aca="1" ref="R57" ca="1">IFERROR(INDIRECT("'"&amp;$A57&amp;"'!S7")," ")</f>
        <v xml:space="preserve"> </v>
      </c>
      <c r="S57" s="43" t="str" cm="1">
        <f t="array" aca="1" ref="S57" ca="1">IFERROR(INDIRECT("'"&amp;$A57&amp;"'!S8")," ")</f>
        <v xml:space="preserve"> </v>
      </c>
      <c r="T57" s="43" t="str" cm="1">
        <f t="array" aca="1" ref="T57" ca="1">IFERROR(INDIRECT("'"&amp;$A57&amp;"'!S9")," ")</f>
        <v xml:space="preserve"> </v>
      </c>
      <c r="U57" s="43" t="str" cm="1">
        <f t="array" aca="1" ref="U57" ca="1">IFERROR(INDIRECT("'"&amp;$A57&amp;"'!S10")," ")</f>
        <v xml:space="preserve"> </v>
      </c>
      <c r="V57" s="43" t="str" cm="1">
        <f t="array" aca="1" ref="V57" ca="1">IFERROR(INDIRECT("'"&amp;$A57&amp;"'!S11")," ")</f>
        <v xml:space="preserve"> </v>
      </c>
      <c r="W57" s="43" t="str" cm="1">
        <f t="array" aca="1" ref="W57" ca="1">IFERROR(INDIRECT("'"&amp;$A57&amp;"'!W5")," ")</f>
        <v xml:space="preserve"> </v>
      </c>
      <c r="X57" s="43" t="str" cm="1">
        <f t="array" aca="1" ref="X57" ca="1">IFERROR(INDIRECT("'"&amp;$A57&amp;"'!s8")," ")</f>
        <v xml:space="preserve"> </v>
      </c>
      <c r="Y57" s="43" t="str" cm="1">
        <f t="array" aca="1" ref="Y57" ca="1">IFERROR(INDIRECT("'"&amp;$A57&amp;"'!U5")," ")</f>
        <v xml:space="preserve"> </v>
      </c>
      <c r="Z57" s="43" t="str" cm="1">
        <f t="array" aca="1" ref="Z57" ca="1">IFERROR(INDIRECT("'"&amp;$A57&amp;"'!U6")," ")</f>
        <v xml:space="preserve"> </v>
      </c>
      <c r="AA57" s="43" t="str" cm="1">
        <f t="array" aca="1" ref="AA57" ca="1">IFERROR(INDIRECT("'"&amp;$A57&amp;"'!U7")," ")</f>
        <v xml:space="preserve"> </v>
      </c>
      <c r="AB57" s="43" t="str" cm="1">
        <f t="array" aca="1" ref="AB57" ca="1">IFERROR(INDIRECT("'"&amp;$A57&amp;"'!U8")," ")</f>
        <v xml:space="preserve"> </v>
      </c>
      <c r="AC57" s="43" t="str" cm="1">
        <f t="array" aca="1" ref="AC57" ca="1">IFERROR(INDIRECT("'"&amp;$A57&amp;"'!s9")," ")</f>
        <v xml:space="preserve"> </v>
      </c>
      <c r="AD57" s="7" t="str" cm="1">
        <f t="array" aca="1" ref="AD57" ca="1">IFERROR(INDIRECT("'"&amp;$A57&amp;"'!F6")," ")</f>
        <v xml:space="preserve"> </v>
      </c>
      <c r="AE57" s="118" t="str" cm="1">
        <f t="array" aca="1" ref="AE57" ca="1">IFERROR(INDIRECT("'"&amp;$A57&amp;"'!L4")," ")</f>
        <v xml:space="preserve"> </v>
      </c>
    </row>
    <row r="58" spans="2:31" ht="15" customHeight="1" x14ac:dyDescent="0.3">
      <c r="B58" s="8" t="str" cm="1">
        <f t="array" aca="1" ref="B58" ca="1">IFERROR(INDIRECT("'"&amp;$A58&amp;"'!A2"),"")</f>
        <v/>
      </c>
      <c r="C58" s="8" t="str" cm="1">
        <f t="array" aca="1" ref="C58" ca="1">IFERROR(INDIRECT("'"&amp;$A58&amp;"'!B5"),"")</f>
        <v/>
      </c>
      <c r="D58" s="9" t="str" cm="1">
        <f t="array" aca="1" ref="D58" ca="1">IFERROR(INDIRECT("'"&amp;$A58&amp;"'!B4"),"")</f>
        <v/>
      </c>
      <c r="E58" s="9" t="str" cm="1">
        <f t="array" aca="1" ref="E58" ca="1">IFERROR(INDIRECT("'"&amp;$A58&amp;"'!B7")," ")</f>
        <v xml:space="preserve"> </v>
      </c>
      <c r="F58" s="122" t="str" cm="1">
        <f t="array" aca="1" ref="F58" ca="1">IFERROR(INDIRECT("'"&amp;$A58&amp;"'!D9")," ")</f>
        <v xml:space="preserve"> </v>
      </c>
      <c r="G58" s="52" t="str" cm="1">
        <f t="array" aca="1" ref="G58" ca="1">IFERROR(INDIRECT("'"&amp;$A58&amp;"'!B9")," ")</f>
        <v xml:space="preserve"> </v>
      </c>
      <c r="H58" s="70" t="str" cm="1">
        <f t="array" aca="1" ref="H58" ca="1">IFERROR(INDIRECT("'"&amp;$A58&amp;"'!D4")," ")</f>
        <v xml:space="preserve"> </v>
      </c>
      <c r="I58" s="5" t="str" cm="1">
        <f t="array" aca="1" ref="I58" ca="1">IFERROR(INDIRECT("'"&amp;$A58&amp;"'!D7")," ")</f>
        <v xml:space="preserve"> </v>
      </c>
      <c r="J58" s="5" t="str" cm="1">
        <f t="array" aca="1" ref="J58" ca="1">IFERROR(INDIRECT("'"&amp;$A58&amp;"'!D8")," ")</f>
        <v xml:space="preserve"> </v>
      </c>
      <c r="K58" s="5" t="str" cm="1">
        <f t="array" aca="1" ref="K58" ca="1">IFERROR(INDIRECT("'"&amp;$A58&amp;"'!D5")," ")</f>
        <v xml:space="preserve"> </v>
      </c>
      <c r="L58" s="54" t="str" cm="1">
        <f t="array" aca="1" ref="L58" ca="1">IFERROR(INDIRECT("'"&amp;$A58&amp;"'!Q10")," ")</f>
        <v xml:space="preserve"> </v>
      </c>
      <c r="M58" s="43" t="str" cm="1">
        <f t="array" aca="1" ref="M58" ca="1">IFERROR(INDIRECT("'"&amp;$A58&amp;"'!Q5")," ")</f>
        <v xml:space="preserve"> </v>
      </c>
      <c r="N58" s="43" t="str" cm="1">
        <f t="array" aca="1" ref="N58" ca="1">IFERROR(INDIRECT("'"&amp;$A58&amp;"'!Q6")," ")</f>
        <v xml:space="preserve"> </v>
      </c>
      <c r="O58" s="43" t="str" cm="1">
        <f t="array" aca="1" ref="O58" ca="1">IFERROR(INDIRECT("'"&amp;$A58&amp;"'!Q7")," ")</f>
        <v xml:space="preserve"> </v>
      </c>
      <c r="P58" s="43" t="str" cm="1">
        <f t="array" aca="1" ref="P58" ca="1">IFERROR(INDIRECT("'"&amp;$A58&amp;"'!S5")," ")</f>
        <v xml:space="preserve"> </v>
      </c>
      <c r="Q58" s="43" t="str" cm="1">
        <f t="array" aca="1" ref="Q58" ca="1">IFERROR(INDIRECT("'"&amp;$A58&amp;"'!S6")," ")</f>
        <v xml:space="preserve"> </v>
      </c>
      <c r="R58" s="43" t="str" cm="1">
        <f t="array" aca="1" ref="R58" ca="1">IFERROR(INDIRECT("'"&amp;$A58&amp;"'!S7")," ")</f>
        <v xml:space="preserve"> </v>
      </c>
      <c r="S58" s="43" t="str" cm="1">
        <f t="array" aca="1" ref="S58" ca="1">IFERROR(INDIRECT("'"&amp;$A58&amp;"'!S8")," ")</f>
        <v xml:space="preserve"> </v>
      </c>
      <c r="T58" s="43" t="str" cm="1">
        <f t="array" aca="1" ref="T58" ca="1">IFERROR(INDIRECT("'"&amp;$A58&amp;"'!S9")," ")</f>
        <v xml:space="preserve"> </v>
      </c>
      <c r="U58" s="43" t="str" cm="1">
        <f t="array" aca="1" ref="U58" ca="1">IFERROR(INDIRECT("'"&amp;$A58&amp;"'!S10")," ")</f>
        <v xml:space="preserve"> </v>
      </c>
      <c r="V58" s="43" t="str" cm="1">
        <f t="array" aca="1" ref="V58" ca="1">IFERROR(INDIRECT("'"&amp;$A58&amp;"'!S11")," ")</f>
        <v xml:space="preserve"> </v>
      </c>
      <c r="W58" s="43" t="str" cm="1">
        <f t="array" aca="1" ref="W58" ca="1">IFERROR(INDIRECT("'"&amp;$A58&amp;"'!W5")," ")</f>
        <v xml:space="preserve"> </v>
      </c>
      <c r="X58" s="43" t="str" cm="1">
        <f t="array" aca="1" ref="X58" ca="1">IFERROR(INDIRECT("'"&amp;$A58&amp;"'!s8")," ")</f>
        <v xml:space="preserve"> </v>
      </c>
      <c r="Y58" s="43" t="str" cm="1">
        <f t="array" aca="1" ref="Y58" ca="1">IFERROR(INDIRECT("'"&amp;$A58&amp;"'!U5")," ")</f>
        <v xml:space="preserve"> </v>
      </c>
      <c r="Z58" s="43" t="str" cm="1">
        <f t="array" aca="1" ref="Z58" ca="1">IFERROR(INDIRECT("'"&amp;$A58&amp;"'!U6")," ")</f>
        <v xml:space="preserve"> </v>
      </c>
      <c r="AA58" s="43" t="str" cm="1">
        <f t="array" aca="1" ref="AA58" ca="1">IFERROR(INDIRECT("'"&amp;$A58&amp;"'!U7")," ")</f>
        <v xml:space="preserve"> </v>
      </c>
      <c r="AB58" s="43" t="str" cm="1">
        <f t="array" aca="1" ref="AB58" ca="1">IFERROR(INDIRECT("'"&amp;$A58&amp;"'!U8")," ")</f>
        <v xml:space="preserve"> </v>
      </c>
      <c r="AC58" s="43" t="str" cm="1">
        <f t="array" aca="1" ref="AC58" ca="1">IFERROR(INDIRECT("'"&amp;$A58&amp;"'!s9")," ")</f>
        <v xml:space="preserve"> </v>
      </c>
      <c r="AD58" s="7" t="str" cm="1">
        <f t="array" aca="1" ref="AD58" ca="1">IFERROR(INDIRECT("'"&amp;$A58&amp;"'!F6")," ")</f>
        <v xml:space="preserve"> </v>
      </c>
      <c r="AE58" s="118" t="str" cm="1">
        <f t="array" aca="1" ref="AE58" ca="1">IFERROR(INDIRECT("'"&amp;$A58&amp;"'!L4")," ")</f>
        <v xml:space="preserve"> </v>
      </c>
    </row>
    <row r="59" spans="2:31" ht="15" customHeight="1" x14ac:dyDescent="0.3">
      <c r="B59" s="8" t="str" cm="1">
        <f t="array" aca="1" ref="B59" ca="1">IFERROR(INDIRECT("'"&amp;$A59&amp;"'!A2"),"")</f>
        <v/>
      </c>
      <c r="C59" s="8" t="str" cm="1">
        <f t="array" aca="1" ref="C59" ca="1">IFERROR(INDIRECT("'"&amp;$A59&amp;"'!B5"),"")</f>
        <v/>
      </c>
      <c r="D59" s="9" t="str" cm="1">
        <f t="array" aca="1" ref="D59" ca="1">IFERROR(INDIRECT("'"&amp;$A59&amp;"'!B4"),"")</f>
        <v/>
      </c>
      <c r="E59" s="9" t="str" cm="1">
        <f t="array" aca="1" ref="E59" ca="1">IFERROR(INDIRECT("'"&amp;$A59&amp;"'!B7")," ")</f>
        <v xml:space="preserve"> </v>
      </c>
      <c r="F59" s="122" t="str" cm="1">
        <f t="array" aca="1" ref="F59" ca="1">IFERROR(INDIRECT("'"&amp;$A59&amp;"'!D9")," ")</f>
        <v xml:space="preserve"> </v>
      </c>
      <c r="G59" s="52" t="str" cm="1">
        <f t="array" aca="1" ref="G59" ca="1">IFERROR(INDIRECT("'"&amp;$A59&amp;"'!B9")," ")</f>
        <v xml:space="preserve"> </v>
      </c>
      <c r="H59" s="144" t="str" cm="1">
        <f t="array" aca="1" ref="H59" ca="1">IFERROR(INDIRECT("'"&amp;$A59&amp;"'!D4")," ")</f>
        <v xml:space="preserve"> </v>
      </c>
      <c r="I59" s="5" t="str" cm="1">
        <f t="array" aca="1" ref="I59" ca="1">IFERROR(INDIRECT("'"&amp;$A59&amp;"'!D7")," ")</f>
        <v xml:space="preserve"> </v>
      </c>
      <c r="J59" s="5" t="str" cm="1">
        <f t="array" aca="1" ref="J59" ca="1">IFERROR(INDIRECT("'"&amp;$A59&amp;"'!D8")," ")</f>
        <v xml:space="preserve"> </v>
      </c>
      <c r="K59" s="5" t="str" cm="1">
        <f t="array" aca="1" ref="K59" ca="1">IFERROR(INDIRECT("'"&amp;$A59&amp;"'!D5")," ")</f>
        <v xml:space="preserve"> </v>
      </c>
      <c r="L59" s="54" t="str" cm="1">
        <f t="array" aca="1" ref="L59" ca="1">IFERROR(INDIRECT("'"&amp;$A59&amp;"'!Q10")," ")</f>
        <v xml:space="preserve"> </v>
      </c>
      <c r="M59" s="43" t="str" cm="1">
        <f t="array" aca="1" ref="M59" ca="1">IFERROR(INDIRECT("'"&amp;$A59&amp;"'!Q5")," ")</f>
        <v xml:space="preserve"> </v>
      </c>
      <c r="N59" s="43" t="str" cm="1">
        <f t="array" aca="1" ref="N59" ca="1">IFERROR(INDIRECT("'"&amp;$A59&amp;"'!Q6")," ")</f>
        <v xml:space="preserve"> </v>
      </c>
      <c r="O59" s="43" t="str" cm="1">
        <f t="array" aca="1" ref="O59" ca="1">IFERROR(INDIRECT("'"&amp;$A59&amp;"'!Q7")," ")</f>
        <v xml:space="preserve"> </v>
      </c>
      <c r="P59" s="43" t="str" cm="1">
        <f t="array" aca="1" ref="P59" ca="1">IFERROR(INDIRECT("'"&amp;$A59&amp;"'!S5")," ")</f>
        <v xml:space="preserve"> </v>
      </c>
      <c r="Q59" s="43" t="str" cm="1">
        <f t="array" aca="1" ref="Q59" ca="1">IFERROR(INDIRECT("'"&amp;$A59&amp;"'!S6")," ")</f>
        <v xml:space="preserve"> </v>
      </c>
      <c r="R59" s="43" t="str" cm="1">
        <f t="array" aca="1" ref="R59" ca="1">IFERROR(INDIRECT("'"&amp;$A59&amp;"'!S7")," ")</f>
        <v xml:space="preserve"> </v>
      </c>
      <c r="S59" s="43" t="str" cm="1">
        <f t="array" aca="1" ref="S59" ca="1">IFERROR(INDIRECT("'"&amp;$A59&amp;"'!S8")," ")</f>
        <v xml:space="preserve"> </v>
      </c>
      <c r="T59" s="43" t="str" cm="1">
        <f t="array" aca="1" ref="T59" ca="1">IFERROR(INDIRECT("'"&amp;$A59&amp;"'!S9")," ")</f>
        <v xml:space="preserve"> </v>
      </c>
      <c r="U59" s="43" t="str" cm="1">
        <f t="array" aca="1" ref="U59" ca="1">IFERROR(INDIRECT("'"&amp;$A59&amp;"'!S10")," ")</f>
        <v xml:space="preserve"> </v>
      </c>
      <c r="V59" s="43" t="str" cm="1">
        <f t="array" aca="1" ref="V59" ca="1">IFERROR(INDIRECT("'"&amp;$A59&amp;"'!S11")," ")</f>
        <v xml:space="preserve"> </v>
      </c>
      <c r="W59" s="43" t="str" cm="1">
        <f t="array" aca="1" ref="W59" ca="1">IFERROR(INDIRECT("'"&amp;$A59&amp;"'!W5")," ")</f>
        <v xml:space="preserve"> </v>
      </c>
      <c r="X59" s="43" t="str" cm="1">
        <f t="array" aca="1" ref="X59" ca="1">IFERROR(INDIRECT("'"&amp;$A59&amp;"'!s8")," ")</f>
        <v xml:space="preserve"> </v>
      </c>
      <c r="Y59" s="43" t="str" cm="1">
        <f t="array" aca="1" ref="Y59" ca="1">IFERROR(INDIRECT("'"&amp;$A59&amp;"'!U5")," ")</f>
        <v xml:space="preserve"> </v>
      </c>
      <c r="Z59" s="43" t="str" cm="1">
        <f t="array" aca="1" ref="Z59" ca="1">IFERROR(INDIRECT("'"&amp;$A59&amp;"'!U6")," ")</f>
        <v xml:space="preserve"> </v>
      </c>
      <c r="AA59" s="43" t="str" cm="1">
        <f t="array" aca="1" ref="AA59" ca="1">IFERROR(INDIRECT("'"&amp;$A59&amp;"'!U7")," ")</f>
        <v xml:space="preserve"> </v>
      </c>
      <c r="AB59" s="43" t="str" cm="1">
        <f t="array" aca="1" ref="AB59" ca="1">IFERROR(INDIRECT("'"&amp;$A59&amp;"'!U8")," ")</f>
        <v xml:space="preserve"> </v>
      </c>
      <c r="AC59" s="43" t="str" cm="1">
        <f t="array" aca="1" ref="AC59" ca="1">IFERROR(INDIRECT("'"&amp;$A59&amp;"'!s9")," ")</f>
        <v xml:space="preserve"> </v>
      </c>
      <c r="AD59" s="7" t="str" cm="1">
        <f t="array" aca="1" ref="AD59" ca="1">IFERROR(INDIRECT("'"&amp;$A59&amp;"'!F6")," ")</f>
        <v xml:space="preserve"> </v>
      </c>
      <c r="AE59" s="118" t="str" cm="1">
        <f t="array" aca="1" ref="AE59" ca="1">IFERROR(INDIRECT("'"&amp;$A59&amp;"'!L4")," ")</f>
        <v xml:space="preserve"> </v>
      </c>
    </row>
    <row r="60" spans="2:31" ht="15" customHeight="1" x14ac:dyDescent="0.3">
      <c r="B60" s="8" t="str" cm="1">
        <f t="array" aca="1" ref="B60" ca="1">IFERROR(INDIRECT("'"&amp;$A60&amp;"'!A2"),"")</f>
        <v/>
      </c>
      <c r="C60" s="8" t="str" cm="1">
        <f t="array" aca="1" ref="C60" ca="1">IFERROR(INDIRECT("'"&amp;$A60&amp;"'!B5"),"")</f>
        <v/>
      </c>
      <c r="D60" s="9" t="str" cm="1">
        <f t="array" aca="1" ref="D60" ca="1">IFERROR(INDIRECT("'"&amp;$A60&amp;"'!B4"),"")</f>
        <v/>
      </c>
      <c r="E60" s="9" t="str" cm="1">
        <f t="array" aca="1" ref="E60" ca="1">IFERROR(INDIRECT("'"&amp;$A60&amp;"'!B7")," ")</f>
        <v xml:space="preserve"> </v>
      </c>
      <c r="F60" s="122" t="str" cm="1">
        <f t="array" aca="1" ref="F60" ca="1">IFERROR(INDIRECT("'"&amp;$A60&amp;"'!D9")," ")</f>
        <v xml:space="preserve"> </v>
      </c>
      <c r="G60" s="52" t="str" cm="1">
        <f t="array" aca="1" ref="G60" ca="1">IFERROR(INDIRECT("'"&amp;$A60&amp;"'!B9")," ")</f>
        <v xml:space="preserve"> </v>
      </c>
      <c r="H60" s="144" t="str" cm="1">
        <f t="array" aca="1" ref="H60" ca="1">IFERROR(INDIRECT("'"&amp;$A60&amp;"'!D4")," ")</f>
        <v xml:space="preserve"> </v>
      </c>
      <c r="I60" s="5" t="str" cm="1">
        <f t="array" aca="1" ref="I60" ca="1">IFERROR(INDIRECT("'"&amp;$A60&amp;"'!D7")," ")</f>
        <v xml:space="preserve"> </v>
      </c>
      <c r="J60" s="5" t="str" cm="1">
        <f t="array" aca="1" ref="J60" ca="1">IFERROR(INDIRECT("'"&amp;$A60&amp;"'!D8")," ")</f>
        <v xml:space="preserve"> </v>
      </c>
      <c r="K60" s="5" t="str" cm="1">
        <f t="array" aca="1" ref="K60" ca="1">IFERROR(INDIRECT("'"&amp;$A60&amp;"'!D5")," ")</f>
        <v xml:space="preserve"> </v>
      </c>
      <c r="L60" s="54" t="str" cm="1">
        <f t="array" aca="1" ref="L60" ca="1">IFERROR(INDIRECT("'"&amp;$A60&amp;"'!Q10")," ")</f>
        <v xml:space="preserve"> </v>
      </c>
      <c r="M60" s="43" t="str" cm="1">
        <f t="array" aca="1" ref="M60" ca="1">IFERROR(INDIRECT("'"&amp;$A60&amp;"'!Q5")," ")</f>
        <v xml:space="preserve"> </v>
      </c>
      <c r="N60" s="43" t="str" cm="1">
        <f t="array" aca="1" ref="N60" ca="1">IFERROR(INDIRECT("'"&amp;$A60&amp;"'!Q6")," ")</f>
        <v xml:space="preserve"> </v>
      </c>
      <c r="O60" s="43" t="str" cm="1">
        <f t="array" aca="1" ref="O60" ca="1">IFERROR(INDIRECT("'"&amp;$A60&amp;"'!Q7")," ")</f>
        <v xml:space="preserve"> </v>
      </c>
      <c r="P60" s="43" t="str" cm="1">
        <f t="array" aca="1" ref="P60" ca="1">IFERROR(INDIRECT("'"&amp;$A60&amp;"'!S5")," ")</f>
        <v xml:space="preserve"> </v>
      </c>
      <c r="Q60" s="43" t="str" cm="1">
        <f t="array" aca="1" ref="Q60" ca="1">IFERROR(INDIRECT("'"&amp;$A60&amp;"'!S6")," ")</f>
        <v xml:space="preserve"> </v>
      </c>
      <c r="R60" s="43" t="str" cm="1">
        <f t="array" aca="1" ref="R60" ca="1">IFERROR(INDIRECT("'"&amp;$A60&amp;"'!S7")," ")</f>
        <v xml:space="preserve"> </v>
      </c>
      <c r="S60" s="43" t="str" cm="1">
        <f t="array" aca="1" ref="S60" ca="1">IFERROR(INDIRECT("'"&amp;$A60&amp;"'!S8")," ")</f>
        <v xml:space="preserve"> </v>
      </c>
      <c r="T60" s="43" t="str" cm="1">
        <f t="array" aca="1" ref="T60" ca="1">IFERROR(INDIRECT("'"&amp;$A60&amp;"'!S9")," ")</f>
        <v xml:space="preserve"> </v>
      </c>
      <c r="U60" s="43" t="str" cm="1">
        <f t="array" aca="1" ref="U60" ca="1">IFERROR(INDIRECT("'"&amp;$A60&amp;"'!S10")," ")</f>
        <v xml:space="preserve"> </v>
      </c>
      <c r="V60" s="43" t="str" cm="1">
        <f t="array" aca="1" ref="V60" ca="1">IFERROR(INDIRECT("'"&amp;$A60&amp;"'!S11")," ")</f>
        <v xml:space="preserve"> </v>
      </c>
      <c r="W60" s="43" t="str" cm="1">
        <f t="array" aca="1" ref="W60" ca="1">IFERROR(INDIRECT("'"&amp;$A60&amp;"'!W5")," ")</f>
        <v xml:space="preserve"> </v>
      </c>
      <c r="X60" s="43" t="str" cm="1">
        <f t="array" aca="1" ref="X60" ca="1">IFERROR(INDIRECT("'"&amp;$A60&amp;"'!s8")," ")</f>
        <v xml:space="preserve"> </v>
      </c>
      <c r="Y60" s="43" t="str" cm="1">
        <f t="array" aca="1" ref="Y60" ca="1">IFERROR(INDIRECT("'"&amp;$A60&amp;"'!U5")," ")</f>
        <v xml:space="preserve"> </v>
      </c>
      <c r="Z60" s="43" t="str" cm="1">
        <f t="array" aca="1" ref="Z60" ca="1">IFERROR(INDIRECT("'"&amp;$A60&amp;"'!U6")," ")</f>
        <v xml:space="preserve"> </v>
      </c>
      <c r="AA60" s="43" t="str" cm="1">
        <f t="array" aca="1" ref="AA60" ca="1">IFERROR(INDIRECT("'"&amp;$A60&amp;"'!U7")," ")</f>
        <v xml:space="preserve"> </v>
      </c>
      <c r="AB60" s="43" t="str" cm="1">
        <f t="array" aca="1" ref="AB60" ca="1">IFERROR(INDIRECT("'"&amp;$A60&amp;"'!U8")," ")</f>
        <v xml:space="preserve"> </v>
      </c>
      <c r="AC60" s="43" t="str" cm="1">
        <f t="array" aca="1" ref="AC60" ca="1">IFERROR(INDIRECT("'"&amp;$A60&amp;"'!s9")," ")</f>
        <v xml:space="preserve"> </v>
      </c>
      <c r="AD60" s="7" t="str" cm="1">
        <f t="array" aca="1" ref="AD60" ca="1">IFERROR(INDIRECT("'"&amp;$A60&amp;"'!F6")," ")</f>
        <v xml:space="preserve"> </v>
      </c>
      <c r="AE60" s="118" t="str" cm="1">
        <f t="array" aca="1" ref="AE60" ca="1">IFERROR(INDIRECT("'"&amp;$A60&amp;"'!L4")," ")</f>
        <v xml:space="preserve"> </v>
      </c>
    </row>
    <row r="61" spans="2:31" ht="15" customHeight="1" x14ac:dyDescent="0.3">
      <c r="B61" s="8" t="str" cm="1">
        <f t="array" aca="1" ref="B61" ca="1">IFERROR(INDIRECT("'"&amp;$A61&amp;"'!A2"),"")</f>
        <v/>
      </c>
      <c r="C61" s="8" t="str" cm="1">
        <f t="array" aca="1" ref="C61" ca="1">IFERROR(INDIRECT("'"&amp;$A61&amp;"'!B5"),"")</f>
        <v/>
      </c>
      <c r="D61" s="9" t="str" cm="1">
        <f t="array" aca="1" ref="D61" ca="1">IFERROR(INDIRECT("'"&amp;$A61&amp;"'!B4"),"")</f>
        <v/>
      </c>
      <c r="E61" s="9" t="str" cm="1">
        <f t="array" aca="1" ref="E61" ca="1">IFERROR(INDIRECT("'"&amp;$A61&amp;"'!B7")," ")</f>
        <v xml:space="preserve"> </v>
      </c>
      <c r="F61" s="122" t="str" cm="1">
        <f t="array" aca="1" ref="F61" ca="1">IFERROR(INDIRECT("'"&amp;$A61&amp;"'!D9")," ")</f>
        <v xml:space="preserve"> </v>
      </c>
      <c r="G61" s="52" t="str" cm="1">
        <f t="array" aca="1" ref="G61" ca="1">IFERROR(INDIRECT("'"&amp;$A61&amp;"'!B9")," ")</f>
        <v xml:space="preserve"> </v>
      </c>
      <c r="H61" s="144" t="str" cm="1">
        <f t="array" aca="1" ref="H61" ca="1">IFERROR(INDIRECT("'"&amp;$A61&amp;"'!D4")," ")</f>
        <v xml:space="preserve"> </v>
      </c>
      <c r="I61" s="5" t="str" cm="1">
        <f t="array" aca="1" ref="I61" ca="1">IFERROR(INDIRECT("'"&amp;$A61&amp;"'!D7")," ")</f>
        <v xml:space="preserve"> </v>
      </c>
      <c r="J61" s="5" t="str" cm="1">
        <f t="array" aca="1" ref="J61" ca="1">IFERROR(INDIRECT("'"&amp;$A61&amp;"'!D8")," ")</f>
        <v xml:space="preserve"> </v>
      </c>
      <c r="K61" s="5" t="str" cm="1">
        <f t="array" aca="1" ref="K61" ca="1">IFERROR(INDIRECT("'"&amp;$A61&amp;"'!D5")," ")</f>
        <v xml:space="preserve"> </v>
      </c>
      <c r="L61" s="54" t="str" cm="1">
        <f t="array" aca="1" ref="L61" ca="1">IFERROR(INDIRECT("'"&amp;$A61&amp;"'!Q10")," ")</f>
        <v xml:space="preserve"> </v>
      </c>
      <c r="M61" s="43" t="str" cm="1">
        <f t="array" aca="1" ref="M61" ca="1">IFERROR(INDIRECT("'"&amp;$A61&amp;"'!Q5")," ")</f>
        <v xml:space="preserve"> </v>
      </c>
      <c r="N61" s="43" t="str" cm="1">
        <f t="array" aca="1" ref="N61" ca="1">IFERROR(INDIRECT("'"&amp;$A61&amp;"'!Q6")," ")</f>
        <v xml:space="preserve"> </v>
      </c>
      <c r="O61" s="43" t="str" cm="1">
        <f t="array" aca="1" ref="O61" ca="1">IFERROR(INDIRECT("'"&amp;$A61&amp;"'!Q7")," ")</f>
        <v xml:space="preserve"> </v>
      </c>
      <c r="P61" s="43" t="str" cm="1">
        <f t="array" aca="1" ref="P61" ca="1">IFERROR(INDIRECT("'"&amp;$A61&amp;"'!S5")," ")</f>
        <v xml:space="preserve"> </v>
      </c>
      <c r="Q61" s="43" t="str" cm="1">
        <f t="array" aca="1" ref="Q61" ca="1">IFERROR(INDIRECT("'"&amp;$A61&amp;"'!S6")," ")</f>
        <v xml:space="preserve"> </v>
      </c>
      <c r="R61" s="43" t="str" cm="1">
        <f t="array" aca="1" ref="R61" ca="1">IFERROR(INDIRECT("'"&amp;$A61&amp;"'!S7")," ")</f>
        <v xml:space="preserve"> </v>
      </c>
      <c r="S61" s="43" t="str" cm="1">
        <f t="array" aca="1" ref="S61" ca="1">IFERROR(INDIRECT("'"&amp;$A61&amp;"'!S8")," ")</f>
        <v xml:space="preserve"> </v>
      </c>
      <c r="T61" s="43" t="str" cm="1">
        <f t="array" aca="1" ref="T61" ca="1">IFERROR(INDIRECT("'"&amp;$A61&amp;"'!S9")," ")</f>
        <v xml:space="preserve"> </v>
      </c>
      <c r="U61" s="43" t="str" cm="1">
        <f t="array" aca="1" ref="U61" ca="1">IFERROR(INDIRECT("'"&amp;$A61&amp;"'!S10")," ")</f>
        <v xml:space="preserve"> </v>
      </c>
      <c r="V61" s="43" t="str" cm="1">
        <f t="array" aca="1" ref="V61" ca="1">IFERROR(INDIRECT("'"&amp;$A61&amp;"'!S11")," ")</f>
        <v xml:space="preserve"> </v>
      </c>
      <c r="W61" s="43" t="str" cm="1">
        <f t="array" aca="1" ref="W61" ca="1">IFERROR(INDIRECT("'"&amp;$A61&amp;"'!W5")," ")</f>
        <v xml:space="preserve"> </v>
      </c>
      <c r="X61" s="43" t="str" cm="1">
        <f t="array" aca="1" ref="X61" ca="1">IFERROR(INDIRECT("'"&amp;$A61&amp;"'!s8")," ")</f>
        <v xml:space="preserve"> </v>
      </c>
      <c r="Y61" s="43" t="str" cm="1">
        <f t="array" aca="1" ref="Y61" ca="1">IFERROR(INDIRECT("'"&amp;$A61&amp;"'!U5")," ")</f>
        <v xml:space="preserve"> </v>
      </c>
      <c r="Z61" s="43" t="str" cm="1">
        <f t="array" aca="1" ref="Z61" ca="1">IFERROR(INDIRECT("'"&amp;$A61&amp;"'!U6")," ")</f>
        <v xml:space="preserve"> </v>
      </c>
      <c r="AA61" s="43" t="str" cm="1">
        <f t="array" aca="1" ref="AA61" ca="1">IFERROR(INDIRECT("'"&amp;$A61&amp;"'!U7")," ")</f>
        <v xml:space="preserve"> </v>
      </c>
      <c r="AB61" s="43" t="str" cm="1">
        <f t="array" aca="1" ref="AB61" ca="1">IFERROR(INDIRECT("'"&amp;$A61&amp;"'!U8")," ")</f>
        <v xml:space="preserve"> </v>
      </c>
      <c r="AC61" s="43" t="str" cm="1">
        <f t="array" aca="1" ref="AC61" ca="1">IFERROR(INDIRECT("'"&amp;$A61&amp;"'!s9")," ")</f>
        <v xml:space="preserve"> </v>
      </c>
      <c r="AD61" s="7" t="str" cm="1">
        <f t="array" aca="1" ref="AD61" ca="1">IFERROR(INDIRECT("'"&amp;$A61&amp;"'!F6")," ")</f>
        <v xml:space="preserve"> </v>
      </c>
      <c r="AE61" s="118" t="str" cm="1">
        <f t="array" aca="1" ref="AE61" ca="1">IFERROR(INDIRECT("'"&amp;$A61&amp;"'!L4")," ")</f>
        <v xml:space="preserve"> </v>
      </c>
    </row>
    <row r="62" spans="2:31" ht="15" customHeight="1" x14ac:dyDescent="0.3">
      <c r="B62" s="8" t="str" cm="1">
        <f t="array" aca="1" ref="B62" ca="1">IFERROR(INDIRECT("'"&amp;$A62&amp;"'!A2"),"")</f>
        <v/>
      </c>
      <c r="C62" s="8" t="str" cm="1">
        <f t="array" aca="1" ref="C62" ca="1">IFERROR(INDIRECT("'"&amp;$A62&amp;"'!B5"),"")</f>
        <v/>
      </c>
      <c r="D62" s="9" t="str" cm="1">
        <f t="array" aca="1" ref="D62" ca="1">IFERROR(INDIRECT("'"&amp;$A62&amp;"'!B4"),"")</f>
        <v/>
      </c>
      <c r="E62" s="9" t="str" cm="1">
        <f t="array" aca="1" ref="E62" ca="1">IFERROR(INDIRECT("'"&amp;$A62&amp;"'!B7")," ")</f>
        <v xml:space="preserve"> </v>
      </c>
      <c r="F62" s="122" t="str" cm="1">
        <f t="array" aca="1" ref="F62" ca="1">IFERROR(INDIRECT("'"&amp;$A62&amp;"'!D9")," ")</f>
        <v xml:space="preserve"> </v>
      </c>
      <c r="G62" s="52" t="str" cm="1">
        <f t="array" aca="1" ref="G62" ca="1">IFERROR(INDIRECT("'"&amp;$A62&amp;"'!B9")," ")</f>
        <v xml:space="preserve"> </v>
      </c>
      <c r="H62" s="144" t="str" cm="1">
        <f t="array" aca="1" ref="H62" ca="1">IFERROR(INDIRECT("'"&amp;$A62&amp;"'!D4")," ")</f>
        <v xml:space="preserve"> </v>
      </c>
      <c r="I62" s="5" t="str" cm="1">
        <f t="array" aca="1" ref="I62" ca="1">IFERROR(INDIRECT("'"&amp;$A62&amp;"'!D7")," ")</f>
        <v xml:space="preserve"> </v>
      </c>
      <c r="J62" s="5" t="str" cm="1">
        <f t="array" aca="1" ref="J62" ca="1">IFERROR(INDIRECT("'"&amp;$A62&amp;"'!D8")," ")</f>
        <v xml:space="preserve"> </v>
      </c>
      <c r="K62" s="5" t="str" cm="1">
        <f t="array" aca="1" ref="K62" ca="1">IFERROR(INDIRECT("'"&amp;$A62&amp;"'!D5")," ")</f>
        <v xml:space="preserve"> </v>
      </c>
      <c r="L62" s="54" t="str" cm="1">
        <f t="array" aca="1" ref="L62" ca="1">IFERROR(INDIRECT("'"&amp;$A62&amp;"'!Q10")," ")</f>
        <v xml:space="preserve"> </v>
      </c>
      <c r="M62" s="43" t="str" cm="1">
        <f t="array" aca="1" ref="M62" ca="1">IFERROR(INDIRECT("'"&amp;$A62&amp;"'!Q5")," ")</f>
        <v xml:space="preserve"> </v>
      </c>
      <c r="N62" s="43" t="str" cm="1">
        <f t="array" aca="1" ref="N62" ca="1">IFERROR(INDIRECT("'"&amp;$A62&amp;"'!Q6")," ")</f>
        <v xml:space="preserve"> </v>
      </c>
      <c r="O62" s="43" t="str" cm="1">
        <f t="array" aca="1" ref="O62" ca="1">IFERROR(INDIRECT("'"&amp;$A62&amp;"'!Q7")," ")</f>
        <v xml:space="preserve"> </v>
      </c>
      <c r="P62" s="43" t="str" cm="1">
        <f t="array" aca="1" ref="P62" ca="1">IFERROR(INDIRECT("'"&amp;$A62&amp;"'!S5")," ")</f>
        <v xml:space="preserve"> </v>
      </c>
      <c r="Q62" s="43" t="str" cm="1">
        <f t="array" aca="1" ref="Q62" ca="1">IFERROR(INDIRECT("'"&amp;$A62&amp;"'!S6")," ")</f>
        <v xml:space="preserve"> </v>
      </c>
      <c r="R62" s="43" t="str" cm="1">
        <f t="array" aca="1" ref="R62" ca="1">IFERROR(INDIRECT("'"&amp;$A62&amp;"'!S7")," ")</f>
        <v xml:space="preserve"> </v>
      </c>
      <c r="S62" s="43" t="str" cm="1">
        <f t="array" aca="1" ref="S62" ca="1">IFERROR(INDIRECT("'"&amp;$A62&amp;"'!S8")," ")</f>
        <v xml:space="preserve"> </v>
      </c>
      <c r="T62" s="43" t="str" cm="1">
        <f t="array" aca="1" ref="T62" ca="1">IFERROR(INDIRECT("'"&amp;$A62&amp;"'!S9")," ")</f>
        <v xml:space="preserve"> </v>
      </c>
      <c r="U62" s="43" t="str" cm="1">
        <f t="array" aca="1" ref="U62" ca="1">IFERROR(INDIRECT("'"&amp;$A62&amp;"'!S10")," ")</f>
        <v xml:space="preserve"> </v>
      </c>
      <c r="V62" s="43" t="str" cm="1">
        <f t="array" aca="1" ref="V62" ca="1">IFERROR(INDIRECT("'"&amp;$A62&amp;"'!S11")," ")</f>
        <v xml:space="preserve"> </v>
      </c>
      <c r="W62" s="43" t="str" cm="1">
        <f t="array" aca="1" ref="W62" ca="1">IFERROR(INDIRECT("'"&amp;$A62&amp;"'!W5")," ")</f>
        <v xml:space="preserve"> </v>
      </c>
      <c r="X62" s="43" t="str" cm="1">
        <f t="array" aca="1" ref="X62" ca="1">IFERROR(INDIRECT("'"&amp;$A62&amp;"'!s8")," ")</f>
        <v xml:space="preserve"> </v>
      </c>
      <c r="Y62" s="43" t="str" cm="1">
        <f t="array" aca="1" ref="Y62" ca="1">IFERROR(INDIRECT("'"&amp;$A62&amp;"'!U5")," ")</f>
        <v xml:space="preserve"> </v>
      </c>
      <c r="Z62" s="43" t="str" cm="1">
        <f t="array" aca="1" ref="Z62" ca="1">IFERROR(INDIRECT("'"&amp;$A62&amp;"'!U6")," ")</f>
        <v xml:space="preserve"> </v>
      </c>
      <c r="AA62" s="43" t="str" cm="1">
        <f t="array" aca="1" ref="AA62" ca="1">IFERROR(INDIRECT("'"&amp;$A62&amp;"'!U7")," ")</f>
        <v xml:space="preserve"> </v>
      </c>
      <c r="AB62" s="43" t="str" cm="1">
        <f t="array" aca="1" ref="AB62" ca="1">IFERROR(INDIRECT("'"&amp;$A62&amp;"'!U8")," ")</f>
        <v xml:space="preserve"> </v>
      </c>
      <c r="AC62" s="43" t="str" cm="1">
        <f t="array" aca="1" ref="AC62" ca="1">IFERROR(INDIRECT("'"&amp;$A62&amp;"'!s9")," ")</f>
        <v xml:space="preserve"> </v>
      </c>
      <c r="AD62" s="7" t="str" cm="1">
        <f t="array" aca="1" ref="AD62" ca="1">IFERROR(INDIRECT("'"&amp;$A62&amp;"'!F6")," ")</f>
        <v xml:space="preserve"> </v>
      </c>
      <c r="AE62" s="118" t="str" cm="1">
        <f t="array" aca="1" ref="AE62" ca="1">IFERROR(INDIRECT("'"&amp;$A62&amp;"'!L4")," ")</f>
        <v xml:space="preserve"> </v>
      </c>
    </row>
    <row r="63" spans="2:31" ht="15" customHeight="1" x14ac:dyDescent="0.3">
      <c r="B63" s="8" t="str" cm="1">
        <f t="array" aca="1" ref="B63" ca="1">IFERROR(INDIRECT("'"&amp;$A63&amp;"'!A2"),"")</f>
        <v/>
      </c>
      <c r="C63" s="8" t="str" cm="1">
        <f t="array" aca="1" ref="C63" ca="1">IFERROR(INDIRECT("'"&amp;$A63&amp;"'!B5"),"")</f>
        <v/>
      </c>
      <c r="D63" s="9" t="str" cm="1">
        <f t="array" aca="1" ref="D63" ca="1">IFERROR(INDIRECT("'"&amp;$A63&amp;"'!B4"),"")</f>
        <v/>
      </c>
      <c r="E63" s="9" t="str" cm="1">
        <f t="array" aca="1" ref="E63" ca="1">IFERROR(INDIRECT("'"&amp;$A63&amp;"'!B7")," ")</f>
        <v xml:space="preserve"> </v>
      </c>
      <c r="F63" s="122" t="str" cm="1">
        <f t="array" aca="1" ref="F63" ca="1">IFERROR(INDIRECT("'"&amp;$A63&amp;"'!D9")," ")</f>
        <v xml:space="preserve"> </v>
      </c>
      <c r="G63" s="52" t="str" cm="1">
        <f t="array" aca="1" ref="G63" ca="1">IFERROR(INDIRECT("'"&amp;$A63&amp;"'!B9")," ")</f>
        <v xml:space="preserve"> </v>
      </c>
      <c r="H63" s="144" t="str" cm="1">
        <f t="array" aca="1" ref="H63" ca="1">IFERROR(INDIRECT("'"&amp;$A63&amp;"'!D4")," ")</f>
        <v xml:space="preserve"> </v>
      </c>
      <c r="I63" s="5" t="str" cm="1">
        <f t="array" aca="1" ref="I63" ca="1">IFERROR(INDIRECT("'"&amp;$A63&amp;"'!D7")," ")</f>
        <v xml:space="preserve"> </v>
      </c>
      <c r="J63" s="5" t="str" cm="1">
        <f t="array" aca="1" ref="J63" ca="1">IFERROR(INDIRECT("'"&amp;$A63&amp;"'!D8")," ")</f>
        <v xml:space="preserve"> </v>
      </c>
      <c r="K63" s="5" t="str" cm="1">
        <f t="array" aca="1" ref="K63" ca="1">IFERROR(INDIRECT("'"&amp;$A63&amp;"'!D5")," ")</f>
        <v xml:space="preserve"> </v>
      </c>
      <c r="L63" s="54" t="str" cm="1">
        <f t="array" aca="1" ref="L63" ca="1">IFERROR(INDIRECT("'"&amp;$A63&amp;"'!Q10")," ")</f>
        <v xml:space="preserve"> </v>
      </c>
      <c r="M63" s="43" t="str" cm="1">
        <f t="array" aca="1" ref="M63" ca="1">IFERROR(INDIRECT("'"&amp;$A63&amp;"'!Q5")," ")</f>
        <v xml:space="preserve"> </v>
      </c>
      <c r="N63" s="43" t="str" cm="1">
        <f t="array" aca="1" ref="N63" ca="1">IFERROR(INDIRECT("'"&amp;$A63&amp;"'!Q6")," ")</f>
        <v xml:space="preserve"> </v>
      </c>
      <c r="O63" s="43" t="str" cm="1">
        <f t="array" aca="1" ref="O63" ca="1">IFERROR(INDIRECT("'"&amp;$A63&amp;"'!Q7")," ")</f>
        <v xml:space="preserve"> </v>
      </c>
      <c r="P63" s="43" t="str" cm="1">
        <f t="array" aca="1" ref="P63" ca="1">IFERROR(INDIRECT("'"&amp;$A63&amp;"'!S5")," ")</f>
        <v xml:space="preserve"> </v>
      </c>
      <c r="Q63" s="43" t="str" cm="1">
        <f t="array" aca="1" ref="Q63" ca="1">IFERROR(INDIRECT("'"&amp;$A63&amp;"'!S6")," ")</f>
        <v xml:space="preserve"> </v>
      </c>
      <c r="R63" s="43" t="str" cm="1">
        <f t="array" aca="1" ref="R63" ca="1">IFERROR(INDIRECT("'"&amp;$A63&amp;"'!S7")," ")</f>
        <v xml:space="preserve"> </v>
      </c>
      <c r="S63" s="43" t="str" cm="1">
        <f t="array" aca="1" ref="S63" ca="1">IFERROR(INDIRECT("'"&amp;$A63&amp;"'!S8")," ")</f>
        <v xml:space="preserve"> </v>
      </c>
      <c r="T63" s="43" t="str" cm="1">
        <f t="array" aca="1" ref="T63" ca="1">IFERROR(INDIRECT("'"&amp;$A63&amp;"'!S9")," ")</f>
        <v xml:space="preserve"> </v>
      </c>
      <c r="U63" s="43" t="str" cm="1">
        <f t="array" aca="1" ref="U63" ca="1">IFERROR(INDIRECT("'"&amp;$A63&amp;"'!S10")," ")</f>
        <v xml:space="preserve"> </v>
      </c>
      <c r="V63" s="43" t="str" cm="1">
        <f t="array" aca="1" ref="V63" ca="1">IFERROR(INDIRECT("'"&amp;$A63&amp;"'!S11")," ")</f>
        <v xml:space="preserve"> </v>
      </c>
      <c r="W63" s="43" t="str" cm="1">
        <f t="array" aca="1" ref="W63" ca="1">IFERROR(INDIRECT("'"&amp;$A63&amp;"'!W5")," ")</f>
        <v xml:space="preserve"> </v>
      </c>
      <c r="X63" s="43" t="str" cm="1">
        <f t="array" aca="1" ref="X63" ca="1">IFERROR(INDIRECT("'"&amp;$A63&amp;"'!s8")," ")</f>
        <v xml:space="preserve"> </v>
      </c>
      <c r="Y63" s="43" t="str" cm="1">
        <f t="array" aca="1" ref="Y63" ca="1">IFERROR(INDIRECT("'"&amp;$A63&amp;"'!U5")," ")</f>
        <v xml:space="preserve"> </v>
      </c>
      <c r="Z63" s="43" t="str" cm="1">
        <f t="array" aca="1" ref="Z63" ca="1">IFERROR(INDIRECT("'"&amp;$A63&amp;"'!U6")," ")</f>
        <v xml:space="preserve"> </v>
      </c>
      <c r="AA63" s="43" t="str" cm="1">
        <f t="array" aca="1" ref="AA63" ca="1">IFERROR(INDIRECT("'"&amp;$A63&amp;"'!U7")," ")</f>
        <v xml:space="preserve"> </v>
      </c>
      <c r="AB63" s="43" t="str" cm="1">
        <f t="array" aca="1" ref="AB63" ca="1">IFERROR(INDIRECT("'"&amp;$A63&amp;"'!U8")," ")</f>
        <v xml:space="preserve"> </v>
      </c>
      <c r="AC63" s="43" t="str" cm="1">
        <f t="array" aca="1" ref="AC63" ca="1">IFERROR(INDIRECT("'"&amp;$A63&amp;"'!s9")," ")</f>
        <v xml:space="preserve"> </v>
      </c>
      <c r="AD63" s="7" t="str" cm="1">
        <f t="array" aca="1" ref="AD63" ca="1">IFERROR(INDIRECT("'"&amp;$A63&amp;"'!F6")," ")</f>
        <v xml:space="preserve"> </v>
      </c>
      <c r="AE63" s="118" t="str" cm="1">
        <f t="array" aca="1" ref="AE63" ca="1">IFERROR(INDIRECT("'"&amp;$A63&amp;"'!L4")," ")</f>
        <v xml:space="preserve"> </v>
      </c>
    </row>
    <row r="64" spans="2:31" ht="15" customHeight="1" x14ac:dyDescent="0.3">
      <c r="B64" s="8" t="str" cm="1">
        <f t="array" aca="1" ref="B64" ca="1">IFERROR(INDIRECT("'"&amp;$A64&amp;"'!A2"),"")</f>
        <v/>
      </c>
      <c r="C64" s="8" t="str" cm="1">
        <f t="array" aca="1" ref="C64" ca="1">IFERROR(INDIRECT("'"&amp;$A64&amp;"'!B5"),"")</f>
        <v/>
      </c>
      <c r="D64" s="9" t="str" cm="1">
        <f t="array" aca="1" ref="D64" ca="1">IFERROR(INDIRECT("'"&amp;$A64&amp;"'!B4"),"")</f>
        <v/>
      </c>
      <c r="E64" s="9" t="str" cm="1">
        <f t="array" aca="1" ref="E64" ca="1">IFERROR(INDIRECT("'"&amp;$A64&amp;"'!B7")," ")</f>
        <v xml:space="preserve"> </v>
      </c>
      <c r="F64" s="122" t="str" cm="1">
        <f t="array" aca="1" ref="F64" ca="1">IFERROR(INDIRECT("'"&amp;$A64&amp;"'!D9")," ")</f>
        <v xml:space="preserve"> </v>
      </c>
      <c r="G64" s="52" t="str" cm="1">
        <f t="array" aca="1" ref="G64" ca="1">IFERROR(INDIRECT("'"&amp;$A64&amp;"'!B9")," ")</f>
        <v xml:space="preserve"> </v>
      </c>
      <c r="H64" s="70" t="str" cm="1">
        <f t="array" aca="1" ref="H64" ca="1">IFERROR(INDIRECT("'"&amp;$A64&amp;"'!D4")," ")</f>
        <v xml:space="preserve"> </v>
      </c>
      <c r="I64" s="5" t="str" cm="1">
        <f t="array" aca="1" ref="I64" ca="1">IFERROR(INDIRECT("'"&amp;$A64&amp;"'!D7")," ")</f>
        <v xml:space="preserve"> </v>
      </c>
      <c r="J64" s="5" t="str" cm="1">
        <f t="array" aca="1" ref="J64" ca="1">IFERROR(INDIRECT("'"&amp;$A64&amp;"'!D8")," ")</f>
        <v xml:space="preserve"> </v>
      </c>
      <c r="K64" s="5" t="str" cm="1">
        <f t="array" aca="1" ref="K64" ca="1">IFERROR(INDIRECT("'"&amp;$A64&amp;"'!D5")," ")</f>
        <v xml:space="preserve"> </v>
      </c>
      <c r="L64" s="54" t="str" cm="1">
        <f t="array" aca="1" ref="L64" ca="1">IFERROR(INDIRECT("'"&amp;$A64&amp;"'!Q10")," ")</f>
        <v xml:space="preserve"> </v>
      </c>
      <c r="M64" s="43" t="str" cm="1">
        <f t="array" aca="1" ref="M64" ca="1">IFERROR(INDIRECT("'"&amp;$A64&amp;"'!Q5")," ")</f>
        <v xml:space="preserve"> </v>
      </c>
      <c r="N64" s="43" t="str" cm="1">
        <f t="array" aca="1" ref="N64" ca="1">IFERROR(INDIRECT("'"&amp;$A64&amp;"'!Q6")," ")</f>
        <v xml:space="preserve"> </v>
      </c>
      <c r="O64" s="43" t="str" cm="1">
        <f t="array" aca="1" ref="O64" ca="1">IFERROR(INDIRECT("'"&amp;$A64&amp;"'!Q7")," ")</f>
        <v xml:space="preserve"> </v>
      </c>
      <c r="P64" s="43" t="str" cm="1">
        <f t="array" aca="1" ref="P64" ca="1">IFERROR(INDIRECT("'"&amp;$A64&amp;"'!S5")," ")</f>
        <v xml:space="preserve"> </v>
      </c>
      <c r="Q64" s="43" t="str" cm="1">
        <f t="array" aca="1" ref="Q64" ca="1">IFERROR(INDIRECT("'"&amp;$A64&amp;"'!S6")," ")</f>
        <v xml:space="preserve"> </v>
      </c>
      <c r="R64" s="43" t="str" cm="1">
        <f t="array" aca="1" ref="R64" ca="1">IFERROR(INDIRECT("'"&amp;$A64&amp;"'!S7")," ")</f>
        <v xml:space="preserve"> </v>
      </c>
      <c r="S64" s="43" t="str" cm="1">
        <f t="array" aca="1" ref="S64" ca="1">IFERROR(INDIRECT("'"&amp;$A64&amp;"'!S8")," ")</f>
        <v xml:space="preserve"> </v>
      </c>
      <c r="T64" s="43" t="str" cm="1">
        <f t="array" aca="1" ref="T64" ca="1">IFERROR(INDIRECT("'"&amp;$A64&amp;"'!S9")," ")</f>
        <v xml:space="preserve"> </v>
      </c>
      <c r="U64" s="43" t="str" cm="1">
        <f t="array" aca="1" ref="U64" ca="1">IFERROR(INDIRECT("'"&amp;$A64&amp;"'!S10")," ")</f>
        <v xml:space="preserve"> </v>
      </c>
      <c r="V64" s="43" t="str" cm="1">
        <f t="array" aca="1" ref="V64" ca="1">IFERROR(INDIRECT("'"&amp;$A64&amp;"'!S11")," ")</f>
        <v xml:space="preserve"> </v>
      </c>
      <c r="W64" s="43" t="str" cm="1">
        <f t="array" aca="1" ref="W64" ca="1">IFERROR(INDIRECT("'"&amp;$A64&amp;"'!W5")," ")</f>
        <v xml:space="preserve"> </v>
      </c>
      <c r="X64" s="43" t="str" cm="1">
        <f t="array" aca="1" ref="X64" ca="1">IFERROR(INDIRECT("'"&amp;$A64&amp;"'!s8")," ")</f>
        <v xml:space="preserve"> </v>
      </c>
      <c r="Y64" s="43" t="str" cm="1">
        <f t="array" aca="1" ref="Y64" ca="1">IFERROR(INDIRECT("'"&amp;$A64&amp;"'!U5")," ")</f>
        <v xml:space="preserve"> </v>
      </c>
      <c r="Z64" s="43" t="str" cm="1">
        <f t="array" aca="1" ref="Z64" ca="1">IFERROR(INDIRECT("'"&amp;$A64&amp;"'!U6")," ")</f>
        <v xml:space="preserve"> </v>
      </c>
      <c r="AA64" s="43" t="str" cm="1">
        <f t="array" aca="1" ref="AA64" ca="1">IFERROR(INDIRECT("'"&amp;$A64&amp;"'!U7")," ")</f>
        <v xml:space="preserve"> </v>
      </c>
      <c r="AB64" s="43" t="str" cm="1">
        <f t="array" aca="1" ref="AB64" ca="1">IFERROR(INDIRECT("'"&amp;$A64&amp;"'!U8")," ")</f>
        <v xml:space="preserve"> </v>
      </c>
      <c r="AC64" s="43" t="str" cm="1">
        <f t="array" aca="1" ref="AC64" ca="1">IFERROR(INDIRECT("'"&amp;$A64&amp;"'!s9")," ")</f>
        <v xml:space="preserve"> </v>
      </c>
      <c r="AD64" s="7" t="str" cm="1">
        <f t="array" aca="1" ref="AD64" ca="1">IFERROR(INDIRECT("'"&amp;$A64&amp;"'!F6")," ")</f>
        <v xml:space="preserve"> </v>
      </c>
      <c r="AE64" s="118" t="str" cm="1">
        <f t="array" aca="1" ref="AE64" ca="1">IFERROR(INDIRECT("'"&amp;$A64&amp;"'!L4")," ")</f>
        <v xml:space="preserve"> </v>
      </c>
    </row>
    <row r="65" spans="2:31" ht="15" customHeight="1" x14ac:dyDescent="0.3">
      <c r="B65" s="8" t="str" cm="1">
        <f t="array" aca="1" ref="B65" ca="1">IFERROR(INDIRECT("'"&amp;$A65&amp;"'!A2"),"")</f>
        <v/>
      </c>
      <c r="C65" s="8" t="str" cm="1">
        <f t="array" aca="1" ref="C65" ca="1">IFERROR(INDIRECT("'"&amp;$A65&amp;"'!B5"),"")</f>
        <v/>
      </c>
      <c r="D65" s="9" t="str" cm="1">
        <f t="array" aca="1" ref="D65" ca="1">IFERROR(INDIRECT("'"&amp;$A65&amp;"'!B4"),"")</f>
        <v/>
      </c>
      <c r="E65" s="9" t="str" cm="1">
        <f t="array" aca="1" ref="E65" ca="1">IFERROR(INDIRECT("'"&amp;$A65&amp;"'!B7")," ")</f>
        <v xml:space="preserve"> </v>
      </c>
      <c r="F65" s="122" t="str" cm="1">
        <f t="array" aca="1" ref="F65" ca="1">IFERROR(INDIRECT("'"&amp;$A65&amp;"'!D9")," ")</f>
        <v xml:space="preserve"> </v>
      </c>
      <c r="G65" s="52" t="str" cm="1">
        <f t="array" aca="1" ref="G65" ca="1">IFERROR(INDIRECT("'"&amp;$A65&amp;"'!B9")," ")</f>
        <v xml:space="preserve"> </v>
      </c>
      <c r="H65" s="144" t="str" cm="1">
        <f t="array" aca="1" ref="H65" ca="1">IFERROR(INDIRECT("'"&amp;$A65&amp;"'!D4")," ")</f>
        <v xml:space="preserve"> </v>
      </c>
      <c r="I65" s="5" t="str" cm="1">
        <f t="array" aca="1" ref="I65" ca="1">IFERROR(INDIRECT("'"&amp;$A65&amp;"'!D7")," ")</f>
        <v xml:space="preserve"> </v>
      </c>
      <c r="J65" s="5" t="str" cm="1">
        <f t="array" aca="1" ref="J65" ca="1">IFERROR(INDIRECT("'"&amp;$A65&amp;"'!D8")," ")</f>
        <v xml:space="preserve"> </v>
      </c>
      <c r="K65" s="5" t="str" cm="1">
        <f t="array" aca="1" ref="K65" ca="1">IFERROR(INDIRECT("'"&amp;$A65&amp;"'!D5")," ")</f>
        <v xml:space="preserve"> </v>
      </c>
      <c r="L65" s="54" t="str" cm="1">
        <f t="array" aca="1" ref="L65" ca="1">IFERROR(INDIRECT("'"&amp;$A65&amp;"'!Q10")," ")</f>
        <v xml:space="preserve"> </v>
      </c>
      <c r="M65" s="43" t="str" cm="1">
        <f t="array" aca="1" ref="M65" ca="1">IFERROR(INDIRECT("'"&amp;$A65&amp;"'!Q5")," ")</f>
        <v xml:space="preserve"> </v>
      </c>
      <c r="N65" s="43" t="str" cm="1">
        <f t="array" aca="1" ref="N65" ca="1">IFERROR(INDIRECT("'"&amp;$A65&amp;"'!Q6")," ")</f>
        <v xml:space="preserve"> </v>
      </c>
      <c r="O65" s="43" t="str" cm="1">
        <f t="array" aca="1" ref="O65" ca="1">IFERROR(INDIRECT("'"&amp;$A65&amp;"'!Q7")," ")</f>
        <v xml:space="preserve"> </v>
      </c>
      <c r="P65" s="43" t="str" cm="1">
        <f t="array" aca="1" ref="P65" ca="1">IFERROR(INDIRECT("'"&amp;$A65&amp;"'!S5")," ")</f>
        <v xml:space="preserve"> </v>
      </c>
      <c r="Q65" s="43" t="str" cm="1">
        <f t="array" aca="1" ref="Q65" ca="1">IFERROR(INDIRECT("'"&amp;$A65&amp;"'!S6")," ")</f>
        <v xml:space="preserve"> </v>
      </c>
      <c r="R65" s="43" t="str" cm="1">
        <f t="array" aca="1" ref="R65" ca="1">IFERROR(INDIRECT("'"&amp;$A65&amp;"'!S7")," ")</f>
        <v xml:space="preserve"> </v>
      </c>
      <c r="S65" s="43" t="str" cm="1">
        <f t="array" aca="1" ref="S65" ca="1">IFERROR(INDIRECT("'"&amp;$A65&amp;"'!S8")," ")</f>
        <v xml:space="preserve"> </v>
      </c>
      <c r="T65" s="43" t="str" cm="1">
        <f t="array" aca="1" ref="T65" ca="1">IFERROR(INDIRECT("'"&amp;$A65&amp;"'!S9")," ")</f>
        <v xml:space="preserve"> </v>
      </c>
      <c r="U65" s="43" t="str" cm="1">
        <f t="array" aca="1" ref="U65" ca="1">IFERROR(INDIRECT("'"&amp;$A65&amp;"'!S10")," ")</f>
        <v xml:space="preserve"> </v>
      </c>
      <c r="V65" s="43" t="str" cm="1">
        <f t="array" aca="1" ref="V65" ca="1">IFERROR(INDIRECT("'"&amp;$A65&amp;"'!S11")," ")</f>
        <v xml:space="preserve"> </v>
      </c>
      <c r="W65" s="43" t="str" cm="1">
        <f t="array" aca="1" ref="W65" ca="1">IFERROR(INDIRECT("'"&amp;$A65&amp;"'!W5")," ")</f>
        <v xml:space="preserve"> </v>
      </c>
      <c r="X65" s="43" t="str" cm="1">
        <f t="array" aca="1" ref="X65" ca="1">IFERROR(INDIRECT("'"&amp;$A65&amp;"'!s8")," ")</f>
        <v xml:space="preserve"> </v>
      </c>
      <c r="Y65" s="43" t="str" cm="1">
        <f t="array" aca="1" ref="Y65" ca="1">IFERROR(INDIRECT("'"&amp;$A65&amp;"'!U5")," ")</f>
        <v xml:space="preserve"> </v>
      </c>
      <c r="Z65" s="43" t="str" cm="1">
        <f t="array" aca="1" ref="Z65" ca="1">IFERROR(INDIRECT("'"&amp;$A65&amp;"'!U6")," ")</f>
        <v xml:space="preserve"> </v>
      </c>
      <c r="AA65" s="43" t="str" cm="1">
        <f t="array" aca="1" ref="AA65" ca="1">IFERROR(INDIRECT("'"&amp;$A65&amp;"'!U7")," ")</f>
        <v xml:space="preserve"> </v>
      </c>
      <c r="AB65" s="43" t="str" cm="1">
        <f t="array" aca="1" ref="AB65" ca="1">IFERROR(INDIRECT("'"&amp;$A65&amp;"'!U8")," ")</f>
        <v xml:space="preserve"> </v>
      </c>
      <c r="AC65" s="43" t="str" cm="1">
        <f t="array" aca="1" ref="AC65" ca="1">IFERROR(INDIRECT("'"&amp;$A65&amp;"'!s9")," ")</f>
        <v xml:space="preserve"> </v>
      </c>
      <c r="AD65" s="7" t="str" cm="1">
        <f t="array" aca="1" ref="AD65" ca="1">IFERROR(INDIRECT("'"&amp;$A65&amp;"'!F6")," ")</f>
        <v xml:space="preserve"> </v>
      </c>
      <c r="AE65" s="118" t="str" cm="1">
        <f t="array" aca="1" ref="AE65" ca="1">IFERROR(INDIRECT("'"&amp;$A65&amp;"'!L4")," ")</f>
        <v xml:space="preserve"> </v>
      </c>
    </row>
    <row r="66" spans="2:31" ht="15" customHeight="1" x14ac:dyDescent="0.3">
      <c r="B66" s="8" t="str" cm="1">
        <f t="array" aca="1" ref="B66" ca="1">IFERROR(INDIRECT("'"&amp;$A66&amp;"'!A2"),"")</f>
        <v/>
      </c>
      <c r="C66" s="8" t="str" cm="1">
        <f t="array" aca="1" ref="C66" ca="1">IFERROR(INDIRECT("'"&amp;$A66&amp;"'!B5"),"")</f>
        <v/>
      </c>
      <c r="D66" s="9" t="str" cm="1">
        <f t="array" aca="1" ref="D66" ca="1">IFERROR(INDIRECT("'"&amp;$A66&amp;"'!B4"),"")</f>
        <v/>
      </c>
      <c r="E66" s="9" t="str" cm="1">
        <f t="array" aca="1" ref="E66" ca="1">IFERROR(INDIRECT("'"&amp;$A66&amp;"'!B7")," ")</f>
        <v xml:space="preserve"> </v>
      </c>
      <c r="F66" s="122" t="str" cm="1">
        <f t="array" aca="1" ref="F66" ca="1">IFERROR(INDIRECT("'"&amp;$A66&amp;"'!D9")," ")</f>
        <v xml:space="preserve"> </v>
      </c>
      <c r="G66" s="52" t="str" cm="1">
        <f t="array" aca="1" ref="G66" ca="1">IFERROR(INDIRECT("'"&amp;$A66&amp;"'!B9")," ")</f>
        <v xml:space="preserve"> </v>
      </c>
      <c r="H66" s="144" t="str" cm="1">
        <f t="array" aca="1" ref="H66" ca="1">IFERROR(INDIRECT("'"&amp;$A66&amp;"'!D4")," ")</f>
        <v xml:space="preserve"> </v>
      </c>
      <c r="I66" s="5" t="str" cm="1">
        <f t="array" aca="1" ref="I66" ca="1">IFERROR(INDIRECT("'"&amp;$A66&amp;"'!D7")," ")</f>
        <v xml:space="preserve"> </v>
      </c>
      <c r="J66" s="5" t="str" cm="1">
        <f t="array" aca="1" ref="J66" ca="1">IFERROR(INDIRECT("'"&amp;$A66&amp;"'!D8")," ")</f>
        <v xml:space="preserve"> </v>
      </c>
      <c r="K66" s="5" t="str" cm="1">
        <f t="array" aca="1" ref="K66" ca="1">IFERROR(INDIRECT("'"&amp;$A66&amp;"'!D5")," ")</f>
        <v xml:space="preserve"> </v>
      </c>
      <c r="L66" s="54" t="str" cm="1">
        <f t="array" aca="1" ref="L66" ca="1">IFERROR(INDIRECT("'"&amp;$A66&amp;"'!Q10")," ")</f>
        <v xml:space="preserve"> </v>
      </c>
      <c r="M66" s="43" t="str" cm="1">
        <f t="array" aca="1" ref="M66" ca="1">IFERROR(INDIRECT("'"&amp;$A66&amp;"'!Q5")," ")</f>
        <v xml:space="preserve"> </v>
      </c>
      <c r="N66" s="43" t="str" cm="1">
        <f t="array" aca="1" ref="N66" ca="1">IFERROR(INDIRECT("'"&amp;$A66&amp;"'!Q6")," ")</f>
        <v xml:space="preserve"> </v>
      </c>
      <c r="O66" s="43" t="str" cm="1">
        <f t="array" aca="1" ref="O66" ca="1">IFERROR(INDIRECT("'"&amp;$A66&amp;"'!Q7")," ")</f>
        <v xml:space="preserve"> </v>
      </c>
      <c r="P66" s="43" t="str" cm="1">
        <f t="array" aca="1" ref="P66" ca="1">IFERROR(INDIRECT("'"&amp;$A66&amp;"'!S5")," ")</f>
        <v xml:space="preserve"> </v>
      </c>
      <c r="Q66" s="43" t="str" cm="1">
        <f t="array" aca="1" ref="Q66" ca="1">IFERROR(INDIRECT("'"&amp;$A66&amp;"'!S6")," ")</f>
        <v xml:space="preserve"> </v>
      </c>
      <c r="R66" s="43" t="str" cm="1">
        <f t="array" aca="1" ref="R66" ca="1">IFERROR(INDIRECT("'"&amp;$A66&amp;"'!S7")," ")</f>
        <v xml:space="preserve"> </v>
      </c>
      <c r="S66" s="43" t="str" cm="1">
        <f t="array" aca="1" ref="S66" ca="1">IFERROR(INDIRECT("'"&amp;$A66&amp;"'!S8")," ")</f>
        <v xml:space="preserve"> </v>
      </c>
      <c r="T66" s="43" t="str" cm="1">
        <f t="array" aca="1" ref="T66" ca="1">IFERROR(INDIRECT("'"&amp;$A66&amp;"'!S9")," ")</f>
        <v xml:space="preserve"> </v>
      </c>
      <c r="U66" s="43" t="str" cm="1">
        <f t="array" aca="1" ref="U66" ca="1">IFERROR(INDIRECT("'"&amp;$A66&amp;"'!S10")," ")</f>
        <v xml:space="preserve"> </v>
      </c>
      <c r="V66" s="43" t="str" cm="1">
        <f t="array" aca="1" ref="V66" ca="1">IFERROR(INDIRECT("'"&amp;$A66&amp;"'!S11")," ")</f>
        <v xml:space="preserve"> </v>
      </c>
      <c r="W66" s="43" t="str" cm="1">
        <f t="array" aca="1" ref="W66" ca="1">IFERROR(INDIRECT("'"&amp;$A66&amp;"'!W5")," ")</f>
        <v xml:space="preserve"> </v>
      </c>
      <c r="X66" s="43" t="str" cm="1">
        <f t="array" aca="1" ref="X66" ca="1">IFERROR(INDIRECT("'"&amp;$A66&amp;"'!s8")," ")</f>
        <v xml:space="preserve"> </v>
      </c>
      <c r="Y66" s="43" t="str" cm="1">
        <f t="array" aca="1" ref="Y66" ca="1">IFERROR(INDIRECT("'"&amp;$A66&amp;"'!U5")," ")</f>
        <v xml:space="preserve"> </v>
      </c>
      <c r="Z66" s="43" t="str" cm="1">
        <f t="array" aca="1" ref="Z66" ca="1">IFERROR(INDIRECT("'"&amp;$A66&amp;"'!U6")," ")</f>
        <v xml:space="preserve"> </v>
      </c>
      <c r="AA66" s="43" t="str" cm="1">
        <f t="array" aca="1" ref="AA66" ca="1">IFERROR(INDIRECT("'"&amp;$A66&amp;"'!U7")," ")</f>
        <v xml:space="preserve"> </v>
      </c>
      <c r="AB66" s="43" t="str" cm="1">
        <f t="array" aca="1" ref="AB66" ca="1">IFERROR(INDIRECT("'"&amp;$A66&amp;"'!U8")," ")</f>
        <v xml:space="preserve"> </v>
      </c>
      <c r="AC66" s="43" t="str" cm="1">
        <f t="array" aca="1" ref="AC66" ca="1">IFERROR(INDIRECT("'"&amp;$A66&amp;"'!s9")," ")</f>
        <v xml:space="preserve"> </v>
      </c>
      <c r="AD66" s="7" t="str" cm="1">
        <f t="array" aca="1" ref="AD66" ca="1">IFERROR(INDIRECT("'"&amp;$A66&amp;"'!F6")," ")</f>
        <v xml:space="preserve"> </v>
      </c>
      <c r="AE66" s="118" t="str" cm="1">
        <f t="array" aca="1" ref="AE66" ca="1">IFERROR(INDIRECT("'"&amp;$A66&amp;"'!L4")," ")</f>
        <v xml:space="preserve"> </v>
      </c>
    </row>
    <row r="67" spans="2:31" ht="15" customHeight="1" x14ac:dyDescent="0.3">
      <c r="B67" s="8" t="str" cm="1">
        <f t="array" aca="1" ref="B67" ca="1">IFERROR(INDIRECT("'"&amp;$A67&amp;"'!A2"),"")</f>
        <v/>
      </c>
      <c r="C67" s="8" t="str" cm="1">
        <f t="array" aca="1" ref="C67" ca="1">IFERROR(INDIRECT("'"&amp;$A67&amp;"'!B5"),"")</f>
        <v/>
      </c>
      <c r="D67" s="9" t="str" cm="1">
        <f t="array" aca="1" ref="D67" ca="1">IFERROR(INDIRECT("'"&amp;$A67&amp;"'!B4"),"")</f>
        <v/>
      </c>
      <c r="E67" s="9" t="str" cm="1">
        <f t="array" aca="1" ref="E67" ca="1">IFERROR(INDIRECT("'"&amp;$A67&amp;"'!B7")," ")</f>
        <v xml:space="preserve"> </v>
      </c>
      <c r="F67" s="122" t="str" cm="1">
        <f t="array" aca="1" ref="F67" ca="1">IFERROR(INDIRECT("'"&amp;$A67&amp;"'!D9")," ")</f>
        <v xml:space="preserve"> </v>
      </c>
      <c r="G67" s="52" t="str" cm="1">
        <f t="array" aca="1" ref="G67" ca="1">IFERROR(INDIRECT("'"&amp;$A67&amp;"'!B9")," ")</f>
        <v xml:space="preserve"> </v>
      </c>
      <c r="H67" s="144" t="str" cm="1">
        <f t="array" aca="1" ref="H67" ca="1">IFERROR(INDIRECT("'"&amp;$A67&amp;"'!D4")," ")</f>
        <v xml:space="preserve"> </v>
      </c>
      <c r="I67" s="5" t="str" cm="1">
        <f t="array" aca="1" ref="I67" ca="1">IFERROR(INDIRECT("'"&amp;$A67&amp;"'!D7")," ")</f>
        <v xml:space="preserve"> </v>
      </c>
      <c r="J67" s="5" t="str" cm="1">
        <f t="array" aca="1" ref="J67" ca="1">IFERROR(INDIRECT("'"&amp;$A67&amp;"'!D8")," ")</f>
        <v xml:space="preserve"> </v>
      </c>
      <c r="K67" s="5" t="str" cm="1">
        <f t="array" aca="1" ref="K67" ca="1">IFERROR(INDIRECT("'"&amp;$A67&amp;"'!D5")," ")</f>
        <v xml:space="preserve"> </v>
      </c>
      <c r="L67" s="54" t="str" cm="1">
        <f t="array" aca="1" ref="L67" ca="1">IFERROR(INDIRECT("'"&amp;$A67&amp;"'!Q10")," ")</f>
        <v xml:space="preserve"> </v>
      </c>
      <c r="M67" s="43" t="str" cm="1">
        <f t="array" aca="1" ref="M67" ca="1">IFERROR(INDIRECT("'"&amp;$A67&amp;"'!Q5")," ")</f>
        <v xml:space="preserve"> </v>
      </c>
      <c r="N67" s="43" t="str" cm="1">
        <f t="array" aca="1" ref="N67" ca="1">IFERROR(INDIRECT("'"&amp;$A67&amp;"'!Q6")," ")</f>
        <v xml:space="preserve"> </v>
      </c>
      <c r="O67" s="43" t="str" cm="1">
        <f t="array" aca="1" ref="O67" ca="1">IFERROR(INDIRECT("'"&amp;$A67&amp;"'!Q7")," ")</f>
        <v xml:space="preserve"> </v>
      </c>
      <c r="P67" s="43" t="str" cm="1">
        <f t="array" aca="1" ref="P67" ca="1">IFERROR(INDIRECT("'"&amp;$A67&amp;"'!S5")," ")</f>
        <v xml:space="preserve"> </v>
      </c>
      <c r="Q67" s="43" t="str" cm="1">
        <f t="array" aca="1" ref="Q67" ca="1">IFERROR(INDIRECT("'"&amp;$A67&amp;"'!S6")," ")</f>
        <v xml:space="preserve"> </v>
      </c>
      <c r="R67" s="43" t="str" cm="1">
        <f t="array" aca="1" ref="R67" ca="1">IFERROR(INDIRECT("'"&amp;$A67&amp;"'!S7")," ")</f>
        <v xml:space="preserve"> </v>
      </c>
      <c r="S67" s="43" t="str" cm="1">
        <f t="array" aca="1" ref="S67" ca="1">IFERROR(INDIRECT("'"&amp;$A67&amp;"'!S8")," ")</f>
        <v xml:space="preserve"> </v>
      </c>
      <c r="T67" s="43" t="str" cm="1">
        <f t="array" aca="1" ref="T67" ca="1">IFERROR(INDIRECT("'"&amp;$A67&amp;"'!S9")," ")</f>
        <v xml:space="preserve"> </v>
      </c>
      <c r="U67" s="43" t="str" cm="1">
        <f t="array" aca="1" ref="U67" ca="1">IFERROR(INDIRECT("'"&amp;$A67&amp;"'!S10")," ")</f>
        <v xml:space="preserve"> </v>
      </c>
      <c r="V67" s="43" t="str" cm="1">
        <f t="array" aca="1" ref="V67" ca="1">IFERROR(INDIRECT("'"&amp;$A67&amp;"'!S11")," ")</f>
        <v xml:space="preserve"> </v>
      </c>
      <c r="W67" s="43" t="str" cm="1">
        <f t="array" aca="1" ref="W67" ca="1">IFERROR(INDIRECT("'"&amp;$A67&amp;"'!W5")," ")</f>
        <v xml:space="preserve"> </v>
      </c>
      <c r="X67" s="43" t="str" cm="1">
        <f t="array" aca="1" ref="X67" ca="1">IFERROR(INDIRECT("'"&amp;$A67&amp;"'!s8")," ")</f>
        <v xml:space="preserve"> </v>
      </c>
      <c r="Y67" s="43" t="str" cm="1">
        <f t="array" aca="1" ref="Y67" ca="1">IFERROR(INDIRECT("'"&amp;$A67&amp;"'!U5")," ")</f>
        <v xml:space="preserve"> </v>
      </c>
      <c r="Z67" s="43" t="str" cm="1">
        <f t="array" aca="1" ref="Z67" ca="1">IFERROR(INDIRECT("'"&amp;$A67&amp;"'!U6")," ")</f>
        <v xml:space="preserve"> </v>
      </c>
      <c r="AA67" s="43" t="str" cm="1">
        <f t="array" aca="1" ref="AA67" ca="1">IFERROR(INDIRECT("'"&amp;$A67&amp;"'!U7")," ")</f>
        <v xml:space="preserve"> </v>
      </c>
      <c r="AB67" s="43" t="str" cm="1">
        <f t="array" aca="1" ref="AB67" ca="1">IFERROR(INDIRECT("'"&amp;$A67&amp;"'!U8")," ")</f>
        <v xml:space="preserve"> </v>
      </c>
      <c r="AC67" s="43" t="str" cm="1">
        <f t="array" aca="1" ref="AC67" ca="1">IFERROR(INDIRECT("'"&amp;$A67&amp;"'!s9")," ")</f>
        <v xml:space="preserve"> </v>
      </c>
      <c r="AD67" s="7" t="str" cm="1">
        <f t="array" aca="1" ref="AD67" ca="1">IFERROR(INDIRECT("'"&amp;$A67&amp;"'!F6")," ")</f>
        <v xml:space="preserve"> </v>
      </c>
      <c r="AE67" s="118" t="str" cm="1">
        <f t="array" aca="1" ref="AE67" ca="1">IFERROR(INDIRECT("'"&amp;$A67&amp;"'!L4")," ")</f>
        <v xml:space="preserve"> </v>
      </c>
    </row>
    <row r="68" spans="2:31" ht="15" customHeight="1" x14ac:dyDescent="0.3">
      <c r="B68" s="8" t="str" cm="1">
        <f t="array" aca="1" ref="B68" ca="1">IFERROR(INDIRECT("'"&amp;$A68&amp;"'!A2"),"")</f>
        <v/>
      </c>
      <c r="C68" s="8" t="str" cm="1">
        <f t="array" aca="1" ref="C68" ca="1">IFERROR(INDIRECT("'"&amp;$A68&amp;"'!B5"),"")</f>
        <v/>
      </c>
      <c r="D68" s="9" t="str" cm="1">
        <f t="array" aca="1" ref="D68" ca="1">IFERROR(INDIRECT("'"&amp;$A68&amp;"'!B4"),"")</f>
        <v/>
      </c>
      <c r="E68" s="9" t="str" cm="1">
        <f t="array" aca="1" ref="E68" ca="1">IFERROR(INDIRECT("'"&amp;$A68&amp;"'!B7")," ")</f>
        <v xml:space="preserve"> </v>
      </c>
      <c r="F68" s="122" t="str" cm="1">
        <f t="array" aca="1" ref="F68" ca="1">IFERROR(INDIRECT("'"&amp;$A68&amp;"'!D9")," ")</f>
        <v xml:space="preserve"> </v>
      </c>
      <c r="G68" s="52" t="str" cm="1">
        <f t="array" aca="1" ref="G68" ca="1">IFERROR(INDIRECT("'"&amp;$A68&amp;"'!B9")," ")</f>
        <v xml:space="preserve"> </v>
      </c>
      <c r="H68" s="144" t="str" cm="1">
        <f t="array" aca="1" ref="H68" ca="1">IFERROR(INDIRECT("'"&amp;$A68&amp;"'!D4")," ")</f>
        <v xml:space="preserve"> </v>
      </c>
      <c r="I68" s="5" t="str" cm="1">
        <f t="array" aca="1" ref="I68" ca="1">IFERROR(INDIRECT("'"&amp;$A68&amp;"'!D7")," ")</f>
        <v xml:space="preserve"> </v>
      </c>
      <c r="J68" s="5" t="str" cm="1">
        <f t="array" aca="1" ref="J68" ca="1">IFERROR(INDIRECT("'"&amp;$A68&amp;"'!D8")," ")</f>
        <v xml:space="preserve"> </v>
      </c>
      <c r="K68" s="5" t="str" cm="1">
        <f t="array" aca="1" ref="K68" ca="1">IFERROR(INDIRECT("'"&amp;$A68&amp;"'!D5")," ")</f>
        <v xml:space="preserve"> </v>
      </c>
      <c r="L68" s="54" t="str" cm="1">
        <f t="array" aca="1" ref="L68" ca="1">IFERROR(INDIRECT("'"&amp;$A68&amp;"'!Q10")," ")</f>
        <v xml:space="preserve"> </v>
      </c>
      <c r="M68" s="43" t="str" cm="1">
        <f t="array" aca="1" ref="M68" ca="1">IFERROR(INDIRECT("'"&amp;$A68&amp;"'!Q5")," ")</f>
        <v xml:space="preserve"> </v>
      </c>
      <c r="N68" s="43" t="str" cm="1">
        <f t="array" aca="1" ref="N68" ca="1">IFERROR(INDIRECT("'"&amp;$A68&amp;"'!Q6")," ")</f>
        <v xml:space="preserve"> </v>
      </c>
      <c r="O68" s="43" t="str" cm="1">
        <f t="array" aca="1" ref="O68" ca="1">IFERROR(INDIRECT("'"&amp;$A68&amp;"'!Q7")," ")</f>
        <v xml:space="preserve"> </v>
      </c>
      <c r="P68" s="43" t="str" cm="1">
        <f t="array" aca="1" ref="P68" ca="1">IFERROR(INDIRECT("'"&amp;$A68&amp;"'!S5")," ")</f>
        <v xml:space="preserve"> </v>
      </c>
      <c r="Q68" s="43" t="str" cm="1">
        <f t="array" aca="1" ref="Q68" ca="1">IFERROR(INDIRECT("'"&amp;$A68&amp;"'!S6")," ")</f>
        <v xml:space="preserve"> </v>
      </c>
      <c r="R68" s="43" t="str" cm="1">
        <f t="array" aca="1" ref="R68" ca="1">IFERROR(INDIRECT("'"&amp;$A68&amp;"'!S7")," ")</f>
        <v xml:space="preserve"> </v>
      </c>
      <c r="S68" s="43" t="str" cm="1">
        <f t="array" aca="1" ref="S68" ca="1">IFERROR(INDIRECT("'"&amp;$A68&amp;"'!S8")," ")</f>
        <v xml:space="preserve"> </v>
      </c>
      <c r="T68" s="43" t="str" cm="1">
        <f t="array" aca="1" ref="T68" ca="1">IFERROR(INDIRECT("'"&amp;$A68&amp;"'!S9")," ")</f>
        <v xml:space="preserve"> </v>
      </c>
      <c r="U68" s="43" t="str" cm="1">
        <f t="array" aca="1" ref="U68" ca="1">IFERROR(INDIRECT("'"&amp;$A68&amp;"'!S10")," ")</f>
        <v xml:space="preserve"> </v>
      </c>
      <c r="V68" s="43" t="str" cm="1">
        <f t="array" aca="1" ref="V68" ca="1">IFERROR(INDIRECT("'"&amp;$A68&amp;"'!S11")," ")</f>
        <v xml:space="preserve"> </v>
      </c>
      <c r="W68" s="43" t="str" cm="1">
        <f t="array" aca="1" ref="W68" ca="1">IFERROR(INDIRECT("'"&amp;$A68&amp;"'!W5")," ")</f>
        <v xml:space="preserve"> </v>
      </c>
      <c r="X68" s="43" t="str" cm="1">
        <f t="array" aca="1" ref="X68" ca="1">IFERROR(INDIRECT("'"&amp;$A68&amp;"'!s8")," ")</f>
        <v xml:space="preserve"> </v>
      </c>
      <c r="Y68" s="43" t="str" cm="1">
        <f t="array" aca="1" ref="Y68" ca="1">IFERROR(INDIRECT("'"&amp;$A68&amp;"'!U5")," ")</f>
        <v xml:space="preserve"> </v>
      </c>
      <c r="Z68" s="43" t="str" cm="1">
        <f t="array" aca="1" ref="Z68" ca="1">IFERROR(INDIRECT("'"&amp;$A68&amp;"'!U6")," ")</f>
        <v xml:space="preserve"> </v>
      </c>
      <c r="AA68" s="43" t="str" cm="1">
        <f t="array" aca="1" ref="AA68" ca="1">IFERROR(INDIRECT("'"&amp;$A68&amp;"'!U7")," ")</f>
        <v xml:space="preserve"> </v>
      </c>
      <c r="AB68" s="43" t="str" cm="1">
        <f t="array" aca="1" ref="AB68" ca="1">IFERROR(INDIRECT("'"&amp;$A68&amp;"'!U8")," ")</f>
        <v xml:space="preserve"> </v>
      </c>
      <c r="AC68" s="43" t="str" cm="1">
        <f t="array" aca="1" ref="AC68" ca="1">IFERROR(INDIRECT("'"&amp;$A68&amp;"'!s9")," ")</f>
        <v xml:space="preserve"> </v>
      </c>
      <c r="AD68" s="7" t="str" cm="1">
        <f t="array" aca="1" ref="AD68" ca="1">IFERROR(INDIRECT("'"&amp;$A68&amp;"'!F6")," ")</f>
        <v xml:space="preserve"> </v>
      </c>
      <c r="AE68" s="118" t="str" cm="1">
        <f t="array" aca="1" ref="AE68" ca="1">IFERROR(INDIRECT("'"&amp;$A68&amp;"'!L4")," ")</f>
        <v xml:space="preserve"> </v>
      </c>
    </row>
    <row r="69" spans="2:31" ht="15" customHeight="1" x14ac:dyDescent="0.3">
      <c r="B69" s="8" t="str" cm="1">
        <f t="array" aca="1" ref="B69" ca="1">IFERROR(INDIRECT("'"&amp;$A69&amp;"'!A2"),"")</f>
        <v/>
      </c>
      <c r="C69" s="8" t="str" cm="1">
        <f t="array" aca="1" ref="C69" ca="1">IFERROR(INDIRECT("'"&amp;$A69&amp;"'!B5"),"")</f>
        <v/>
      </c>
      <c r="D69" s="9" t="str" cm="1">
        <f t="array" aca="1" ref="D69" ca="1">IFERROR(INDIRECT("'"&amp;$A69&amp;"'!B4"),"")</f>
        <v/>
      </c>
      <c r="E69" s="9" t="str" cm="1">
        <f t="array" aca="1" ref="E69" ca="1">IFERROR(INDIRECT("'"&amp;$A69&amp;"'!B7")," ")</f>
        <v xml:space="preserve"> </v>
      </c>
      <c r="F69" s="122" t="str" cm="1">
        <f t="array" aca="1" ref="F69" ca="1">IFERROR(INDIRECT("'"&amp;$A69&amp;"'!D9")," ")</f>
        <v xml:space="preserve"> </v>
      </c>
      <c r="G69" s="52" t="str" cm="1">
        <f t="array" aca="1" ref="G69" ca="1">IFERROR(INDIRECT("'"&amp;$A69&amp;"'!B9")," ")</f>
        <v xml:space="preserve"> </v>
      </c>
      <c r="H69" s="144" t="str" cm="1">
        <f t="array" aca="1" ref="H69" ca="1">IFERROR(INDIRECT("'"&amp;$A69&amp;"'!D4")," ")</f>
        <v xml:space="preserve"> </v>
      </c>
      <c r="I69" s="5" t="str" cm="1">
        <f t="array" aca="1" ref="I69" ca="1">IFERROR(INDIRECT("'"&amp;$A69&amp;"'!D7")," ")</f>
        <v xml:space="preserve"> </v>
      </c>
      <c r="J69" s="5" t="str" cm="1">
        <f t="array" aca="1" ref="J69" ca="1">IFERROR(INDIRECT("'"&amp;$A69&amp;"'!D8")," ")</f>
        <v xml:space="preserve"> </v>
      </c>
      <c r="K69" s="5" t="str" cm="1">
        <f t="array" aca="1" ref="K69" ca="1">IFERROR(INDIRECT("'"&amp;$A69&amp;"'!D5")," ")</f>
        <v xml:space="preserve"> </v>
      </c>
      <c r="L69" s="54" t="str" cm="1">
        <f t="array" aca="1" ref="L69" ca="1">IFERROR(INDIRECT("'"&amp;$A69&amp;"'!Q10")," ")</f>
        <v xml:space="preserve"> </v>
      </c>
      <c r="M69" s="43" t="str" cm="1">
        <f t="array" aca="1" ref="M69" ca="1">IFERROR(INDIRECT("'"&amp;$A69&amp;"'!Q5")," ")</f>
        <v xml:space="preserve"> </v>
      </c>
      <c r="N69" s="43" t="str" cm="1">
        <f t="array" aca="1" ref="N69" ca="1">IFERROR(INDIRECT("'"&amp;$A69&amp;"'!Q6")," ")</f>
        <v xml:space="preserve"> </v>
      </c>
      <c r="O69" s="43" t="str" cm="1">
        <f t="array" aca="1" ref="O69" ca="1">IFERROR(INDIRECT("'"&amp;$A69&amp;"'!Q7")," ")</f>
        <v xml:space="preserve"> </v>
      </c>
      <c r="P69" s="43" t="str" cm="1">
        <f t="array" aca="1" ref="P69" ca="1">IFERROR(INDIRECT("'"&amp;$A69&amp;"'!S5")," ")</f>
        <v xml:space="preserve"> </v>
      </c>
      <c r="Q69" s="43" t="str" cm="1">
        <f t="array" aca="1" ref="Q69" ca="1">IFERROR(INDIRECT("'"&amp;$A69&amp;"'!S6")," ")</f>
        <v xml:space="preserve"> </v>
      </c>
      <c r="R69" s="43" t="str" cm="1">
        <f t="array" aca="1" ref="R69" ca="1">IFERROR(INDIRECT("'"&amp;$A69&amp;"'!S7")," ")</f>
        <v xml:space="preserve"> </v>
      </c>
      <c r="S69" s="43" t="str" cm="1">
        <f t="array" aca="1" ref="S69" ca="1">IFERROR(INDIRECT("'"&amp;$A69&amp;"'!S8")," ")</f>
        <v xml:space="preserve"> </v>
      </c>
      <c r="T69" s="43" t="str" cm="1">
        <f t="array" aca="1" ref="T69" ca="1">IFERROR(INDIRECT("'"&amp;$A69&amp;"'!S9")," ")</f>
        <v xml:space="preserve"> </v>
      </c>
      <c r="U69" s="43" t="str" cm="1">
        <f t="array" aca="1" ref="U69" ca="1">IFERROR(INDIRECT("'"&amp;$A69&amp;"'!S10")," ")</f>
        <v xml:space="preserve"> </v>
      </c>
      <c r="V69" s="43" t="str" cm="1">
        <f t="array" aca="1" ref="V69" ca="1">IFERROR(INDIRECT("'"&amp;$A69&amp;"'!S11")," ")</f>
        <v xml:space="preserve"> </v>
      </c>
      <c r="W69" s="43" t="str" cm="1">
        <f t="array" aca="1" ref="W69" ca="1">IFERROR(INDIRECT("'"&amp;$A69&amp;"'!W5")," ")</f>
        <v xml:space="preserve"> </v>
      </c>
      <c r="X69" s="43" t="str" cm="1">
        <f t="array" aca="1" ref="X69" ca="1">IFERROR(INDIRECT("'"&amp;$A69&amp;"'!s8")," ")</f>
        <v xml:space="preserve"> </v>
      </c>
      <c r="Y69" s="43" t="str" cm="1">
        <f t="array" aca="1" ref="Y69" ca="1">IFERROR(INDIRECT("'"&amp;$A69&amp;"'!U5")," ")</f>
        <v xml:space="preserve"> </v>
      </c>
      <c r="Z69" s="43" t="str" cm="1">
        <f t="array" aca="1" ref="Z69" ca="1">IFERROR(INDIRECT("'"&amp;$A69&amp;"'!U6")," ")</f>
        <v xml:space="preserve"> </v>
      </c>
      <c r="AA69" s="43" t="str" cm="1">
        <f t="array" aca="1" ref="AA69" ca="1">IFERROR(INDIRECT("'"&amp;$A69&amp;"'!U7")," ")</f>
        <v xml:space="preserve"> </v>
      </c>
      <c r="AB69" s="43" t="str" cm="1">
        <f t="array" aca="1" ref="AB69" ca="1">IFERROR(INDIRECT("'"&amp;$A69&amp;"'!U8")," ")</f>
        <v xml:space="preserve"> </v>
      </c>
      <c r="AC69" s="43" t="str" cm="1">
        <f t="array" aca="1" ref="AC69" ca="1">IFERROR(INDIRECT("'"&amp;$A69&amp;"'!s9")," ")</f>
        <v xml:space="preserve"> </v>
      </c>
      <c r="AD69" s="7" t="str" cm="1">
        <f t="array" aca="1" ref="AD69" ca="1">IFERROR(INDIRECT("'"&amp;$A69&amp;"'!F6")," ")</f>
        <v xml:space="preserve"> </v>
      </c>
      <c r="AE69" s="118" t="str" cm="1">
        <f t="array" aca="1" ref="AE69" ca="1">IFERROR(INDIRECT("'"&amp;$A69&amp;"'!L4")," ")</f>
        <v xml:space="preserve"> </v>
      </c>
    </row>
    <row r="70" spans="2:31" ht="15" customHeight="1" x14ac:dyDescent="0.3">
      <c r="B70" s="8" t="str" cm="1">
        <f t="array" aca="1" ref="B70" ca="1">IFERROR(INDIRECT("'"&amp;$A70&amp;"'!A2"),"")</f>
        <v/>
      </c>
      <c r="C70" s="8" t="str" cm="1">
        <f t="array" aca="1" ref="C70" ca="1">IFERROR(INDIRECT("'"&amp;$A70&amp;"'!B5"),"")</f>
        <v/>
      </c>
      <c r="D70" s="9" t="str" cm="1">
        <f t="array" aca="1" ref="D70" ca="1">IFERROR(INDIRECT("'"&amp;$A70&amp;"'!B4"),"")</f>
        <v/>
      </c>
      <c r="E70" s="9" t="str" cm="1">
        <f t="array" aca="1" ref="E70" ca="1">IFERROR(INDIRECT("'"&amp;$A70&amp;"'!B7")," ")</f>
        <v xml:space="preserve"> </v>
      </c>
      <c r="F70" s="122" t="str" cm="1">
        <f t="array" aca="1" ref="F70" ca="1">IFERROR(INDIRECT("'"&amp;$A70&amp;"'!D9")," ")</f>
        <v xml:space="preserve"> </v>
      </c>
      <c r="G70" s="52" t="str" cm="1">
        <f t="array" aca="1" ref="G70" ca="1">IFERROR(INDIRECT("'"&amp;$A70&amp;"'!B9")," ")</f>
        <v xml:space="preserve"> </v>
      </c>
      <c r="H70" s="70" t="str" cm="1">
        <f t="array" aca="1" ref="H70" ca="1">IFERROR(INDIRECT("'"&amp;$A70&amp;"'!D4")," ")</f>
        <v xml:space="preserve"> </v>
      </c>
      <c r="I70" s="5" t="str" cm="1">
        <f t="array" aca="1" ref="I70" ca="1">IFERROR(INDIRECT("'"&amp;$A70&amp;"'!D7")," ")</f>
        <v xml:space="preserve"> </v>
      </c>
      <c r="J70" s="5" t="str" cm="1">
        <f t="array" aca="1" ref="J70" ca="1">IFERROR(INDIRECT("'"&amp;$A70&amp;"'!D8")," ")</f>
        <v xml:space="preserve"> </v>
      </c>
      <c r="K70" s="5" t="str" cm="1">
        <f t="array" aca="1" ref="K70" ca="1">IFERROR(INDIRECT("'"&amp;$A70&amp;"'!D5")," ")</f>
        <v xml:space="preserve"> </v>
      </c>
      <c r="L70" s="54" t="str" cm="1">
        <f t="array" aca="1" ref="L70" ca="1">IFERROR(INDIRECT("'"&amp;$A70&amp;"'!Q10")," ")</f>
        <v xml:space="preserve"> </v>
      </c>
      <c r="M70" s="43" t="str" cm="1">
        <f t="array" aca="1" ref="M70" ca="1">IFERROR(INDIRECT("'"&amp;$A70&amp;"'!Q5")," ")</f>
        <v xml:space="preserve"> </v>
      </c>
      <c r="N70" s="43" t="str" cm="1">
        <f t="array" aca="1" ref="N70" ca="1">IFERROR(INDIRECT("'"&amp;$A70&amp;"'!Q6")," ")</f>
        <v xml:space="preserve"> </v>
      </c>
      <c r="O70" s="43" t="str" cm="1">
        <f t="array" aca="1" ref="O70" ca="1">IFERROR(INDIRECT("'"&amp;$A70&amp;"'!Q7")," ")</f>
        <v xml:space="preserve"> </v>
      </c>
      <c r="P70" s="43" t="str" cm="1">
        <f t="array" aca="1" ref="P70" ca="1">IFERROR(INDIRECT("'"&amp;$A70&amp;"'!S5")," ")</f>
        <v xml:space="preserve"> </v>
      </c>
      <c r="Q70" s="43" t="str" cm="1">
        <f t="array" aca="1" ref="Q70" ca="1">IFERROR(INDIRECT("'"&amp;$A70&amp;"'!S6")," ")</f>
        <v xml:space="preserve"> </v>
      </c>
      <c r="R70" s="43" t="str" cm="1">
        <f t="array" aca="1" ref="R70" ca="1">IFERROR(INDIRECT("'"&amp;$A70&amp;"'!S7")," ")</f>
        <v xml:space="preserve"> </v>
      </c>
      <c r="S70" s="43" t="str" cm="1">
        <f t="array" aca="1" ref="S70" ca="1">IFERROR(INDIRECT("'"&amp;$A70&amp;"'!S8")," ")</f>
        <v xml:space="preserve"> </v>
      </c>
      <c r="T70" s="43" t="str" cm="1">
        <f t="array" aca="1" ref="T70" ca="1">IFERROR(INDIRECT("'"&amp;$A70&amp;"'!S9")," ")</f>
        <v xml:space="preserve"> </v>
      </c>
      <c r="U70" s="43" t="str" cm="1">
        <f t="array" aca="1" ref="U70" ca="1">IFERROR(INDIRECT("'"&amp;$A70&amp;"'!S10")," ")</f>
        <v xml:space="preserve"> </v>
      </c>
      <c r="V70" s="43" t="str" cm="1">
        <f t="array" aca="1" ref="V70" ca="1">IFERROR(INDIRECT("'"&amp;$A70&amp;"'!S11")," ")</f>
        <v xml:space="preserve"> </v>
      </c>
      <c r="W70" s="43" t="str" cm="1">
        <f t="array" aca="1" ref="W70" ca="1">IFERROR(INDIRECT("'"&amp;$A70&amp;"'!W5")," ")</f>
        <v xml:space="preserve"> </v>
      </c>
      <c r="X70" s="43" t="str" cm="1">
        <f t="array" aca="1" ref="X70" ca="1">IFERROR(INDIRECT("'"&amp;$A70&amp;"'!s8")," ")</f>
        <v xml:space="preserve"> </v>
      </c>
      <c r="Y70" s="43" t="str" cm="1">
        <f t="array" aca="1" ref="Y70" ca="1">IFERROR(INDIRECT("'"&amp;$A70&amp;"'!U5")," ")</f>
        <v xml:space="preserve"> </v>
      </c>
      <c r="Z70" s="43" t="str" cm="1">
        <f t="array" aca="1" ref="Z70" ca="1">IFERROR(INDIRECT("'"&amp;$A70&amp;"'!U6")," ")</f>
        <v xml:space="preserve"> </v>
      </c>
      <c r="AA70" s="43" t="str" cm="1">
        <f t="array" aca="1" ref="AA70" ca="1">IFERROR(INDIRECT("'"&amp;$A70&amp;"'!U7")," ")</f>
        <v xml:space="preserve"> </v>
      </c>
      <c r="AB70" s="43" t="str" cm="1">
        <f t="array" aca="1" ref="AB70" ca="1">IFERROR(INDIRECT("'"&amp;$A70&amp;"'!U8")," ")</f>
        <v xml:space="preserve"> </v>
      </c>
      <c r="AC70" s="43" t="str" cm="1">
        <f t="array" aca="1" ref="AC70" ca="1">IFERROR(INDIRECT("'"&amp;$A70&amp;"'!s9")," ")</f>
        <v xml:space="preserve"> </v>
      </c>
      <c r="AD70" s="7" t="str" cm="1">
        <f t="array" aca="1" ref="AD70" ca="1">IFERROR(INDIRECT("'"&amp;$A70&amp;"'!F6")," ")</f>
        <v xml:space="preserve"> </v>
      </c>
      <c r="AE70" s="118" t="str" cm="1">
        <f t="array" aca="1" ref="AE70" ca="1">IFERROR(INDIRECT("'"&amp;$A70&amp;"'!L4")," ")</f>
        <v xml:space="preserve"> </v>
      </c>
    </row>
    <row r="71" spans="2:31" ht="15" customHeight="1" x14ac:dyDescent="0.3">
      <c r="B71" s="8" t="str" cm="1">
        <f t="array" aca="1" ref="B71" ca="1">IFERROR(INDIRECT("'"&amp;$A71&amp;"'!A2"),"")</f>
        <v/>
      </c>
      <c r="C71" s="8" t="str" cm="1">
        <f t="array" aca="1" ref="C71" ca="1">IFERROR(INDIRECT("'"&amp;$A71&amp;"'!B5"),"")</f>
        <v/>
      </c>
      <c r="D71" s="9" t="str" cm="1">
        <f t="array" aca="1" ref="D71" ca="1">IFERROR(INDIRECT("'"&amp;$A71&amp;"'!B4"),"")</f>
        <v/>
      </c>
      <c r="E71" s="9" t="str" cm="1">
        <f t="array" aca="1" ref="E71" ca="1">IFERROR(INDIRECT("'"&amp;$A71&amp;"'!B7")," ")</f>
        <v xml:space="preserve"> </v>
      </c>
      <c r="F71" s="122" t="str" cm="1">
        <f t="array" aca="1" ref="F71" ca="1">IFERROR(INDIRECT("'"&amp;$A71&amp;"'!D9")," ")</f>
        <v xml:space="preserve"> </v>
      </c>
      <c r="G71" s="52" t="str" cm="1">
        <f t="array" aca="1" ref="G71" ca="1">IFERROR(INDIRECT("'"&amp;$A71&amp;"'!B9")," ")</f>
        <v xml:space="preserve"> </v>
      </c>
      <c r="H71" s="144" t="str" cm="1">
        <f t="array" aca="1" ref="H71" ca="1">IFERROR(INDIRECT("'"&amp;$A71&amp;"'!D4")," ")</f>
        <v xml:space="preserve"> </v>
      </c>
      <c r="I71" s="5" t="str" cm="1">
        <f t="array" aca="1" ref="I71" ca="1">IFERROR(INDIRECT("'"&amp;$A71&amp;"'!D7")," ")</f>
        <v xml:space="preserve"> </v>
      </c>
      <c r="J71" s="5" t="str" cm="1">
        <f t="array" aca="1" ref="J71" ca="1">IFERROR(INDIRECT("'"&amp;$A71&amp;"'!D8")," ")</f>
        <v xml:space="preserve"> </v>
      </c>
      <c r="K71" s="5" t="str" cm="1">
        <f t="array" aca="1" ref="K71" ca="1">IFERROR(INDIRECT("'"&amp;$A71&amp;"'!D5")," ")</f>
        <v xml:space="preserve"> </v>
      </c>
      <c r="L71" s="54" t="str" cm="1">
        <f t="array" aca="1" ref="L71" ca="1">IFERROR(INDIRECT("'"&amp;$A71&amp;"'!Q10")," ")</f>
        <v xml:space="preserve"> </v>
      </c>
      <c r="M71" s="43" t="str" cm="1">
        <f t="array" aca="1" ref="M71" ca="1">IFERROR(INDIRECT("'"&amp;$A71&amp;"'!Q5")," ")</f>
        <v xml:space="preserve"> </v>
      </c>
      <c r="N71" s="43" t="str" cm="1">
        <f t="array" aca="1" ref="N71" ca="1">IFERROR(INDIRECT("'"&amp;$A71&amp;"'!Q6")," ")</f>
        <v xml:space="preserve"> </v>
      </c>
      <c r="O71" s="43" t="str" cm="1">
        <f t="array" aca="1" ref="O71" ca="1">IFERROR(INDIRECT("'"&amp;$A71&amp;"'!Q7")," ")</f>
        <v xml:space="preserve"> </v>
      </c>
      <c r="P71" s="43" t="str" cm="1">
        <f t="array" aca="1" ref="P71" ca="1">IFERROR(INDIRECT("'"&amp;$A71&amp;"'!S5")," ")</f>
        <v xml:space="preserve"> </v>
      </c>
      <c r="Q71" s="43" t="str" cm="1">
        <f t="array" aca="1" ref="Q71" ca="1">IFERROR(INDIRECT("'"&amp;$A71&amp;"'!S6")," ")</f>
        <v xml:space="preserve"> </v>
      </c>
      <c r="R71" s="43" t="str" cm="1">
        <f t="array" aca="1" ref="R71" ca="1">IFERROR(INDIRECT("'"&amp;$A71&amp;"'!S7")," ")</f>
        <v xml:space="preserve"> </v>
      </c>
      <c r="S71" s="43" t="str" cm="1">
        <f t="array" aca="1" ref="S71" ca="1">IFERROR(INDIRECT("'"&amp;$A71&amp;"'!S8")," ")</f>
        <v xml:space="preserve"> </v>
      </c>
      <c r="T71" s="43" t="str" cm="1">
        <f t="array" aca="1" ref="T71" ca="1">IFERROR(INDIRECT("'"&amp;$A71&amp;"'!S9")," ")</f>
        <v xml:space="preserve"> </v>
      </c>
      <c r="U71" s="43" t="str" cm="1">
        <f t="array" aca="1" ref="U71" ca="1">IFERROR(INDIRECT("'"&amp;$A71&amp;"'!S10")," ")</f>
        <v xml:space="preserve"> </v>
      </c>
      <c r="V71" s="43" t="str" cm="1">
        <f t="array" aca="1" ref="V71" ca="1">IFERROR(INDIRECT("'"&amp;$A71&amp;"'!S11")," ")</f>
        <v xml:space="preserve"> </v>
      </c>
      <c r="W71" s="43" t="str" cm="1">
        <f t="array" aca="1" ref="W71" ca="1">IFERROR(INDIRECT("'"&amp;$A71&amp;"'!W5")," ")</f>
        <v xml:space="preserve"> </v>
      </c>
      <c r="X71" s="43" t="str" cm="1">
        <f t="array" aca="1" ref="X71" ca="1">IFERROR(INDIRECT("'"&amp;$A71&amp;"'!s8")," ")</f>
        <v xml:space="preserve"> </v>
      </c>
      <c r="Y71" s="43" t="str" cm="1">
        <f t="array" aca="1" ref="Y71" ca="1">IFERROR(INDIRECT("'"&amp;$A71&amp;"'!U5")," ")</f>
        <v xml:space="preserve"> </v>
      </c>
      <c r="Z71" s="43" t="str" cm="1">
        <f t="array" aca="1" ref="Z71" ca="1">IFERROR(INDIRECT("'"&amp;$A71&amp;"'!U6")," ")</f>
        <v xml:space="preserve"> </v>
      </c>
      <c r="AA71" s="43" t="str" cm="1">
        <f t="array" aca="1" ref="AA71" ca="1">IFERROR(INDIRECT("'"&amp;$A71&amp;"'!U7")," ")</f>
        <v xml:space="preserve"> </v>
      </c>
      <c r="AB71" s="43" t="str" cm="1">
        <f t="array" aca="1" ref="AB71" ca="1">IFERROR(INDIRECT("'"&amp;$A71&amp;"'!U8")," ")</f>
        <v xml:space="preserve"> </v>
      </c>
      <c r="AC71" s="43" t="str" cm="1">
        <f t="array" aca="1" ref="AC71" ca="1">IFERROR(INDIRECT("'"&amp;$A71&amp;"'!s9")," ")</f>
        <v xml:space="preserve"> </v>
      </c>
      <c r="AD71" s="7" t="str" cm="1">
        <f t="array" aca="1" ref="AD71" ca="1">IFERROR(INDIRECT("'"&amp;$A71&amp;"'!F6")," ")</f>
        <v xml:space="preserve"> </v>
      </c>
      <c r="AE71" s="118" t="str" cm="1">
        <f t="array" aca="1" ref="AE71" ca="1">IFERROR(INDIRECT("'"&amp;$A71&amp;"'!L4")," ")</f>
        <v xml:space="preserve"> </v>
      </c>
    </row>
    <row r="72" spans="2:31" ht="15" customHeight="1" x14ac:dyDescent="0.3">
      <c r="B72" s="8" t="str" cm="1">
        <f t="array" aca="1" ref="B72" ca="1">IFERROR(INDIRECT("'"&amp;$A72&amp;"'!A2"),"")</f>
        <v/>
      </c>
      <c r="C72" s="8" t="str" cm="1">
        <f t="array" aca="1" ref="C72" ca="1">IFERROR(INDIRECT("'"&amp;$A72&amp;"'!B5"),"")</f>
        <v/>
      </c>
      <c r="D72" s="9" t="str" cm="1">
        <f t="array" aca="1" ref="D72" ca="1">IFERROR(INDIRECT("'"&amp;$A72&amp;"'!B4"),"")</f>
        <v/>
      </c>
      <c r="E72" s="9" t="str" cm="1">
        <f t="array" aca="1" ref="E72" ca="1">IFERROR(INDIRECT("'"&amp;$A72&amp;"'!B7")," ")</f>
        <v xml:space="preserve"> </v>
      </c>
      <c r="F72" s="122" t="str" cm="1">
        <f t="array" aca="1" ref="F72" ca="1">IFERROR(INDIRECT("'"&amp;$A72&amp;"'!D9")," ")</f>
        <v xml:space="preserve"> </v>
      </c>
      <c r="G72" s="52" t="str" cm="1">
        <f t="array" aca="1" ref="G72" ca="1">IFERROR(INDIRECT("'"&amp;$A72&amp;"'!B9")," ")</f>
        <v xml:space="preserve"> </v>
      </c>
      <c r="H72" s="144" t="str" cm="1">
        <f t="array" aca="1" ref="H72" ca="1">IFERROR(INDIRECT("'"&amp;$A72&amp;"'!D4")," ")</f>
        <v xml:space="preserve"> </v>
      </c>
      <c r="I72" s="5" t="str" cm="1">
        <f t="array" aca="1" ref="I72" ca="1">IFERROR(INDIRECT("'"&amp;$A72&amp;"'!D7")," ")</f>
        <v xml:space="preserve"> </v>
      </c>
      <c r="J72" s="5" t="str" cm="1">
        <f t="array" aca="1" ref="J72" ca="1">IFERROR(INDIRECT("'"&amp;$A72&amp;"'!D8")," ")</f>
        <v xml:space="preserve"> </v>
      </c>
      <c r="K72" s="5" t="str" cm="1">
        <f t="array" aca="1" ref="K72" ca="1">IFERROR(INDIRECT("'"&amp;$A72&amp;"'!D5")," ")</f>
        <v xml:space="preserve"> </v>
      </c>
      <c r="L72" s="54" t="str" cm="1">
        <f t="array" aca="1" ref="L72" ca="1">IFERROR(INDIRECT("'"&amp;$A72&amp;"'!Q10")," ")</f>
        <v xml:space="preserve"> </v>
      </c>
      <c r="M72" s="43" t="str" cm="1">
        <f t="array" aca="1" ref="M72" ca="1">IFERROR(INDIRECT("'"&amp;$A72&amp;"'!Q5")," ")</f>
        <v xml:space="preserve"> </v>
      </c>
      <c r="N72" s="43" t="str" cm="1">
        <f t="array" aca="1" ref="N72" ca="1">IFERROR(INDIRECT("'"&amp;$A72&amp;"'!Q6")," ")</f>
        <v xml:space="preserve"> </v>
      </c>
      <c r="O72" s="43" t="str" cm="1">
        <f t="array" aca="1" ref="O72" ca="1">IFERROR(INDIRECT("'"&amp;$A72&amp;"'!Q7")," ")</f>
        <v xml:space="preserve"> </v>
      </c>
      <c r="P72" s="43" t="str" cm="1">
        <f t="array" aca="1" ref="P72" ca="1">IFERROR(INDIRECT("'"&amp;$A72&amp;"'!S5")," ")</f>
        <v xml:space="preserve"> </v>
      </c>
      <c r="Q72" s="43" t="str" cm="1">
        <f t="array" aca="1" ref="Q72" ca="1">IFERROR(INDIRECT("'"&amp;$A72&amp;"'!S6")," ")</f>
        <v xml:space="preserve"> </v>
      </c>
      <c r="R72" s="43" t="str" cm="1">
        <f t="array" aca="1" ref="R72" ca="1">IFERROR(INDIRECT("'"&amp;$A72&amp;"'!S7")," ")</f>
        <v xml:space="preserve"> </v>
      </c>
      <c r="S72" s="43" t="str" cm="1">
        <f t="array" aca="1" ref="S72" ca="1">IFERROR(INDIRECT("'"&amp;$A72&amp;"'!S8")," ")</f>
        <v xml:space="preserve"> </v>
      </c>
      <c r="T72" s="43" t="str" cm="1">
        <f t="array" aca="1" ref="T72" ca="1">IFERROR(INDIRECT("'"&amp;$A72&amp;"'!S9")," ")</f>
        <v xml:space="preserve"> </v>
      </c>
      <c r="U72" s="43" t="str" cm="1">
        <f t="array" aca="1" ref="U72" ca="1">IFERROR(INDIRECT("'"&amp;$A72&amp;"'!S10")," ")</f>
        <v xml:space="preserve"> </v>
      </c>
      <c r="V72" s="43" t="str" cm="1">
        <f t="array" aca="1" ref="V72" ca="1">IFERROR(INDIRECT("'"&amp;$A72&amp;"'!S11")," ")</f>
        <v xml:space="preserve"> </v>
      </c>
      <c r="W72" s="43" t="str" cm="1">
        <f t="array" aca="1" ref="W72" ca="1">IFERROR(INDIRECT("'"&amp;$A72&amp;"'!W5")," ")</f>
        <v xml:space="preserve"> </v>
      </c>
      <c r="X72" s="43" t="str" cm="1">
        <f t="array" aca="1" ref="X72" ca="1">IFERROR(INDIRECT("'"&amp;$A72&amp;"'!s8")," ")</f>
        <v xml:space="preserve"> </v>
      </c>
      <c r="Y72" s="43" t="str" cm="1">
        <f t="array" aca="1" ref="Y72" ca="1">IFERROR(INDIRECT("'"&amp;$A72&amp;"'!U5")," ")</f>
        <v xml:space="preserve"> </v>
      </c>
      <c r="Z72" s="43" t="str" cm="1">
        <f t="array" aca="1" ref="Z72" ca="1">IFERROR(INDIRECT("'"&amp;$A72&amp;"'!U6")," ")</f>
        <v xml:space="preserve"> </v>
      </c>
      <c r="AA72" s="43" t="str" cm="1">
        <f t="array" aca="1" ref="AA72" ca="1">IFERROR(INDIRECT("'"&amp;$A72&amp;"'!U7")," ")</f>
        <v xml:space="preserve"> </v>
      </c>
      <c r="AB72" s="43" t="str" cm="1">
        <f t="array" aca="1" ref="AB72" ca="1">IFERROR(INDIRECT("'"&amp;$A72&amp;"'!U8")," ")</f>
        <v xml:space="preserve"> </v>
      </c>
      <c r="AC72" s="43" t="str" cm="1">
        <f t="array" aca="1" ref="AC72" ca="1">IFERROR(INDIRECT("'"&amp;$A72&amp;"'!s9")," ")</f>
        <v xml:space="preserve"> </v>
      </c>
      <c r="AD72" s="7" t="str" cm="1">
        <f t="array" aca="1" ref="AD72" ca="1">IFERROR(INDIRECT("'"&amp;$A72&amp;"'!F6")," ")</f>
        <v xml:space="preserve"> </v>
      </c>
      <c r="AE72" s="118" t="str" cm="1">
        <f t="array" aca="1" ref="AE72" ca="1">IFERROR(INDIRECT("'"&amp;$A72&amp;"'!L4")," ")</f>
        <v xml:space="preserve"> </v>
      </c>
    </row>
    <row r="73" spans="2:31" ht="15" customHeight="1" x14ac:dyDescent="0.3">
      <c r="B73" s="8" t="str" cm="1">
        <f t="array" aca="1" ref="B73" ca="1">IFERROR(INDIRECT("'"&amp;$A73&amp;"'!A2"),"")</f>
        <v/>
      </c>
      <c r="C73" s="8" t="str" cm="1">
        <f t="array" aca="1" ref="C73" ca="1">IFERROR(INDIRECT("'"&amp;$A73&amp;"'!B5"),"")</f>
        <v/>
      </c>
      <c r="D73" s="9" t="str" cm="1">
        <f t="array" aca="1" ref="D73" ca="1">IFERROR(INDIRECT("'"&amp;$A73&amp;"'!B4"),"")</f>
        <v/>
      </c>
      <c r="E73" s="9" t="str" cm="1">
        <f t="array" aca="1" ref="E73" ca="1">IFERROR(INDIRECT("'"&amp;$A73&amp;"'!B7")," ")</f>
        <v xml:space="preserve"> </v>
      </c>
      <c r="F73" s="122" t="str" cm="1">
        <f t="array" aca="1" ref="F73" ca="1">IFERROR(INDIRECT("'"&amp;$A73&amp;"'!D9")," ")</f>
        <v xml:space="preserve"> </v>
      </c>
      <c r="G73" s="52" t="str" cm="1">
        <f t="array" aca="1" ref="G73" ca="1">IFERROR(INDIRECT("'"&amp;$A73&amp;"'!B9")," ")</f>
        <v xml:space="preserve"> </v>
      </c>
      <c r="H73" s="144" t="str" cm="1">
        <f t="array" aca="1" ref="H73" ca="1">IFERROR(INDIRECT("'"&amp;$A73&amp;"'!D4")," ")</f>
        <v xml:space="preserve"> </v>
      </c>
      <c r="I73" s="5" t="str" cm="1">
        <f t="array" aca="1" ref="I73" ca="1">IFERROR(INDIRECT("'"&amp;$A73&amp;"'!D7")," ")</f>
        <v xml:space="preserve"> </v>
      </c>
      <c r="J73" s="5" t="str" cm="1">
        <f t="array" aca="1" ref="J73" ca="1">IFERROR(INDIRECT("'"&amp;$A73&amp;"'!D8")," ")</f>
        <v xml:space="preserve"> </v>
      </c>
      <c r="K73" s="5" t="str" cm="1">
        <f t="array" aca="1" ref="K73" ca="1">IFERROR(INDIRECT("'"&amp;$A73&amp;"'!D5")," ")</f>
        <v xml:space="preserve"> </v>
      </c>
      <c r="L73" s="54" t="str" cm="1">
        <f t="array" aca="1" ref="L73" ca="1">IFERROR(INDIRECT("'"&amp;$A73&amp;"'!Q10")," ")</f>
        <v xml:space="preserve"> </v>
      </c>
      <c r="M73" s="43" t="str" cm="1">
        <f t="array" aca="1" ref="M73" ca="1">IFERROR(INDIRECT("'"&amp;$A73&amp;"'!Q5")," ")</f>
        <v xml:space="preserve"> </v>
      </c>
      <c r="N73" s="43" t="str" cm="1">
        <f t="array" aca="1" ref="N73" ca="1">IFERROR(INDIRECT("'"&amp;$A73&amp;"'!Q6")," ")</f>
        <v xml:space="preserve"> </v>
      </c>
      <c r="O73" s="43" t="str" cm="1">
        <f t="array" aca="1" ref="O73" ca="1">IFERROR(INDIRECT("'"&amp;$A73&amp;"'!Q7")," ")</f>
        <v xml:space="preserve"> </v>
      </c>
      <c r="P73" s="43" t="str" cm="1">
        <f t="array" aca="1" ref="P73" ca="1">IFERROR(INDIRECT("'"&amp;$A73&amp;"'!S5")," ")</f>
        <v xml:space="preserve"> </v>
      </c>
      <c r="Q73" s="43" t="str" cm="1">
        <f t="array" aca="1" ref="Q73" ca="1">IFERROR(INDIRECT("'"&amp;$A73&amp;"'!S6")," ")</f>
        <v xml:space="preserve"> </v>
      </c>
      <c r="R73" s="43" t="str" cm="1">
        <f t="array" aca="1" ref="R73" ca="1">IFERROR(INDIRECT("'"&amp;$A73&amp;"'!S7")," ")</f>
        <v xml:space="preserve"> </v>
      </c>
      <c r="S73" s="43" t="str" cm="1">
        <f t="array" aca="1" ref="S73" ca="1">IFERROR(INDIRECT("'"&amp;$A73&amp;"'!S8")," ")</f>
        <v xml:space="preserve"> </v>
      </c>
      <c r="T73" s="43" t="str" cm="1">
        <f t="array" aca="1" ref="T73" ca="1">IFERROR(INDIRECT("'"&amp;$A73&amp;"'!S9")," ")</f>
        <v xml:space="preserve"> </v>
      </c>
      <c r="U73" s="43" t="str" cm="1">
        <f t="array" aca="1" ref="U73" ca="1">IFERROR(INDIRECT("'"&amp;$A73&amp;"'!S10")," ")</f>
        <v xml:space="preserve"> </v>
      </c>
      <c r="V73" s="43" t="str" cm="1">
        <f t="array" aca="1" ref="V73" ca="1">IFERROR(INDIRECT("'"&amp;$A73&amp;"'!S11")," ")</f>
        <v xml:space="preserve"> </v>
      </c>
      <c r="W73" s="43" t="str" cm="1">
        <f t="array" aca="1" ref="W73" ca="1">IFERROR(INDIRECT("'"&amp;$A73&amp;"'!W5")," ")</f>
        <v xml:space="preserve"> </v>
      </c>
      <c r="X73" s="43" t="str" cm="1">
        <f t="array" aca="1" ref="X73" ca="1">IFERROR(INDIRECT("'"&amp;$A73&amp;"'!s8")," ")</f>
        <v xml:space="preserve"> </v>
      </c>
      <c r="Y73" s="43" t="str" cm="1">
        <f t="array" aca="1" ref="Y73" ca="1">IFERROR(INDIRECT("'"&amp;$A73&amp;"'!U5")," ")</f>
        <v xml:space="preserve"> </v>
      </c>
      <c r="Z73" s="43" t="str" cm="1">
        <f t="array" aca="1" ref="Z73" ca="1">IFERROR(INDIRECT("'"&amp;$A73&amp;"'!U6")," ")</f>
        <v xml:space="preserve"> </v>
      </c>
      <c r="AA73" s="43" t="str" cm="1">
        <f t="array" aca="1" ref="AA73" ca="1">IFERROR(INDIRECT("'"&amp;$A73&amp;"'!U7")," ")</f>
        <v xml:space="preserve"> </v>
      </c>
      <c r="AB73" s="43" t="str" cm="1">
        <f t="array" aca="1" ref="AB73" ca="1">IFERROR(INDIRECT("'"&amp;$A73&amp;"'!U8")," ")</f>
        <v xml:space="preserve"> </v>
      </c>
      <c r="AC73" s="43" t="str" cm="1">
        <f t="array" aca="1" ref="AC73" ca="1">IFERROR(INDIRECT("'"&amp;$A73&amp;"'!s9")," ")</f>
        <v xml:space="preserve"> </v>
      </c>
      <c r="AD73" s="7" t="str" cm="1">
        <f t="array" aca="1" ref="AD73" ca="1">IFERROR(INDIRECT("'"&amp;$A73&amp;"'!F6")," ")</f>
        <v xml:space="preserve"> </v>
      </c>
      <c r="AE73" s="118" t="str" cm="1">
        <f t="array" aca="1" ref="AE73" ca="1">IFERROR(INDIRECT("'"&amp;$A73&amp;"'!L4")," ")</f>
        <v xml:space="preserve"> </v>
      </c>
    </row>
    <row r="74" spans="2:31" ht="15" customHeight="1" x14ac:dyDescent="0.3">
      <c r="B74" s="8" t="str" cm="1">
        <f t="array" aca="1" ref="B74" ca="1">IFERROR(INDIRECT("'"&amp;$A74&amp;"'!A2"),"")</f>
        <v/>
      </c>
      <c r="C74" s="8" t="str" cm="1">
        <f t="array" aca="1" ref="C74" ca="1">IFERROR(INDIRECT("'"&amp;$A74&amp;"'!B5"),"")</f>
        <v/>
      </c>
      <c r="D74" s="9" t="str" cm="1">
        <f t="array" aca="1" ref="D74" ca="1">IFERROR(INDIRECT("'"&amp;$A74&amp;"'!B4"),"")</f>
        <v/>
      </c>
      <c r="E74" s="9" t="str" cm="1">
        <f t="array" aca="1" ref="E74" ca="1">IFERROR(INDIRECT("'"&amp;$A74&amp;"'!B7")," ")</f>
        <v xml:space="preserve"> </v>
      </c>
      <c r="F74" s="122" t="str" cm="1">
        <f t="array" aca="1" ref="F74" ca="1">IFERROR(INDIRECT("'"&amp;$A74&amp;"'!D9")," ")</f>
        <v xml:space="preserve"> </v>
      </c>
      <c r="G74" s="52" t="str" cm="1">
        <f t="array" aca="1" ref="G74" ca="1">IFERROR(INDIRECT("'"&amp;$A74&amp;"'!B9")," ")</f>
        <v xml:space="preserve"> </v>
      </c>
      <c r="H74" s="144" t="str" cm="1">
        <f t="array" aca="1" ref="H74" ca="1">IFERROR(INDIRECT("'"&amp;$A74&amp;"'!D4")," ")</f>
        <v xml:space="preserve"> </v>
      </c>
      <c r="I74" s="5" t="str" cm="1">
        <f t="array" aca="1" ref="I74" ca="1">IFERROR(INDIRECT("'"&amp;$A74&amp;"'!D7")," ")</f>
        <v xml:space="preserve"> </v>
      </c>
      <c r="J74" s="5" t="str" cm="1">
        <f t="array" aca="1" ref="J74" ca="1">IFERROR(INDIRECT("'"&amp;$A74&amp;"'!D8")," ")</f>
        <v xml:space="preserve"> </v>
      </c>
      <c r="K74" s="5" t="str" cm="1">
        <f t="array" aca="1" ref="K74" ca="1">IFERROR(INDIRECT("'"&amp;$A74&amp;"'!D5")," ")</f>
        <v xml:space="preserve"> </v>
      </c>
      <c r="L74" s="54" t="str" cm="1">
        <f t="array" aca="1" ref="L74" ca="1">IFERROR(INDIRECT("'"&amp;$A74&amp;"'!Q10")," ")</f>
        <v xml:space="preserve"> </v>
      </c>
      <c r="M74" s="43" t="str" cm="1">
        <f t="array" aca="1" ref="M74" ca="1">IFERROR(INDIRECT("'"&amp;$A74&amp;"'!Q5")," ")</f>
        <v xml:space="preserve"> </v>
      </c>
      <c r="N74" s="43" t="str" cm="1">
        <f t="array" aca="1" ref="N74" ca="1">IFERROR(INDIRECT("'"&amp;$A74&amp;"'!Q6")," ")</f>
        <v xml:space="preserve"> </v>
      </c>
      <c r="O74" s="43" t="str" cm="1">
        <f t="array" aca="1" ref="O74" ca="1">IFERROR(INDIRECT("'"&amp;$A74&amp;"'!Q7")," ")</f>
        <v xml:space="preserve"> </v>
      </c>
      <c r="P74" s="43" t="str" cm="1">
        <f t="array" aca="1" ref="P74" ca="1">IFERROR(INDIRECT("'"&amp;$A74&amp;"'!S5")," ")</f>
        <v xml:space="preserve"> </v>
      </c>
      <c r="Q74" s="43" t="str" cm="1">
        <f t="array" aca="1" ref="Q74" ca="1">IFERROR(INDIRECT("'"&amp;$A74&amp;"'!S6")," ")</f>
        <v xml:space="preserve"> </v>
      </c>
      <c r="R74" s="43" t="str" cm="1">
        <f t="array" aca="1" ref="R74" ca="1">IFERROR(INDIRECT("'"&amp;$A74&amp;"'!S7")," ")</f>
        <v xml:space="preserve"> </v>
      </c>
      <c r="S74" s="43" t="str" cm="1">
        <f t="array" aca="1" ref="S74" ca="1">IFERROR(INDIRECT("'"&amp;$A74&amp;"'!S8")," ")</f>
        <v xml:space="preserve"> </v>
      </c>
      <c r="T74" s="43" t="str" cm="1">
        <f t="array" aca="1" ref="T74" ca="1">IFERROR(INDIRECT("'"&amp;$A74&amp;"'!S9")," ")</f>
        <v xml:space="preserve"> </v>
      </c>
      <c r="U74" s="43" t="str" cm="1">
        <f t="array" aca="1" ref="U74" ca="1">IFERROR(INDIRECT("'"&amp;$A74&amp;"'!S10")," ")</f>
        <v xml:space="preserve"> </v>
      </c>
      <c r="V74" s="43" t="str" cm="1">
        <f t="array" aca="1" ref="V74" ca="1">IFERROR(INDIRECT("'"&amp;$A74&amp;"'!S11")," ")</f>
        <v xml:space="preserve"> </v>
      </c>
      <c r="W74" s="43" t="str" cm="1">
        <f t="array" aca="1" ref="W74" ca="1">IFERROR(INDIRECT("'"&amp;$A74&amp;"'!W5")," ")</f>
        <v xml:space="preserve"> </v>
      </c>
      <c r="X74" s="43" t="str" cm="1">
        <f t="array" aca="1" ref="X74" ca="1">IFERROR(INDIRECT("'"&amp;$A74&amp;"'!s8")," ")</f>
        <v xml:space="preserve"> </v>
      </c>
      <c r="Y74" s="43" t="str" cm="1">
        <f t="array" aca="1" ref="Y74" ca="1">IFERROR(INDIRECT("'"&amp;$A74&amp;"'!U5")," ")</f>
        <v xml:space="preserve"> </v>
      </c>
      <c r="Z74" s="43" t="str" cm="1">
        <f t="array" aca="1" ref="Z74" ca="1">IFERROR(INDIRECT("'"&amp;$A74&amp;"'!U6")," ")</f>
        <v xml:space="preserve"> </v>
      </c>
      <c r="AA74" s="43" t="str" cm="1">
        <f t="array" aca="1" ref="AA74" ca="1">IFERROR(INDIRECT("'"&amp;$A74&amp;"'!U7")," ")</f>
        <v xml:space="preserve"> </v>
      </c>
      <c r="AB74" s="43" t="str" cm="1">
        <f t="array" aca="1" ref="AB74" ca="1">IFERROR(INDIRECT("'"&amp;$A74&amp;"'!U8")," ")</f>
        <v xml:space="preserve"> </v>
      </c>
      <c r="AC74" s="43" t="str" cm="1">
        <f t="array" aca="1" ref="AC74" ca="1">IFERROR(INDIRECT("'"&amp;$A74&amp;"'!s9")," ")</f>
        <v xml:space="preserve"> </v>
      </c>
      <c r="AD74" s="7" t="str" cm="1">
        <f t="array" aca="1" ref="AD74" ca="1">IFERROR(INDIRECT("'"&amp;$A74&amp;"'!F6")," ")</f>
        <v xml:space="preserve"> </v>
      </c>
      <c r="AE74" s="118" t="str" cm="1">
        <f t="array" aca="1" ref="AE74" ca="1">IFERROR(INDIRECT("'"&amp;$A74&amp;"'!L4")," ")</f>
        <v xml:space="preserve"> </v>
      </c>
    </row>
    <row r="75" spans="2:31" ht="15" customHeight="1" x14ac:dyDescent="0.3">
      <c r="B75" s="8" t="str" cm="1">
        <f t="array" aca="1" ref="B75" ca="1">IFERROR(INDIRECT("'"&amp;$A75&amp;"'!A2"),"")</f>
        <v/>
      </c>
      <c r="C75" s="8" t="str" cm="1">
        <f t="array" aca="1" ref="C75" ca="1">IFERROR(INDIRECT("'"&amp;$A75&amp;"'!B5"),"")</f>
        <v/>
      </c>
      <c r="D75" s="9" t="str" cm="1">
        <f t="array" aca="1" ref="D75" ca="1">IFERROR(INDIRECT("'"&amp;$A75&amp;"'!B4"),"")</f>
        <v/>
      </c>
      <c r="E75" s="9" t="str" cm="1">
        <f t="array" aca="1" ref="E75" ca="1">IFERROR(INDIRECT("'"&amp;$A75&amp;"'!B7")," ")</f>
        <v xml:space="preserve"> </v>
      </c>
      <c r="F75" s="122" t="str" cm="1">
        <f t="array" aca="1" ref="F75" ca="1">IFERROR(INDIRECT("'"&amp;$A75&amp;"'!D9")," ")</f>
        <v xml:space="preserve"> </v>
      </c>
      <c r="G75" s="52" t="str" cm="1">
        <f t="array" aca="1" ref="G75" ca="1">IFERROR(INDIRECT("'"&amp;$A75&amp;"'!B9")," ")</f>
        <v xml:space="preserve"> </v>
      </c>
      <c r="H75" s="144" t="str" cm="1">
        <f t="array" aca="1" ref="H75" ca="1">IFERROR(INDIRECT("'"&amp;$A75&amp;"'!D4")," ")</f>
        <v xml:space="preserve"> </v>
      </c>
      <c r="I75" s="5" t="str" cm="1">
        <f t="array" aca="1" ref="I75" ca="1">IFERROR(INDIRECT("'"&amp;$A75&amp;"'!D7")," ")</f>
        <v xml:space="preserve"> </v>
      </c>
      <c r="J75" s="5" t="str" cm="1">
        <f t="array" aca="1" ref="J75" ca="1">IFERROR(INDIRECT("'"&amp;$A75&amp;"'!D8")," ")</f>
        <v xml:space="preserve"> </v>
      </c>
      <c r="K75" s="5" t="str" cm="1">
        <f t="array" aca="1" ref="K75" ca="1">IFERROR(INDIRECT("'"&amp;$A75&amp;"'!D5")," ")</f>
        <v xml:space="preserve"> </v>
      </c>
      <c r="L75" s="54" t="str" cm="1">
        <f t="array" aca="1" ref="L75" ca="1">IFERROR(INDIRECT("'"&amp;$A75&amp;"'!Q10")," ")</f>
        <v xml:space="preserve"> </v>
      </c>
      <c r="M75" s="43" t="str" cm="1">
        <f t="array" aca="1" ref="M75" ca="1">IFERROR(INDIRECT("'"&amp;$A75&amp;"'!Q5")," ")</f>
        <v xml:space="preserve"> </v>
      </c>
      <c r="N75" s="43" t="str" cm="1">
        <f t="array" aca="1" ref="N75" ca="1">IFERROR(INDIRECT("'"&amp;$A75&amp;"'!Q6")," ")</f>
        <v xml:space="preserve"> </v>
      </c>
      <c r="O75" s="43" t="str" cm="1">
        <f t="array" aca="1" ref="O75" ca="1">IFERROR(INDIRECT("'"&amp;$A75&amp;"'!Q7")," ")</f>
        <v xml:space="preserve"> </v>
      </c>
      <c r="P75" s="43" t="str" cm="1">
        <f t="array" aca="1" ref="P75" ca="1">IFERROR(INDIRECT("'"&amp;$A75&amp;"'!S5")," ")</f>
        <v xml:space="preserve"> </v>
      </c>
      <c r="Q75" s="43" t="str" cm="1">
        <f t="array" aca="1" ref="Q75" ca="1">IFERROR(INDIRECT("'"&amp;$A75&amp;"'!S6")," ")</f>
        <v xml:space="preserve"> </v>
      </c>
      <c r="R75" s="43" t="str" cm="1">
        <f t="array" aca="1" ref="R75" ca="1">IFERROR(INDIRECT("'"&amp;$A75&amp;"'!S7")," ")</f>
        <v xml:space="preserve"> </v>
      </c>
      <c r="S75" s="43" t="str" cm="1">
        <f t="array" aca="1" ref="S75" ca="1">IFERROR(INDIRECT("'"&amp;$A75&amp;"'!S8")," ")</f>
        <v xml:space="preserve"> </v>
      </c>
      <c r="T75" s="43" t="str" cm="1">
        <f t="array" aca="1" ref="T75" ca="1">IFERROR(INDIRECT("'"&amp;$A75&amp;"'!S9")," ")</f>
        <v xml:space="preserve"> </v>
      </c>
      <c r="U75" s="43" t="str" cm="1">
        <f t="array" aca="1" ref="U75" ca="1">IFERROR(INDIRECT("'"&amp;$A75&amp;"'!S10")," ")</f>
        <v xml:space="preserve"> </v>
      </c>
      <c r="V75" s="43" t="str" cm="1">
        <f t="array" aca="1" ref="V75" ca="1">IFERROR(INDIRECT("'"&amp;$A75&amp;"'!S11")," ")</f>
        <v xml:space="preserve"> </v>
      </c>
      <c r="W75" s="43" t="str" cm="1">
        <f t="array" aca="1" ref="W75" ca="1">IFERROR(INDIRECT("'"&amp;$A75&amp;"'!W5")," ")</f>
        <v xml:space="preserve"> </v>
      </c>
      <c r="X75" s="43" t="str" cm="1">
        <f t="array" aca="1" ref="X75" ca="1">IFERROR(INDIRECT("'"&amp;$A75&amp;"'!s8")," ")</f>
        <v xml:space="preserve"> </v>
      </c>
      <c r="Y75" s="43" t="str" cm="1">
        <f t="array" aca="1" ref="Y75" ca="1">IFERROR(INDIRECT("'"&amp;$A75&amp;"'!U5")," ")</f>
        <v xml:space="preserve"> </v>
      </c>
      <c r="Z75" s="43" t="str" cm="1">
        <f t="array" aca="1" ref="Z75" ca="1">IFERROR(INDIRECT("'"&amp;$A75&amp;"'!U6")," ")</f>
        <v xml:space="preserve"> </v>
      </c>
      <c r="AA75" s="43" t="str" cm="1">
        <f t="array" aca="1" ref="AA75" ca="1">IFERROR(INDIRECT("'"&amp;$A75&amp;"'!U7")," ")</f>
        <v xml:space="preserve"> </v>
      </c>
      <c r="AB75" s="43" t="str" cm="1">
        <f t="array" aca="1" ref="AB75" ca="1">IFERROR(INDIRECT("'"&amp;$A75&amp;"'!U8")," ")</f>
        <v xml:space="preserve"> </v>
      </c>
      <c r="AC75" s="43" t="str" cm="1">
        <f t="array" aca="1" ref="AC75" ca="1">IFERROR(INDIRECT("'"&amp;$A75&amp;"'!s9")," ")</f>
        <v xml:space="preserve"> </v>
      </c>
      <c r="AD75" s="7" t="str" cm="1">
        <f t="array" aca="1" ref="AD75" ca="1">IFERROR(INDIRECT("'"&amp;$A75&amp;"'!F6")," ")</f>
        <v xml:space="preserve"> </v>
      </c>
      <c r="AE75" s="118" t="str" cm="1">
        <f t="array" aca="1" ref="AE75" ca="1">IFERROR(INDIRECT("'"&amp;$A75&amp;"'!L4")," ")</f>
        <v xml:space="preserve"> </v>
      </c>
    </row>
    <row r="76" spans="2:31" ht="15" customHeight="1" x14ac:dyDescent="0.3">
      <c r="B76" s="8" t="str" cm="1">
        <f t="array" aca="1" ref="B76" ca="1">IFERROR(INDIRECT("'"&amp;$A76&amp;"'!A2"),"")</f>
        <v/>
      </c>
      <c r="C76" s="8" t="str" cm="1">
        <f t="array" aca="1" ref="C76" ca="1">IFERROR(INDIRECT("'"&amp;$A76&amp;"'!B5"),"")</f>
        <v/>
      </c>
      <c r="D76" s="9" t="str" cm="1">
        <f t="array" aca="1" ref="D76" ca="1">IFERROR(INDIRECT("'"&amp;$A76&amp;"'!B4"),"")</f>
        <v/>
      </c>
      <c r="E76" s="9" t="str" cm="1">
        <f t="array" aca="1" ref="E76" ca="1">IFERROR(INDIRECT("'"&amp;$A76&amp;"'!B7")," ")</f>
        <v xml:space="preserve"> </v>
      </c>
      <c r="F76" s="122" t="str" cm="1">
        <f t="array" aca="1" ref="F76" ca="1">IFERROR(INDIRECT("'"&amp;$A76&amp;"'!D9")," ")</f>
        <v xml:space="preserve"> </v>
      </c>
      <c r="G76" s="52" t="str" cm="1">
        <f t="array" aca="1" ref="G76" ca="1">IFERROR(INDIRECT("'"&amp;$A76&amp;"'!B9")," ")</f>
        <v xml:space="preserve"> </v>
      </c>
      <c r="H76" s="70" t="str" cm="1">
        <f t="array" aca="1" ref="H76" ca="1">IFERROR(INDIRECT("'"&amp;$A76&amp;"'!D4")," ")</f>
        <v xml:space="preserve"> </v>
      </c>
      <c r="I76" s="5" t="str" cm="1">
        <f t="array" aca="1" ref="I76" ca="1">IFERROR(INDIRECT("'"&amp;$A76&amp;"'!D7")," ")</f>
        <v xml:space="preserve"> </v>
      </c>
      <c r="J76" s="5" t="str" cm="1">
        <f t="array" aca="1" ref="J76" ca="1">IFERROR(INDIRECT("'"&amp;$A76&amp;"'!D8")," ")</f>
        <v xml:space="preserve"> </v>
      </c>
      <c r="K76" s="5" t="str" cm="1">
        <f t="array" aca="1" ref="K76" ca="1">IFERROR(INDIRECT("'"&amp;$A76&amp;"'!D5")," ")</f>
        <v xml:space="preserve"> </v>
      </c>
      <c r="L76" s="54" t="str" cm="1">
        <f t="array" aca="1" ref="L76" ca="1">IFERROR(INDIRECT("'"&amp;$A76&amp;"'!Q10")," ")</f>
        <v xml:space="preserve"> </v>
      </c>
      <c r="M76" s="43" t="str" cm="1">
        <f t="array" aca="1" ref="M76" ca="1">IFERROR(INDIRECT("'"&amp;$A76&amp;"'!Q5")," ")</f>
        <v xml:space="preserve"> </v>
      </c>
      <c r="N76" s="43" t="str" cm="1">
        <f t="array" aca="1" ref="N76" ca="1">IFERROR(INDIRECT("'"&amp;$A76&amp;"'!Q6")," ")</f>
        <v xml:space="preserve"> </v>
      </c>
      <c r="O76" s="43" t="str" cm="1">
        <f t="array" aca="1" ref="O76" ca="1">IFERROR(INDIRECT("'"&amp;$A76&amp;"'!Q7")," ")</f>
        <v xml:space="preserve"> </v>
      </c>
      <c r="P76" s="43" t="str" cm="1">
        <f t="array" aca="1" ref="P76" ca="1">IFERROR(INDIRECT("'"&amp;$A76&amp;"'!S5")," ")</f>
        <v xml:space="preserve"> </v>
      </c>
      <c r="Q76" s="43" t="str" cm="1">
        <f t="array" aca="1" ref="Q76" ca="1">IFERROR(INDIRECT("'"&amp;$A76&amp;"'!S6")," ")</f>
        <v xml:space="preserve"> </v>
      </c>
      <c r="R76" s="43" t="str" cm="1">
        <f t="array" aca="1" ref="R76" ca="1">IFERROR(INDIRECT("'"&amp;$A76&amp;"'!S7")," ")</f>
        <v xml:space="preserve"> </v>
      </c>
      <c r="S76" s="43" t="str" cm="1">
        <f t="array" aca="1" ref="S76" ca="1">IFERROR(INDIRECT("'"&amp;$A76&amp;"'!S8")," ")</f>
        <v xml:space="preserve"> </v>
      </c>
      <c r="T76" s="43" t="str" cm="1">
        <f t="array" aca="1" ref="T76" ca="1">IFERROR(INDIRECT("'"&amp;$A76&amp;"'!S9")," ")</f>
        <v xml:space="preserve"> </v>
      </c>
      <c r="U76" s="43" t="str" cm="1">
        <f t="array" aca="1" ref="U76" ca="1">IFERROR(INDIRECT("'"&amp;$A76&amp;"'!S10")," ")</f>
        <v xml:space="preserve"> </v>
      </c>
      <c r="V76" s="43" t="str" cm="1">
        <f t="array" aca="1" ref="V76" ca="1">IFERROR(INDIRECT("'"&amp;$A76&amp;"'!S11")," ")</f>
        <v xml:space="preserve"> </v>
      </c>
      <c r="W76" s="43" t="str" cm="1">
        <f t="array" aca="1" ref="W76" ca="1">IFERROR(INDIRECT("'"&amp;$A76&amp;"'!W5")," ")</f>
        <v xml:space="preserve"> </v>
      </c>
      <c r="X76" s="43" t="str" cm="1">
        <f t="array" aca="1" ref="X76" ca="1">IFERROR(INDIRECT("'"&amp;$A76&amp;"'!s8")," ")</f>
        <v xml:space="preserve"> </v>
      </c>
      <c r="Y76" s="43" t="str" cm="1">
        <f t="array" aca="1" ref="Y76" ca="1">IFERROR(INDIRECT("'"&amp;$A76&amp;"'!U5")," ")</f>
        <v xml:space="preserve"> </v>
      </c>
      <c r="Z76" s="43" t="str" cm="1">
        <f t="array" aca="1" ref="Z76" ca="1">IFERROR(INDIRECT("'"&amp;$A76&amp;"'!U6")," ")</f>
        <v xml:space="preserve"> </v>
      </c>
      <c r="AA76" s="43" t="str" cm="1">
        <f t="array" aca="1" ref="AA76" ca="1">IFERROR(INDIRECT("'"&amp;$A76&amp;"'!U7")," ")</f>
        <v xml:space="preserve"> </v>
      </c>
      <c r="AB76" s="43" t="str" cm="1">
        <f t="array" aca="1" ref="AB76" ca="1">IFERROR(INDIRECT("'"&amp;$A76&amp;"'!U8")," ")</f>
        <v xml:space="preserve"> </v>
      </c>
      <c r="AC76" s="43" t="str" cm="1">
        <f t="array" aca="1" ref="AC76" ca="1">IFERROR(INDIRECT("'"&amp;$A76&amp;"'!s9")," ")</f>
        <v xml:space="preserve"> </v>
      </c>
      <c r="AD76" s="7" t="str" cm="1">
        <f t="array" aca="1" ref="AD76" ca="1">IFERROR(INDIRECT("'"&amp;$A76&amp;"'!F6")," ")</f>
        <v xml:space="preserve"> </v>
      </c>
      <c r="AE76" s="118" t="str" cm="1">
        <f t="array" aca="1" ref="AE76" ca="1">IFERROR(INDIRECT("'"&amp;$A76&amp;"'!L4")," ")</f>
        <v xml:space="preserve"> </v>
      </c>
    </row>
    <row r="77" spans="2:31" ht="15" customHeight="1" x14ac:dyDescent="0.3">
      <c r="B77" s="8" t="str" cm="1">
        <f t="array" aca="1" ref="B77" ca="1">IFERROR(INDIRECT("'"&amp;$A77&amp;"'!A2"),"")</f>
        <v/>
      </c>
      <c r="C77" s="8" t="str" cm="1">
        <f t="array" aca="1" ref="C77" ca="1">IFERROR(INDIRECT("'"&amp;$A77&amp;"'!B5"),"")</f>
        <v/>
      </c>
      <c r="D77" s="9" t="str" cm="1">
        <f t="array" aca="1" ref="D77" ca="1">IFERROR(INDIRECT("'"&amp;$A77&amp;"'!B4"),"")</f>
        <v/>
      </c>
      <c r="E77" s="9" t="str" cm="1">
        <f t="array" aca="1" ref="E77" ca="1">IFERROR(INDIRECT("'"&amp;$A77&amp;"'!B7")," ")</f>
        <v xml:space="preserve"> </v>
      </c>
      <c r="F77" s="122" t="str" cm="1">
        <f t="array" aca="1" ref="F77" ca="1">IFERROR(INDIRECT("'"&amp;$A77&amp;"'!D9")," ")</f>
        <v xml:space="preserve"> </v>
      </c>
      <c r="G77" s="52" t="str" cm="1">
        <f t="array" aca="1" ref="G77" ca="1">IFERROR(INDIRECT("'"&amp;$A77&amp;"'!B9")," ")</f>
        <v xml:space="preserve"> </v>
      </c>
      <c r="H77" s="144" t="str" cm="1">
        <f t="array" aca="1" ref="H77" ca="1">IFERROR(INDIRECT("'"&amp;$A77&amp;"'!D4")," ")</f>
        <v xml:space="preserve"> </v>
      </c>
      <c r="I77" s="5" t="str" cm="1">
        <f t="array" aca="1" ref="I77" ca="1">IFERROR(INDIRECT("'"&amp;$A77&amp;"'!D7")," ")</f>
        <v xml:space="preserve"> </v>
      </c>
      <c r="J77" s="5" t="str" cm="1">
        <f t="array" aca="1" ref="J77" ca="1">IFERROR(INDIRECT("'"&amp;$A77&amp;"'!D8")," ")</f>
        <v xml:space="preserve"> </v>
      </c>
      <c r="K77" s="5" t="str" cm="1">
        <f t="array" aca="1" ref="K77" ca="1">IFERROR(INDIRECT("'"&amp;$A77&amp;"'!D5")," ")</f>
        <v xml:space="preserve"> </v>
      </c>
      <c r="L77" s="54" t="str" cm="1">
        <f t="array" aca="1" ref="L77" ca="1">IFERROR(INDIRECT("'"&amp;$A77&amp;"'!Q10")," ")</f>
        <v xml:space="preserve"> </v>
      </c>
      <c r="M77" s="43" t="str" cm="1">
        <f t="array" aca="1" ref="M77" ca="1">IFERROR(INDIRECT("'"&amp;$A77&amp;"'!Q5")," ")</f>
        <v xml:space="preserve"> </v>
      </c>
      <c r="N77" s="43" t="str" cm="1">
        <f t="array" aca="1" ref="N77" ca="1">IFERROR(INDIRECT("'"&amp;$A77&amp;"'!Q6")," ")</f>
        <v xml:space="preserve"> </v>
      </c>
      <c r="O77" s="43" t="str" cm="1">
        <f t="array" aca="1" ref="O77" ca="1">IFERROR(INDIRECT("'"&amp;$A77&amp;"'!Q7")," ")</f>
        <v xml:space="preserve"> </v>
      </c>
      <c r="P77" s="43" t="str" cm="1">
        <f t="array" aca="1" ref="P77" ca="1">IFERROR(INDIRECT("'"&amp;$A77&amp;"'!S5")," ")</f>
        <v xml:space="preserve"> </v>
      </c>
      <c r="Q77" s="43" t="str" cm="1">
        <f t="array" aca="1" ref="Q77" ca="1">IFERROR(INDIRECT("'"&amp;$A77&amp;"'!S6")," ")</f>
        <v xml:space="preserve"> </v>
      </c>
      <c r="R77" s="43" t="str" cm="1">
        <f t="array" aca="1" ref="R77" ca="1">IFERROR(INDIRECT("'"&amp;$A77&amp;"'!S7")," ")</f>
        <v xml:space="preserve"> </v>
      </c>
      <c r="S77" s="43" t="str" cm="1">
        <f t="array" aca="1" ref="S77" ca="1">IFERROR(INDIRECT("'"&amp;$A77&amp;"'!S8")," ")</f>
        <v xml:space="preserve"> </v>
      </c>
      <c r="T77" s="43" t="str" cm="1">
        <f t="array" aca="1" ref="T77" ca="1">IFERROR(INDIRECT("'"&amp;$A77&amp;"'!S9")," ")</f>
        <v xml:space="preserve"> </v>
      </c>
      <c r="U77" s="43" t="str" cm="1">
        <f t="array" aca="1" ref="U77" ca="1">IFERROR(INDIRECT("'"&amp;$A77&amp;"'!S10")," ")</f>
        <v xml:space="preserve"> </v>
      </c>
      <c r="V77" s="43" t="str" cm="1">
        <f t="array" aca="1" ref="V77" ca="1">IFERROR(INDIRECT("'"&amp;$A77&amp;"'!S11")," ")</f>
        <v xml:space="preserve"> </v>
      </c>
      <c r="W77" s="43" t="str" cm="1">
        <f t="array" aca="1" ref="W77" ca="1">IFERROR(INDIRECT("'"&amp;$A77&amp;"'!W5")," ")</f>
        <v xml:space="preserve"> </v>
      </c>
      <c r="X77" s="43" t="str" cm="1">
        <f t="array" aca="1" ref="X77" ca="1">IFERROR(INDIRECT("'"&amp;$A77&amp;"'!s8")," ")</f>
        <v xml:space="preserve"> </v>
      </c>
      <c r="Y77" s="43" t="str" cm="1">
        <f t="array" aca="1" ref="Y77" ca="1">IFERROR(INDIRECT("'"&amp;$A77&amp;"'!U5")," ")</f>
        <v xml:space="preserve"> </v>
      </c>
      <c r="Z77" s="43" t="str" cm="1">
        <f t="array" aca="1" ref="Z77" ca="1">IFERROR(INDIRECT("'"&amp;$A77&amp;"'!U6")," ")</f>
        <v xml:space="preserve"> </v>
      </c>
      <c r="AA77" s="43" t="str" cm="1">
        <f t="array" aca="1" ref="AA77" ca="1">IFERROR(INDIRECT("'"&amp;$A77&amp;"'!U7")," ")</f>
        <v xml:space="preserve"> </v>
      </c>
      <c r="AB77" s="43" t="str" cm="1">
        <f t="array" aca="1" ref="AB77" ca="1">IFERROR(INDIRECT("'"&amp;$A77&amp;"'!U8")," ")</f>
        <v xml:space="preserve"> </v>
      </c>
      <c r="AC77" s="43" t="str" cm="1">
        <f t="array" aca="1" ref="AC77" ca="1">IFERROR(INDIRECT("'"&amp;$A77&amp;"'!s9")," ")</f>
        <v xml:space="preserve"> </v>
      </c>
      <c r="AD77" s="7" t="str" cm="1">
        <f t="array" aca="1" ref="AD77" ca="1">IFERROR(INDIRECT("'"&amp;$A77&amp;"'!F6")," ")</f>
        <v xml:space="preserve"> </v>
      </c>
      <c r="AE77" s="118" t="str" cm="1">
        <f t="array" aca="1" ref="AE77" ca="1">IFERROR(INDIRECT("'"&amp;$A77&amp;"'!L4")," ")</f>
        <v xml:space="preserve"> </v>
      </c>
    </row>
    <row r="78" spans="2:31" ht="15" customHeight="1" x14ac:dyDescent="0.3">
      <c r="B78" s="8" t="str" cm="1">
        <f t="array" aca="1" ref="B78" ca="1">IFERROR(INDIRECT("'"&amp;$A78&amp;"'!A2"),"")</f>
        <v/>
      </c>
      <c r="C78" s="8" t="str" cm="1">
        <f t="array" aca="1" ref="C78" ca="1">IFERROR(INDIRECT("'"&amp;$A78&amp;"'!B5"),"")</f>
        <v/>
      </c>
      <c r="D78" s="9" t="str" cm="1">
        <f t="array" aca="1" ref="D78" ca="1">IFERROR(INDIRECT("'"&amp;$A78&amp;"'!B4"),"")</f>
        <v/>
      </c>
      <c r="E78" s="9" t="str" cm="1">
        <f t="array" aca="1" ref="E78" ca="1">IFERROR(INDIRECT("'"&amp;$A78&amp;"'!B7")," ")</f>
        <v xml:space="preserve"> </v>
      </c>
      <c r="F78" s="122" t="str" cm="1">
        <f t="array" aca="1" ref="F78" ca="1">IFERROR(INDIRECT("'"&amp;$A78&amp;"'!D9")," ")</f>
        <v xml:space="preserve"> </v>
      </c>
      <c r="G78" s="52" t="str" cm="1">
        <f t="array" aca="1" ref="G78" ca="1">IFERROR(INDIRECT("'"&amp;$A78&amp;"'!B9")," ")</f>
        <v xml:space="preserve"> </v>
      </c>
      <c r="H78" s="144" t="str" cm="1">
        <f t="array" aca="1" ref="H78" ca="1">IFERROR(INDIRECT("'"&amp;$A78&amp;"'!D4")," ")</f>
        <v xml:space="preserve"> </v>
      </c>
      <c r="I78" s="5" t="str" cm="1">
        <f t="array" aca="1" ref="I78" ca="1">IFERROR(INDIRECT("'"&amp;$A78&amp;"'!D7")," ")</f>
        <v xml:space="preserve"> </v>
      </c>
      <c r="J78" s="5" t="str" cm="1">
        <f t="array" aca="1" ref="J78" ca="1">IFERROR(INDIRECT("'"&amp;$A78&amp;"'!D8")," ")</f>
        <v xml:space="preserve"> </v>
      </c>
      <c r="K78" s="5" t="str" cm="1">
        <f t="array" aca="1" ref="K78" ca="1">IFERROR(INDIRECT("'"&amp;$A78&amp;"'!D5")," ")</f>
        <v xml:space="preserve"> </v>
      </c>
      <c r="L78" s="54" t="str" cm="1">
        <f t="array" aca="1" ref="L78" ca="1">IFERROR(INDIRECT("'"&amp;$A78&amp;"'!Q10")," ")</f>
        <v xml:space="preserve"> </v>
      </c>
      <c r="M78" s="43" t="str" cm="1">
        <f t="array" aca="1" ref="M78" ca="1">IFERROR(INDIRECT("'"&amp;$A78&amp;"'!Q5")," ")</f>
        <v xml:space="preserve"> </v>
      </c>
      <c r="N78" s="43" t="str" cm="1">
        <f t="array" aca="1" ref="N78" ca="1">IFERROR(INDIRECT("'"&amp;$A78&amp;"'!Q6")," ")</f>
        <v xml:space="preserve"> </v>
      </c>
      <c r="O78" s="43" t="str" cm="1">
        <f t="array" aca="1" ref="O78" ca="1">IFERROR(INDIRECT("'"&amp;$A78&amp;"'!Q7")," ")</f>
        <v xml:space="preserve"> </v>
      </c>
      <c r="P78" s="43" t="str" cm="1">
        <f t="array" aca="1" ref="P78" ca="1">IFERROR(INDIRECT("'"&amp;$A78&amp;"'!S5")," ")</f>
        <v xml:space="preserve"> </v>
      </c>
      <c r="Q78" s="43" t="str" cm="1">
        <f t="array" aca="1" ref="Q78" ca="1">IFERROR(INDIRECT("'"&amp;$A78&amp;"'!S6")," ")</f>
        <v xml:space="preserve"> </v>
      </c>
      <c r="R78" s="43" t="str" cm="1">
        <f t="array" aca="1" ref="R78" ca="1">IFERROR(INDIRECT("'"&amp;$A78&amp;"'!S7")," ")</f>
        <v xml:space="preserve"> </v>
      </c>
      <c r="S78" s="43" t="str" cm="1">
        <f t="array" aca="1" ref="S78" ca="1">IFERROR(INDIRECT("'"&amp;$A78&amp;"'!S8")," ")</f>
        <v xml:space="preserve"> </v>
      </c>
      <c r="T78" s="43" t="str" cm="1">
        <f t="array" aca="1" ref="T78" ca="1">IFERROR(INDIRECT("'"&amp;$A78&amp;"'!S9")," ")</f>
        <v xml:space="preserve"> </v>
      </c>
      <c r="U78" s="43" t="str" cm="1">
        <f t="array" aca="1" ref="U78" ca="1">IFERROR(INDIRECT("'"&amp;$A78&amp;"'!S10")," ")</f>
        <v xml:space="preserve"> </v>
      </c>
      <c r="V78" s="43" t="str" cm="1">
        <f t="array" aca="1" ref="V78" ca="1">IFERROR(INDIRECT("'"&amp;$A78&amp;"'!S11")," ")</f>
        <v xml:space="preserve"> </v>
      </c>
      <c r="W78" s="43" t="str" cm="1">
        <f t="array" aca="1" ref="W78" ca="1">IFERROR(INDIRECT("'"&amp;$A78&amp;"'!W5")," ")</f>
        <v xml:space="preserve"> </v>
      </c>
      <c r="X78" s="43" t="str" cm="1">
        <f t="array" aca="1" ref="X78" ca="1">IFERROR(INDIRECT("'"&amp;$A78&amp;"'!s8")," ")</f>
        <v xml:space="preserve"> </v>
      </c>
      <c r="Y78" s="43" t="str" cm="1">
        <f t="array" aca="1" ref="Y78" ca="1">IFERROR(INDIRECT("'"&amp;$A78&amp;"'!U5")," ")</f>
        <v xml:space="preserve"> </v>
      </c>
      <c r="Z78" s="43" t="str" cm="1">
        <f t="array" aca="1" ref="Z78" ca="1">IFERROR(INDIRECT("'"&amp;$A78&amp;"'!U6")," ")</f>
        <v xml:space="preserve"> </v>
      </c>
      <c r="AA78" s="43" t="str" cm="1">
        <f t="array" aca="1" ref="AA78" ca="1">IFERROR(INDIRECT("'"&amp;$A78&amp;"'!U7")," ")</f>
        <v xml:space="preserve"> </v>
      </c>
      <c r="AB78" s="43" t="str" cm="1">
        <f t="array" aca="1" ref="AB78" ca="1">IFERROR(INDIRECT("'"&amp;$A78&amp;"'!U8")," ")</f>
        <v xml:space="preserve"> </v>
      </c>
      <c r="AC78" s="43" t="str" cm="1">
        <f t="array" aca="1" ref="AC78" ca="1">IFERROR(INDIRECT("'"&amp;$A78&amp;"'!s9")," ")</f>
        <v xml:space="preserve"> </v>
      </c>
      <c r="AD78" s="7" t="str" cm="1">
        <f t="array" aca="1" ref="AD78" ca="1">IFERROR(INDIRECT("'"&amp;$A78&amp;"'!F6")," ")</f>
        <v xml:space="preserve"> </v>
      </c>
      <c r="AE78" s="118" t="str" cm="1">
        <f t="array" aca="1" ref="AE78" ca="1">IFERROR(INDIRECT("'"&amp;$A78&amp;"'!L4")," ")</f>
        <v xml:space="preserve"> </v>
      </c>
    </row>
    <row r="79" spans="2:31" ht="15" customHeight="1" x14ac:dyDescent="0.3">
      <c r="B79" s="8" t="str" cm="1">
        <f t="array" aca="1" ref="B79" ca="1">IFERROR(INDIRECT("'"&amp;$A79&amp;"'!A2"),"")</f>
        <v/>
      </c>
      <c r="C79" s="8" t="str" cm="1">
        <f t="array" aca="1" ref="C79" ca="1">IFERROR(INDIRECT("'"&amp;$A79&amp;"'!B5"),"")</f>
        <v/>
      </c>
      <c r="D79" s="9" t="str" cm="1">
        <f t="array" aca="1" ref="D79" ca="1">IFERROR(INDIRECT("'"&amp;$A79&amp;"'!B4"),"")</f>
        <v/>
      </c>
      <c r="E79" s="9" t="str" cm="1">
        <f t="array" aca="1" ref="E79" ca="1">IFERROR(INDIRECT("'"&amp;$A79&amp;"'!B7")," ")</f>
        <v xml:space="preserve"> </v>
      </c>
      <c r="F79" s="122" t="str" cm="1">
        <f t="array" aca="1" ref="F79" ca="1">IFERROR(INDIRECT("'"&amp;$A79&amp;"'!D9")," ")</f>
        <v xml:space="preserve"> </v>
      </c>
      <c r="G79" s="52" t="str" cm="1">
        <f t="array" aca="1" ref="G79" ca="1">IFERROR(INDIRECT("'"&amp;$A79&amp;"'!B9")," ")</f>
        <v xml:space="preserve"> </v>
      </c>
      <c r="H79" s="144" t="str" cm="1">
        <f t="array" aca="1" ref="H79" ca="1">IFERROR(INDIRECT("'"&amp;$A79&amp;"'!D4")," ")</f>
        <v xml:space="preserve"> </v>
      </c>
      <c r="I79" s="5" t="str" cm="1">
        <f t="array" aca="1" ref="I79" ca="1">IFERROR(INDIRECT("'"&amp;$A79&amp;"'!D7")," ")</f>
        <v xml:space="preserve"> </v>
      </c>
      <c r="J79" s="5" t="str" cm="1">
        <f t="array" aca="1" ref="J79" ca="1">IFERROR(INDIRECT("'"&amp;$A79&amp;"'!D8")," ")</f>
        <v xml:space="preserve"> </v>
      </c>
      <c r="K79" s="5" t="str" cm="1">
        <f t="array" aca="1" ref="K79" ca="1">IFERROR(INDIRECT("'"&amp;$A79&amp;"'!D5")," ")</f>
        <v xml:space="preserve"> </v>
      </c>
      <c r="L79" s="54" t="str" cm="1">
        <f t="array" aca="1" ref="L79" ca="1">IFERROR(INDIRECT("'"&amp;$A79&amp;"'!Q10")," ")</f>
        <v xml:space="preserve"> </v>
      </c>
      <c r="M79" s="43" t="str" cm="1">
        <f t="array" aca="1" ref="M79" ca="1">IFERROR(INDIRECT("'"&amp;$A79&amp;"'!Q5")," ")</f>
        <v xml:space="preserve"> </v>
      </c>
      <c r="N79" s="43" t="str" cm="1">
        <f t="array" aca="1" ref="N79" ca="1">IFERROR(INDIRECT("'"&amp;$A79&amp;"'!Q6")," ")</f>
        <v xml:space="preserve"> </v>
      </c>
      <c r="O79" s="43" t="str" cm="1">
        <f t="array" aca="1" ref="O79" ca="1">IFERROR(INDIRECT("'"&amp;$A79&amp;"'!Q7")," ")</f>
        <v xml:space="preserve"> </v>
      </c>
      <c r="P79" s="43" t="str" cm="1">
        <f t="array" aca="1" ref="P79" ca="1">IFERROR(INDIRECT("'"&amp;$A79&amp;"'!S5")," ")</f>
        <v xml:space="preserve"> </v>
      </c>
      <c r="Q79" s="43" t="str" cm="1">
        <f t="array" aca="1" ref="Q79" ca="1">IFERROR(INDIRECT("'"&amp;$A79&amp;"'!S6")," ")</f>
        <v xml:space="preserve"> </v>
      </c>
      <c r="R79" s="43" t="str" cm="1">
        <f t="array" aca="1" ref="R79" ca="1">IFERROR(INDIRECT("'"&amp;$A79&amp;"'!S7")," ")</f>
        <v xml:space="preserve"> </v>
      </c>
      <c r="S79" s="43" t="str" cm="1">
        <f t="array" aca="1" ref="S79" ca="1">IFERROR(INDIRECT("'"&amp;$A79&amp;"'!S8")," ")</f>
        <v xml:space="preserve"> </v>
      </c>
      <c r="T79" s="43" t="str" cm="1">
        <f t="array" aca="1" ref="T79" ca="1">IFERROR(INDIRECT("'"&amp;$A79&amp;"'!S9")," ")</f>
        <v xml:space="preserve"> </v>
      </c>
      <c r="U79" s="43" t="str" cm="1">
        <f t="array" aca="1" ref="U79" ca="1">IFERROR(INDIRECT("'"&amp;$A79&amp;"'!S10")," ")</f>
        <v xml:space="preserve"> </v>
      </c>
      <c r="V79" s="43" t="str" cm="1">
        <f t="array" aca="1" ref="V79" ca="1">IFERROR(INDIRECT("'"&amp;$A79&amp;"'!S11")," ")</f>
        <v xml:space="preserve"> </v>
      </c>
      <c r="W79" s="43" t="str" cm="1">
        <f t="array" aca="1" ref="W79" ca="1">IFERROR(INDIRECT("'"&amp;$A79&amp;"'!W5")," ")</f>
        <v xml:space="preserve"> </v>
      </c>
      <c r="X79" s="43" t="str" cm="1">
        <f t="array" aca="1" ref="X79" ca="1">IFERROR(INDIRECT("'"&amp;$A79&amp;"'!s8")," ")</f>
        <v xml:space="preserve"> </v>
      </c>
      <c r="Y79" s="43" t="str" cm="1">
        <f t="array" aca="1" ref="Y79" ca="1">IFERROR(INDIRECT("'"&amp;$A79&amp;"'!U5")," ")</f>
        <v xml:space="preserve"> </v>
      </c>
      <c r="Z79" s="43" t="str" cm="1">
        <f t="array" aca="1" ref="Z79" ca="1">IFERROR(INDIRECT("'"&amp;$A79&amp;"'!U6")," ")</f>
        <v xml:space="preserve"> </v>
      </c>
      <c r="AA79" s="43" t="str" cm="1">
        <f t="array" aca="1" ref="AA79" ca="1">IFERROR(INDIRECT("'"&amp;$A79&amp;"'!U7")," ")</f>
        <v xml:space="preserve"> </v>
      </c>
      <c r="AB79" s="43" t="str" cm="1">
        <f t="array" aca="1" ref="AB79" ca="1">IFERROR(INDIRECT("'"&amp;$A79&amp;"'!U8")," ")</f>
        <v xml:space="preserve"> </v>
      </c>
      <c r="AC79" s="43" t="str" cm="1">
        <f t="array" aca="1" ref="AC79" ca="1">IFERROR(INDIRECT("'"&amp;$A79&amp;"'!s9")," ")</f>
        <v xml:space="preserve"> </v>
      </c>
      <c r="AD79" s="7" t="str" cm="1">
        <f t="array" aca="1" ref="AD79" ca="1">IFERROR(INDIRECT("'"&amp;$A79&amp;"'!F6")," ")</f>
        <v xml:space="preserve"> </v>
      </c>
      <c r="AE79" s="118" t="str" cm="1">
        <f t="array" aca="1" ref="AE79" ca="1">IFERROR(INDIRECT("'"&amp;$A79&amp;"'!L4")," ")</f>
        <v xml:space="preserve"> </v>
      </c>
    </row>
    <row r="80" spans="2:31" ht="15" customHeight="1" x14ac:dyDescent="0.3">
      <c r="B80" s="8" t="str" cm="1">
        <f t="array" aca="1" ref="B80" ca="1">IFERROR(INDIRECT("'"&amp;$A80&amp;"'!A2"),"")</f>
        <v/>
      </c>
      <c r="C80" s="8" t="str" cm="1">
        <f t="array" aca="1" ref="C80" ca="1">IFERROR(INDIRECT("'"&amp;$A80&amp;"'!B5"),"")</f>
        <v/>
      </c>
      <c r="D80" s="9" t="str" cm="1">
        <f t="array" aca="1" ref="D80" ca="1">IFERROR(INDIRECT("'"&amp;$A80&amp;"'!B4"),"")</f>
        <v/>
      </c>
      <c r="E80" s="9" t="str" cm="1">
        <f t="array" aca="1" ref="E80" ca="1">IFERROR(INDIRECT("'"&amp;$A80&amp;"'!B7")," ")</f>
        <v xml:space="preserve"> </v>
      </c>
      <c r="F80" s="122" t="str" cm="1">
        <f t="array" aca="1" ref="F80" ca="1">IFERROR(INDIRECT("'"&amp;$A80&amp;"'!D9")," ")</f>
        <v xml:space="preserve"> </v>
      </c>
      <c r="G80" s="52" t="str" cm="1">
        <f t="array" aca="1" ref="G80" ca="1">IFERROR(INDIRECT("'"&amp;$A80&amp;"'!B9")," ")</f>
        <v xml:space="preserve"> </v>
      </c>
      <c r="H80" s="144" t="str" cm="1">
        <f t="array" aca="1" ref="H80" ca="1">IFERROR(INDIRECT("'"&amp;$A80&amp;"'!D4")," ")</f>
        <v xml:space="preserve"> </v>
      </c>
      <c r="I80" s="5" t="str" cm="1">
        <f t="array" aca="1" ref="I80" ca="1">IFERROR(INDIRECT("'"&amp;$A80&amp;"'!D7")," ")</f>
        <v xml:space="preserve"> </v>
      </c>
      <c r="J80" s="5" t="str" cm="1">
        <f t="array" aca="1" ref="J80" ca="1">IFERROR(INDIRECT("'"&amp;$A80&amp;"'!D8")," ")</f>
        <v xml:space="preserve"> </v>
      </c>
      <c r="K80" s="5" t="str" cm="1">
        <f t="array" aca="1" ref="K80" ca="1">IFERROR(INDIRECT("'"&amp;$A80&amp;"'!D5")," ")</f>
        <v xml:space="preserve"> </v>
      </c>
      <c r="L80" s="54" t="str" cm="1">
        <f t="array" aca="1" ref="L80" ca="1">IFERROR(INDIRECT("'"&amp;$A80&amp;"'!Q10")," ")</f>
        <v xml:space="preserve"> </v>
      </c>
      <c r="M80" s="43" t="str" cm="1">
        <f t="array" aca="1" ref="M80" ca="1">IFERROR(INDIRECT("'"&amp;$A80&amp;"'!Q5")," ")</f>
        <v xml:space="preserve"> </v>
      </c>
      <c r="N80" s="43" t="str" cm="1">
        <f t="array" aca="1" ref="N80" ca="1">IFERROR(INDIRECT("'"&amp;$A80&amp;"'!Q6")," ")</f>
        <v xml:space="preserve"> </v>
      </c>
      <c r="O80" s="43" t="str" cm="1">
        <f t="array" aca="1" ref="O80" ca="1">IFERROR(INDIRECT("'"&amp;$A80&amp;"'!Q7")," ")</f>
        <v xml:space="preserve"> </v>
      </c>
      <c r="P80" s="43" t="str" cm="1">
        <f t="array" aca="1" ref="P80" ca="1">IFERROR(INDIRECT("'"&amp;$A80&amp;"'!S5")," ")</f>
        <v xml:space="preserve"> </v>
      </c>
      <c r="Q80" s="43" t="str" cm="1">
        <f t="array" aca="1" ref="Q80" ca="1">IFERROR(INDIRECT("'"&amp;$A80&amp;"'!S6")," ")</f>
        <v xml:space="preserve"> </v>
      </c>
      <c r="R80" s="43" t="str" cm="1">
        <f t="array" aca="1" ref="R80" ca="1">IFERROR(INDIRECT("'"&amp;$A80&amp;"'!S7")," ")</f>
        <v xml:space="preserve"> </v>
      </c>
      <c r="S80" s="43" t="str" cm="1">
        <f t="array" aca="1" ref="S80" ca="1">IFERROR(INDIRECT("'"&amp;$A80&amp;"'!S8")," ")</f>
        <v xml:space="preserve"> </v>
      </c>
      <c r="T80" s="43" t="str" cm="1">
        <f t="array" aca="1" ref="T80" ca="1">IFERROR(INDIRECT("'"&amp;$A80&amp;"'!S9")," ")</f>
        <v xml:space="preserve"> </v>
      </c>
      <c r="U80" s="43" t="str" cm="1">
        <f t="array" aca="1" ref="U80" ca="1">IFERROR(INDIRECT("'"&amp;$A80&amp;"'!S10")," ")</f>
        <v xml:space="preserve"> </v>
      </c>
      <c r="V80" s="43" t="str" cm="1">
        <f t="array" aca="1" ref="V80" ca="1">IFERROR(INDIRECT("'"&amp;$A80&amp;"'!S11")," ")</f>
        <v xml:space="preserve"> </v>
      </c>
      <c r="W80" s="43" t="str" cm="1">
        <f t="array" aca="1" ref="W80" ca="1">IFERROR(INDIRECT("'"&amp;$A80&amp;"'!W5")," ")</f>
        <v xml:space="preserve"> </v>
      </c>
      <c r="X80" s="43" t="str" cm="1">
        <f t="array" aca="1" ref="X80" ca="1">IFERROR(INDIRECT("'"&amp;$A80&amp;"'!s8")," ")</f>
        <v xml:space="preserve"> </v>
      </c>
      <c r="Y80" s="43" t="str" cm="1">
        <f t="array" aca="1" ref="Y80" ca="1">IFERROR(INDIRECT("'"&amp;$A80&amp;"'!U5")," ")</f>
        <v xml:space="preserve"> </v>
      </c>
      <c r="Z80" s="43" t="str" cm="1">
        <f t="array" aca="1" ref="Z80" ca="1">IFERROR(INDIRECT("'"&amp;$A80&amp;"'!U6")," ")</f>
        <v xml:space="preserve"> </v>
      </c>
      <c r="AA80" s="43" t="str" cm="1">
        <f t="array" aca="1" ref="AA80" ca="1">IFERROR(INDIRECT("'"&amp;$A80&amp;"'!U7")," ")</f>
        <v xml:space="preserve"> </v>
      </c>
      <c r="AB80" s="43" t="str" cm="1">
        <f t="array" aca="1" ref="AB80" ca="1">IFERROR(INDIRECT("'"&amp;$A80&amp;"'!U8")," ")</f>
        <v xml:space="preserve"> </v>
      </c>
      <c r="AC80" s="43" t="str" cm="1">
        <f t="array" aca="1" ref="AC80" ca="1">IFERROR(INDIRECT("'"&amp;$A80&amp;"'!s9")," ")</f>
        <v xml:space="preserve"> </v>
      </c>
      <c r="AD80" s="7" t="str" cm="1">
        <f t="array" aca="1" ref="AD80" ca="1">IFERROR(INDIRECT("'"&amp;$A80&amp;"'!F6")," ")</f>
        <v xml:space="preserve"> </v>
      </c>
      <c r="AE80" s="118" t="str" cm="1">
        <f t="array" aca="1" ref="AE80" ca="1">IFERROR(INDIRECT("'"&amp;$A80&amp;"'!L4")," ")</f>
        <v xml:space="preserve"> </v>
      </c>
    </row>
    <row r="81" spans="2:31" ht="15" customHeight="1" x14ac:dyDescent="0.3">
      <c r="B81" s="8" t="str" cm="1">
        <f t="array" aca="1" ref="B81" ca="1">IFERROR(INDIRECT("'"&amp;$A81&amp;"'!A2"),"")</f>
        <v/>
      </c>
      <c r="C81" s="8" t="str" cm="1">
        <f t="array" aca="1" ref="C81" ca="1">IFERROR(INDIRECT("'"&amp;$A81&amp;"'!B5"),"")</f>
        <v/>
      </c>
      <c r="D81" s="9" t="str" cm="1">
        <f t="array" aca="1" ref="D81" ca="1">IFERROR(INDIRECT("'"&amp;$A81&amp;"'!B4"),"")</f>
        <v/>
      </c>
      <c r="E81" s="9" t="str" cm="1">
        <f t="array" aca="1" ref="E81" ca="1">IFERROR(INDIRECT("'"&amp;$A81&amp;"'!B7")," ")</f>
        <v xml:space="preserve"> </v>
      </c>
      <c r="F81" s="122" t="str" cm="1">
        <f t="array" aca="1" ref="F81" ca="1">IFERROR(INDIRECT("'"&amp;$A81&amp;"'!D9")," ")</f>
        <v xml:space="preserve"> </v>
      </c>
      <c r="G81" s="52" t="str" cm="1">
        <f t="array" aca="1" ref="G81" ca="1">IFERROR(INDIRECT("'"&amp;$A81&amp;"'!B9")," ")</f>
        <v xml:space="preserve"> </v>
      </c>
      <c r="H81" s="144" t="str" cm="1">
        <f t="array" aca="1" ref="H81" ca="1">IFERROR(INDIRECT("'"&amp;$A81&amp;"'!D4")," ")</f>
        <v xml:space="preserve"> </v>
      </c>
      <c r="I81" s="5" t="str" cm="1">
        <f t="array" aca="1" ref="I81" ca="1">IFERROR(INDIRECT("'"&amp;$A81&amp;"'!D7")," ")</f>
        <v xml:space="preserve"> </v>
      </c>
      <c r="J81" s="5" t="str" cm="1">
        <f t="array" aca="1" ref="J81" ca="1">IFERROR(INDIRECT("'"&amp;$A81&amp;"'!D8")," ")</f>
        <v xml:space="preserve"> </v>
      </c>
      <c r="K81" s="5" t="str" cm="1">
        <f t="array" aca="1" ref="K81" ca="1">IFERROR(INDIRECT("'"&amp;$A81&amp;"'!D5")," ")</f>
        <v xml:space="preserve"> </v>
      </c>
      <c r="L81" s="54" t="str" cm="1">
        <f t="array" aca="1" ref="L81" ca="1">IFERROR(INDIRECT("'"&amp;$A81&amp;"'!Q10")," ")</f>
        <v xml:space="preserve"> </v>
      </c>
      <c r="M81" s="43" t="str" cm="1">
        <f t="array" aca="1" ref="M81" ca="1">IFERROR(INDIRECT("'"&amp;$A81&amp;"'!Q5")," ")</f>
        <v xml:space="preserve"> </v>
      </c>
      <c r="N81" s="43" t="str" cm="1">
        <f t="array" aca="1" ref="N81" ca="1">IFERROR(INDIRECT("'"&amp;$A81&amp;"'!Q6")," ")</f>
        <v xml:space="preserve"> </v>
      </c>
      <c r="O81" s="43" t="str" cm="1">
        <f t="array" aca="1" ref="O81" ca="1">IFERROR(INDIRECT("'"&amp;$A81&amp;"'!Q7")," ")</f>
        <v xml:space="preserve"> </v>
      </c>
      <c r="P81" s="43" t="str" cm="1">
        <f t="array" aca="1" ref="P81" ca="1">IFERROR(INDIRECT("'"&amp;$A81&amp;"'!S5")," ")</f>
        <v xml:space="preserve"> </v>
      </c>
      <c r="Q81" s="43" t="str" cm="1">
        <f t="array" aca="1" ref="Q81" ca="1">IFERROR(INDIRECT("'"&amp;$A81&amp;"'!S6")," ")</f>
        <v xml:space="preserve"> </v>
      </c>
      <c r="R81" s="43" t="str" cm="1">
        <f t="array" aca="1" ref="R81" ca="1">IFERROR(INDIRECT("'"&amp;$A81&amp;"'!S7")," ")</f>
        <v xml:space="preserve"> </v>
      </c>
      <c r="S81" s="43" t="str" cm="1">
        <f t="array" aca="1" ref="S81" ca="1">IFERROR(INDIRECT("'"&amp;$A81&amp;"'!S8")," ")</f>
        <v xml:space="preserve"> </v>
      </c>
      <c r="T81" s="43" t="str" cm="1">
        <f t="array" aca="1" ref="T81" ca="1">IFERROR(INDIRECT("'"&amp;$A81&amp;"'!S9")," ")</f>
        <v xml:space="preserve"> </v>
      </c>
      <c r="U81" s="43" t="str" cm="1">
        <f t="array" aca="1" ref="U81" ca="1">IFERROR(INDIRECT("'"&amp;$A81&amp;"'!S10")," ")</f>
        <v xml:space="preserve"> </v>
      </c>
      <c r="V81" s="43" t="str" cm="1">
        <f t="array" aca="1" ref="V81" ca="1">IFERROR(INDIRECT("'"&amp;$A81&amp;"'!S11")," ")</f>
        <v xml:space="preserve"> </v>
      </c>
      <c r="W81" s="43" t="str" cm="1">
        <f t="array" aca="1" ref="W81" ca="1">IFERROR(INDIRECT("'"&amp;$A81&amp;"'!W5")," ")</f>
        <v xml:space="preserve"> </v>
      </c>
      <c r="X81" s="43" t="str" cm="1">
        <f t="array" aca="1" ref="X81" ca="1">IFERROR(INDIRECT("'"&amp;$A81&amp;"'!s8")," ")</f>
        <v xml:space="preserve"> </v>
      </c>
      <c r="Y81" s="43" t="str" cm="1">
        <f t="array" aca="1" ref="Y81" ca="1">IFERROR(INDIRECT("'"&amp;$A81&amp;"'!U5")," ")</f>
        <v xml:space="preserve"> </v>
      </c>
      <c r="Z81" s="43" t="str" cm="1">
        <f t="array" aca="1" ref="Z81" ca="1">IFERROR(INDIRECT("'"&amp;$A81&amp;"'!U6")," ")</f>
        <v xml:space="preserve"> </v>
      </c>
      <c r="AA81" s="43" t="str" cm="1">
        <f t="array" aca="1" ref="AA81" ca="1">IFERROR(INDIRECT("'"&amp;$A81&amp;"'!U7")," ")</f>
        <v xml:space="preserve"> </v>
      </c>
      <c r="AB81" s="43" t="str" cm="1">
        <f t="array" aca="1" ref="AB81" ca="1">IFERROR(INDIRECT("'"&amp;$A81&amp;"'!U8")," ")</f>
        <v xml:space="preserve"> </v>
      </c>
      <c r="AC81" s="43" t="str" cm="1">
        <f t="array" aca="1" ref="AC81" ca="1">IFERROR(INDIRECT("'"&amp;$A81&amp;"'!s9")," ")</f>
        <v xml:space="preserve"> </v>
      </c>
      <c r="AD81" s="7" t="str" cm="1">
        <f t="array" aca="1" ref="AD81" ca="1">IFERROR(INDIRECT("'"&amp;$A81&amp;"'!F6")," ")</f>
        <v xml:space="preserve"> </v>
      </c>
      <c r="AE81" s="118" t="str" cm="1">
        <f t="array" aca="1" ref="AE81" ca="1">IFERROR(INDIRECT("'"&amp;$A81&amp;"'!L4")," ")</f>
        <v xml:space="preserve"> </v>
      </c>
    </row>
    <row r="82" spans="2:31" ht="15" customHeight="1" x14ac:dyDescent="0.3">
      <c r="B82" s="8" t="str" cm="1">
        <f t="array" aca="1" ref="B82" ca="1">IFERROR(INDIRECT("'"&amp;$A82&amp;"'!A2"),"")</f>
        <v/>
      </c>
      <c r="C82" s="8" t="str" cm="1">
        <f t="array" aca="1" ref="C82" ca="1">IFERROR(INDIRECT("'"&amp;$A82&amp;"'!B5"),"")</f>
        <v/>
      </c>
      <c r="D82" s="9" t="str" cm="1">
        <f t="array" aca="1" ref="D82" ca="1">IFERROR(INDIRECT("'"&amp;$A82&amp;"'!B4"),"")</f>
        <v/>
      </c>
      <c r="E82" s="9" t="str" cm="1">
        <f t="array" aca="1" ref="E82" ca="1">IFERROR(INDIRECT("'"&amp;$A82&amp;"'!B7")," ")</f>
        <v xml:space="preserve"> </v>
      </c>
      <c r="F82" s="122" t="str" cm="1">
        <f t="array" aca="1" ref="F82" ca="1">IFERROR(INDIRECT("'"&amp;$A82&amp;"'!D9")," ")</f>
        <v xml:space="preserve"> </v>
      </c>
      <c r="G82" s="52" t="str" cm="1">
        <f t="array" aca="1" ref="G82" ca="1">IFERROR(INDIRECT("'"&amp;$A82&amp;"'!B9")," ")</f>
        <v xml:space="preserve"> </v>
      </c>
      <c r="H82" s="70" t="str" cm="1">
        <f t="array" aca="1" ref="H82" ca="1">IFERROR(INDIRECT("'"&amp;$A82&amp;"'!D4")," ")</f>
        <v xml:space="preserve"> </v>
      </c>
      <c r="I82" s="5" t="str" cm="1">
        <f t="array" aca="1" ref="I82" ca="1">IFERROR(INDIRECT("'"&amp;$A82&amp;"'!D7")," ")</f>
        <v xml:space="preserve"> </v>
      </c>
      <c r="J82" s="5" t="str" cm="1">
        <f t="array" aca="1" ref="J82" ca="1">IFERROR(INDIRECT("'"&amp;$A82&amp;"'!D8")," ")</f>
        <v xml:space="preserve"> </v>
      </c>
      <c r="K82" s="5" t="str" cm="1">
        <f t="array" aca="1" ref="K82" ca="1">IFERROR(INDIRECT("'"&amp;$A82&amp;"'!D5")," ")</f>
        <v xml:space="preserve"> </v>
      </c>
      <c r="L82" s="54" t="str" cm="1">
        <f t="array" aca="1" ref="L82" ca="1">IFERROR(INDIRECT("'"&amp;$A82&amp;"'!Q10")," ")</f>
        <v xml:space="preserve"> </v>
      </c>
      <c r="M82" s="43" t="str" cm="1">
        <f t="array" aca="1" ref="M82" ca="1">IFERROR(INDIRECT("'"&amp;$A82&amp;"'!Q5")," ")</f>
        <v xml:space="preserve"> </v>
      </c>
      <c r="N82" s="43" t="str" cm="1">
        <f t="array" aca="1" ref="N82" ca="1">IFERROR(INDIRECT("'"&amp;$A82&amp;"'!Q6")," ")</f>
        <v xml:space="preserve"> </v>
      </c>
      <c r="O82" s="43" t="str" cm="1">
        <f t="array" aca="1" ref="O82" ca="1">IFERROR(INDIRECT("'"&amp;$A82&amp;"'!Q7")," ")</f>
        <v xml:space="preserve"> </v>
      </c>
      <c r="P82" s="43" t="str" cm="1">
        <f t="array" aca="1" ref="P82" ca="1">IFERROR(INDIRECT("'"&amp;$A82&amp;"'!S5")," ")</f>
        <v xml:space="preserve"> </v>
      </c>
      <c r="Q82" s="43" t="str" cm="1">
        <f t="array" aca="1" ref="Q82" ca="1">IFERROR(INDIRECT("'"&amp;$A82&amp;"'!S6")," ")</f>
        <v xml:space="preserve"> </v>
      </c>
      <c r="R82" s="43" t="str" cm="1">
        <f t="array" aca="1" ref="R82" ca="1">IFERROR(INDIRECT("'"&amp;$A82&amp;"'!S7")," ")</f>
        <v xml:space="preserve"> </v>
      </c>
      <c r="S82" s="43" t="str" cm="1">
        <f t="array" aca="1" ref="S82" ca="1">IFERROR(INDIRECT("'"&amp;$A82&amp;"'!S8")," ")</f>
        <v xml:space="preserve"> </v>
      </c>
      <c r="T82" s="43" t="str" cm="1">
        <f t="array" aca="1" ref="T82" ca="1">IFERROR(INDIRECT("'"&amp;$A82&amp;"'!S9")," ")</f>
        <v xml:space="preserve"> </v>
      </c>
      <c r="U82" s="43" t="str" cm="1">
        <f t="array" aca="1" ref="U82" ca="1">IFERROR(INDIRECT("'"&amp;$A82&amp;"'!S10")," ")</f>
        <v xml:space="preserve"> </v>
      </c>
      <c r="V82" s="43" t="str" cm="1">
        <f t="array" aca="1" ref="V82" ca="1">IFERROR(INDIRECT("'"&amp;$A82&amp;"'!S11")," ")</f>
        <v xml:space="preserve"> </v>
      </c>
      <c r="W82" s="43" t="str" cm="1">
        <f t="array" aca="1" ref="W82" ca="1">IFERROR(INDIRECT("'"&amp;$A82&amp;"'!W5")," ")</f>
        <v xml:space="preserve"> </v>
      </c>
      <c r="X82" s="43" t="str" cm="1">
        <f t="array" aca="1" ref="X82" ca="1">IFERROR(INDIRECT("'"&amp;$A82&amp;"'!s8")," ")</f>
        <v xml:space="preserve"> </v>
      </c>
      <c r="Y82" s="43" t="str" cm="1">
        <f t="array" aca="1" ref="Y82" ca="1">IFERROR(INDIRECT("'"&amp;$A82&amp;"'!U5")," ")</f>
        <v xml:space="preserve"> </v>
      </c>
      <c r="Z82" s="43" t="str" cm="1">
        <f t="array" aca="1" ref="Z82" ca="1">IFERROR(INDIRECT("'"&amp;$A82&amp;"'!U6")," ")</f>
        <v xml:space="preserve"> </v>
      </c>
      <c r="AA82" s="43" t="str" cm="1">
        <f t="array" aca="1" ref="AA82" ca="1">IFERROR(INDIRECT("'"&amp;$A82&amp;"'!U7")," ")</f>
        <v xml:space="preserve"> </v>
      </c>
      <c r="AB82" s="43" t="str" cm="1">
        <f t="array" aca="1" ref="AB82" ca="1">IFERROR(INDIRECT("'"&amp;$A82&amp;"'!U8")," ")</f>
        <v xml:space="preserve"> </v>
      </c>
      <c r="AC82" s="43" t="str" cm="1">
        <f t="array" aca="1" ref="AC82" ca="1">IFERROR(INDIRECT("'"&amp;$A82&amp;"'!s9")," ")</f>
        <v xml:space="preserve"> </v>
      </c>
      <c r="AD82" s="7" t="str" cm="1">
        <f t="array" aca="1" ref="AD82" ca="1">IFERROR(INDIRECT("'"&amp;$A82&amp;"'!F6")," ")</f>
        <v xml:space="preserve"> </v>
      </c>
      <c r="AE82" s="118" t="str" cm="1">
        <f t="array" aca="1" ref="AE82" ca="1">IFERROR(INDIRECT("'"&amp;$A82&amp;"'!L4")," ")</f>
        <v xml:space="preserve"> </v>
      </c>
    </row>
    <row r="83" spans="2:31" ht="15" customHeight="1" x14ac:dyDescent="0.3">
      <c r="B83" s="8" t="str" cm="1">
        <f t="array" aca="1" ref="B83" ca="1">IFERROR(INDIRECT("'"&amp;$A83&amp;"'!A2"),"")</f>
        <v/>
      </c>
      <c r="C83" s="8" t="str" cm="1">
        <f t="array" aca="1" ref="C83" ca="1">IFERROR(INDIRECT("'"&amp;$A83&amp;"'!B5"),"")</f>
        <v/>
      </c>
      <c r="D83" s="9" t="str" cm="1">
        <f t="array" aca="1" ref="D83" ca="1">IFERROR(INDIRECT("'"&amp;$A83&amp;"'!B4"),"")</f>
        <v/>
      </c>
      <c r="E83" s="9" t="str" cm="1">
        <f t="array" aca="1" ref="E83" ca="1">IFERROR(INDIRECT("'"&amp;$A83&amp;"'!B7")," ")</f>
        <v xml:space="preserve"> </v>
      </c>
      <c r="F83" s="122" t="str" cm="1">
        <f t="array" aca="1" ref="F83" ca="1">IFERROR(INDIRECT("'"&amp;$A83&amp;"'!D9")," ")</f>
        <v xml:space="preserve"> </v>
      </c>
      <c r="G83" s="52" t="str" cm="1">
        <f t="array" aca="1" ref="G83" ca="1">IFERROR(INDIRECT("'"&amp;$A83&amp;"'!B9")," ")</f>
        <v xml:space="preserve"> </v>
      </c>
      <c r="H83" s="144" t="str" cm="1">
        <f t="array" aca="1" ref="H83" ca="1">IFERROR(INDIRECT("'"&amp;$A83&amp;"'!D4")," ")</f>
        <v xml:space="preserve"> </v>
      </c>
      <c r="I83" s="5" t="str" cm="1">
        <f t="array" aca="1" ref="I83" ca="1">IFERROR(INDIRECT("'"&amp;$A83&amp;"'!D7")," ")</f>
        <v xml:space="preserve"> </v>
      </c>
      <c r="J83" s="5" t="str" cm="1">
        <f t="array" aca="1" ref="J83" ca="1">IFERROR(INDIRECT("'"&amp;$A83&amp;"'!D8")," ")</f>
        <v xml:space="preserve"> </v>
      </c>
      <c r="K83" s="5" t="str" cm="1">
        <f t="array" aca="1" ref="K83" ca="1">IFERROR(INDIRECT("'"&amp;$A83&amp;"'!D5")," ")</f>
        <v xml:space="preserve"> </v>
      </c>
      <c r="L83" s="54" t="str" cm="1">
        <f t="array" aca="1" ref="L83" ca="1">IFERROR(INDIRECT("'"&amp;$A83&amp;"'!Q10")," ")</f>
        <v xml:space="preserve"> </v>
      </c>
      <c r="M83" s="43" t="str" cm="1">
        <f t="array" aca="1" ref="M83" ca="1">IFERROR(INDIRECT("'"&amp;$A83&amp;"'!Q5")," ")</f>
        <v xml:space="preserve"> </v>
      </c>
      <c r="N83" s="43" t="str" cm="1">
        <f t="array" aca="1" ref="N83" ca="1">IFERROR(INDIRECT("'"&amp;$A83&amp;"'!Q6")," ")</f>
        <v xml:space="preserve"> </v>
      </c>
      <c r="O83" s="43" t="str" cm="1">
        <f t="array" aca="1" ref="O83" ca="1">IFERROR(INDIRECT("'"&amp;$A83&amp;"'!Q7")," ")</f>
        <v xml:space="preserve"> </v>
      </c>
      <c r="P83" s="43" t="str" cm="1">
        <f t="array" aca="1" ref="P83" ca="1">IFERROR(INDIRECT("'"&amp;$A83&amp;"'!S5")," ")</f>
        <v xml:space="preserve"> </v>
      </c>
      <c r="Q83" s="43" t="str" cm="1">
        <f t="array" aca="1" ref="Q83" ca="1">IFERROR(INDIRECT("'"&amp;$A83&amp;"'!S6")," ")</f>
        <v xml:space="preserve"> </v>
      </c>
      <c r="R83" s="43" t="str" cm="1">
        <f t="array" aca="1" ref="R83" ca="1">IFERROR(INDIRECT("'"&amp;$A83&amp;"'!S7")," ")</f>
        <v xml:space="preserve"> </v>
      </c>
      <c r="S83" s="43" t="str" cm="1">
        <f t="array" aca="1" ref="S83" ca="1">IFERROR(INDIRECT("'"&amp;$A83&amp;"'!S8")," ")</f>
        <v xml:space="preserve"> </v>
      </c>
      <c r="T83" s="43" t="str" cm="1">
        <f t="array" aca="1" ref="T83" ca="1">IFERROR(INDIRECT("'"&amp;$A83&amp;"'!S9")," ")</f>
        <v xml:space="preserve"> </v>
      </c>
      <c r="U83" s="43" t="str" cm="1">
        <f t="array" aca="1" ref="U83" ca="1">IFERROR(INDIRECT("'"&amp;$A83&amp;"'!S10")," ")</f>
        <v xml:space="preserve"> </v>
      </c>
      <c r="V83" s="43" t="str" cm="1">
        <f t="array" aca="1" ref="V83" ca="1">IFERROR(INDIRECT("'"&amp;$A83&amp;"'!S11")," ")</f>
        <v xml:space="preserve"> </v>
      </c>
      <c r="W83" s="43" t="str" cm="1">
        <f t="array" aca="1" ref="W83" ca="1">IFERROR(INDIRECT("'"&amp;$A83&amp;"'!W5")," ")</f>
        <v xml:space="preserve"> </v>
      </c>
      <c r="X83" s="43" t="str" cm="1">
        <f t="array" aca="1" ref="X83" ca="1">IFERROR(INDIRECT("'"&amp;$A83&amp;"'!s8")," ")</f>
        <v xml:space="preserve"> </v>
      </c>
      <c r="Y83" s="43" t="str" cm="1">
        <f t="array" aca="1" ref="Y83" ca="1">IFERROR(INDIRECT("'"&amp;$A83&amp;"'!U5")," ")</f>
        <v xml:space="preserve"> </v>
      </c>
      <c r="Z83" s="43" t="str" cm="1">
        <f t="array" aca="1" ref="Z83" ca="1">IFERROR(INDIRECT("'"&amp;$A83&amp;"'!U6")," ")</f>
        <v xml:space="preserve"> </v>
      </c>
      <c r="AA83" s="43" t="str" cm="1">
        <f t="array" aca="1" ref="AA83" ca="1">IFERROR(INDIRECT("'"&amp;$A83&amp;"'!U7")," ")</f>
        <v xml:space="preserve"> </v>
      </c>
      <c r="AB83" s="43" t="str" cm="1">
        <f t="array" aca="1" ref="AB83" ca="1">IFERROR(INDIRECT("'"&amp;$A83&amp;"'!U8")," ")</f>
        <v xml:space="preserve"> </v>
      </c>
      <c r="AC83" s="43" t="str" cm="1">
        <f t="array" aca="1" ref="AC83" ca="1">IFERROR(INDIRECT("'"&amp;$A83&amp;"'!s9")," ")</f>
        <v xml:space="preserve"> </v>
      </c>
      <c r="AD83" s="7" t="str" cm="1">
        <f t="array" aca="1" ref="AD83" ca="1">IFERROR(INDIRECT("'"&amp;$A83&amp;"'!F6")," ")</f>
        <v xml:space="preserve"> </v>
      </c>
      <c r="AE83" s="118" t="str" cm="1">
        <f t="array" aca="1" ref="AE83" ca="1">IFERROR(INDIRECT("'"&amp;$A83&amp;"'!L4")," ")</f>
        <v xml:space="preserve"> </v>
      </c>
    </row>
    <row r="84" spans="2:31" ht="15" customHeight="1" x14ac:dyDescent="0.3">
      <c r="B84" s="8" t="str" cm="1">
        <f t="array" aca="1" ref="B84" ca="1">IFERROR(INDIRECT("'"&amp;$A84&amp;"'!A2"),"")</f>
        <v/>
      </c>
      <c r="C84" s="8" t="str" cm="1">
        <f t="array" aca="1" ref="C84" ca="1">IFERROR(INDIRECT("'"&amp;$A84&amp;"'!B5"),"")</f>
        <v/>
      </c>
      <c r="D84" s="9" t="str" cm="1">
        <f t="array" aca="1" ref="D84" ca="1">IFERROR(INDIRECT("'"&amp;$A84&amp;"'!B4"),"")</f>
        <v/>
      </c>
      <c r="E84" s="9" t="str" cm="1">
        <f t="array" aca="1" ref="E84" ca="1">IFERROR(INDIRECT("'"&amp;$A84&amp;"'!B7")," ")</f>
        <v xml:space="preserve"> </v>
      </c>
      <c r="F84" s="122" t="str" cm="1">
        <f t="array" aca="1" ref="F84" ca="1">IFERROR(INDIRECT("'"&amp;$A84&amp;"'!D9")," ")</f>
        <v xml:space="preserve"> </v>
      </c>
      <c r="G84" s="52" t="str" cm="1">
        <f t="array" aca="1" ref="G84" ca="1">IFERROR(INDIRECT("'"&amp;$A84&amp;"'!B9")," ")</f>
        <v xml:space="preserve"> </v>
      </c>
      <c r="H84" s="144" t="str" cm="1">
        <f t="array" aca="1" ref="H84" ca="1">IFERROR(INDIRECT("'"&amp;$A84&amp;"'!D4")," ")</f>
        <v xml:space="preserve"> </v>
      </c>
      <c r="I84" s="5" t="str" cm="1">
        <f t="array" aca="1" ref="I84" ca="1">IFERROR(INDIRECT("'"&amp;$A84&amp;"'!D7")," ")</f>
        <v xml:space="preserve"> </v>
      </c>
      <c r="J84" s="5" t="str" cm="1">
        <f t="array" aca="1" ref="J84" ca="1">IFERROR(INDIRECT("'"&amp;$A84&amp;"'!D8")," ")</f>
        <v xml:space="preserve"> </v>
      </c>
      <c r="K84" s="5" t="str" cm="1">
        <f t="array" aca="1" ref="K84" ca="1">IFERROR(INDIRECT("'"&amp;$A84&amp;"'!D5")," ")</f>
        <v xml:space="preserve"> </v>
      </c>
      <c r="L84" s="54" t="str" cm="1">
        <f t="array" aca="1" ref="L84" ca="1">IFERROR(INDIRECT("'"&amp;$A84&amp;"'!Q10")," ")</f>
        <v xml:space="preserve"> </v>
      </c>
      <c r="M84" s="43" t="str" cm="1">
        <f t="array" aca="1" ref="M84" ca="1">IFERROR(INDIRECT("'"&amp;$A84&amp;"'!Q5")," ")</f>
        <v xml:space="preserve"> </v>
      </c>
      <c r="N84" s="43" t="str" cm="1">
        <f t="array" aca="1" ref="N84" ca="1">IFERROR(INDIRECT("'"&amp;$A84&amp;"'!Q6")," ")</f>
        <v xml:space="preserve"> </v>
      </c>
      <c r="O84" s="43" t="str" cm="1">
        <f t="array" aca="1" ref="O84" ca="1">IFERROR(INDIRECT("'"&amp;$A84&amp;"'!Q7")," ")</f>
        <v xml:space="preserve"> </v>
      </c>
      <c r="P84" s="43" t="str" cm="1">
        <f t="array" aca="1" ref="P84" ca="1">IFERROR(INDIRECT("'"&amp;$A84&amp;"'!S5")," ")</f>
        <v xml:space="preserve"> </v>
      </c>
      <c r="Q84" s="43" t="str" cm="1">
        <f t="array" aca="1" ref="Q84" ca="1">IFERROR(INDIRECT("'"&amp;$A84&amp;"'!S6")," ")</f>
        <v xml:space="preserve"> </v>
      </c>
      <c r="R84" s="43" t="str" cm="1">
        <f t="array" aca="1" ref="R84" ca="1">IFERROR(INDIRECT("'"&amp;$A84&amp;"'!S7")," ")</f>
        <v xml:space="preserve"> </v>
      </c>
      <c r="S84" s="43" t="str" cm="1">
        <f t="array" aca="1" ref="S84" ca="1">IFERROR(INDIRECT("'"&amp;$A84&amp;"'!S8")," ")</f>
        <v xml:space="preserve"> </v>
      </c>
      <c r="T84" s="43" t="str" cm="1">
        <f t="array" aca="1" ref="T84" ca="1">IFERROR(INDIRECT("'"&amp;$A84&amp;"'!S9")," ")</f>
        <v xml:space="preserve"> </v>
      </c>
      <c r="U84" s="43" t="str" cm="1">
        <f t="array" aca="1" ref="U84" ca="1">IFERROR(INDIRECT("'"&amp;$A84&amp;"'!S10")," ")</f>
        <v xml:space="preserve"> </v>
      </c>
      <c r="V84" s="43" t="str" cm="1">
        <f t="array" aca="1" ref="V84" ca="1">IFERROR(INDIRECT("'"&amp;$A84&amp;"'!S11")," ")</f>
        <v xml:space="preserve"> </v>
      </c>
      <c r="W84" s="43" t="str" cm="1">
        <f t="array" aca="1" ref="W84" ca="1">IFERROR(INDIRECT("'"&amp;$A84&amp;"'!W5")," ")</f>
        <v xml:space="preserve"> </v>
      </c>
      <c r="X84" s="43" t="str" cm="1">
        <f t="array" aca="1" ref="X84" ca="1">IFERROR(INDIRECT("'"&amp;$A84&amp;"'!s8")," ")</f>
        <v xml:space="preserve"> </v>
      </c>
      <c r="Y84" s="43" t="str" cm="1">
        <f t="array" aca="1" ref="Y84" ca="1">IFERROR(INDIRECT("'"&amp;$A84&amp;"'!U5")," ")</f>
        <v xml:space="preserve"> </v>
      </c>
      <c r="Z84" s="43" t="str" cm="1">
        <f t="array" aca="1" ref="Z84" ca="1">IFERROR(INDIRECT("'"&amp;$A84&amp;"'!U6")," ")</f>
        <v xml:space="preserve"> </v>
      </c>
      <c r="AA84" s="43" t="str" cm="1">
        <f t="array" aca="1" ref="AA84" ca="1">IFERROR(INDIRECT("'"&amp;$A84&amp;"'!U7")," ")</f>
        <v xml:space="preserve"> </v>
      </c>
      <c r="AB84" s="43" t="str" cm="1">
        <f t="array" aca="1" ref="AB84" ca="1">IFERROR(INDIRECT("'"&amp;$A84&amp;"'!U8")," ")</f>
        <v xml:space="preserve"> </v>
      </c>
      <c r="AC84" s="43" t="str" cm="1">
        <f t="array" aca="1" ref="AC84" ca="1">IFERROR(INDIRECT("'"&amp;$A84&amp;"'!s9")," ")</f>
        <v xml:space="preserve"> </v>
      </c>
      <c r="AD84" s="7" t="str" cm="1">
        <f t="array" aca="1" ref="AD84" ca="1">IFERROR(INDIRECT("'"&amp;$A84&amp;"'!F6")," ")</f>
        <v xml:space="preserve"> </v>
      </c>
      <c r="AE84" s="118" t="str" cm="1">
        <f t="array" aca="1" ref="AE84" ca="1">IFERROR(INDIRECT("'"&amp;$A84&amp;"'!L4")," ")</f>
        <v xml:space="preserve"> </v>
      </c>
    </row>
    <row r="85" spans="2:31" ht="15" customHeight="1" x14ac:dyDescent="0.3">
      <c r="B85" s="8" t="str" cm="1">
        <f t="array" aca="1" ref="B85" ca="1">IFERROR(INDIRECT("'"&amp;$A85&amp;"'!A2"),"")</f>
        <v/>
      </c>
      <c r="C85" s="8" t="str" cm="1">
        <f t="array" aca="1" ref="C85" ca="1">IFERROR(INDIRECT("'"&amp;$A85&amp;"'!B5"),"")</f>
        <v/>
      </c>
      <c r="D85" s="9" t="str" cm="1">
        <f t="array" aca="1" ref="D85" ca="1">IFERROR(INDIRECT("'"&amp;$A85&amp;"'!B4"),"")</f>
        <v/>
      </c>
      <c r="E85" s="9" t="str" cm="1">
        <f t="array" aca="1" ref="E85" ca="1">IFERROR(INDIRECT("'"&amp;$A85&amp;"'!B7")," ")</f>
        <v xml:space="preserve"> </v>
      </c>
      <c r="F85" s="122" t="str" cm="1">
        <f t="array" aca="1" ref="F85" ca="1">IFERROR(INDIRECT("'"&amp;$A85&amp;"'!D9")," ")</f>
        <v xml:space="preserve"> </v>
      </c>
      <c r="G85" s="52" t="str" cm="1">
        <f t="array" aca="1" ref="G85" ca="1">IFERROR(INDIRECT("'"&amp;$A85&amp;"'!B9")," ")</f>
        <v xml:space="preserve"> </v>
      </c>
      <c r="H85" s="144" t="str" cm="1">
        <f t="array" aca="1" ref="H85" ca="1">IFERROR(INDIRECT("'"&amp;$A85&amp;"'!D4")," ")</f>
        <v xml:space="preserve"> </v>
      </c>
      <c r="I85" s="5" t="str" cm="1">
        <f t="array" aca="1" ref="I85" ca="1">IFERROR(INDIRECT("'"&amp;$A85&amp;"'!D7")," ")</f>
        <v xml:space="preserve"> </v>
      </c>
      <c r="J85" s="5" t="str" cm="1">
        <f t="array" aca="1" ref="J85" ca="1">IFERROR(INDIRECT("'"&amp;$A85&amp;"'!D8")," ")</f>
        <v xml:space="preserve"> </v>
      </c>
      <c r="K85" s="5" t="str" cm="1">
        <f t="array" aca="1" ref="K85" ca="1">IFERROR(INDIRECT("'"&amp;$A85&amp;"'!D5")," ")</f>
        <v xml:space="preserve"> </v>
      </c>
      <c r="L85" s="54" t="str" cm="1">
        <f t="array" aca="1" ref="L85" ca="1">IFERROR(INDIRECT("'"&amp;$A85&amp;"'!Q10")," ")</f>
        <v xml:space="preserve"> </v>
      </c>
      <c r="M85" s="43" t="str" cm="1">
        <f t="array" aca="1" ref="M85" ca="1">IFERROR(INDIRECT("'"&amp;$A85&amp;"'!Q5")," ")</f>
        <v xml:space="preserve"> </v>
      </c>
      <c r="N85" s="43" t="str" cm="1">
        <f t="array" aca="1" ref="N85" ca="1">IFERROR(INDIRECT("'"&amp;$A85&amp;"'!Q6")," ")</f>
        <v xml:space="preserve"> </v>
      </c>
      <c r="O85" s="43" t="str" cm="1">
        <f t="array" aca="1" ref="O85" ca="1">IFERROR(INDIRECT("'"&amp;$A85&amp;"'!Q7")," ")</f>
        <v xml:space="preserve"> </v>
      </c>
      <c r="P85" s="43" t="str" cm="1">
        <f t="array" aca="1" ref="P85" ca="1">IFERROR(INDIRECT("'"&amp;$A85&amp;"'!S5")," ")</f>
        <v xml:space="preserve"> </v>
      </c>
      <c r="Q85" s="43" t="str" cm="1">
        <f t="array" aca="1" ref="Q85" ca="1">IFERROR(INDIRECT("'"&amp;$A85&amp;"'!S6")," ")</f>
        <v xml:space="preserve"> </v>
      </c>
      <c r="R85" s="43" t="str" cm="1">
        <f t="array" aca="1" ref="R85" ca="1">IFERROR(INDIRECT("'"&amp;$A85&amp;"'!S7")," ")</f>
        <v xml:space="preserve"> </v>
      </c>
      <c r="S85" s="43" t="str" cm="1">
        <f t="array" aca="1" ref="S85" ca="1">IFERROR(INDIRECT("'"&amp;$A85&amp;"'!S8")," ")</f>
        <v xml:space="preserve"> </v>
      </c>
      <c r="T85" s="43" t="str" cm="1">
        <f t="array" aca="1" ref="T85" ca="1">IFERROR(INDIRECT("'"&amp;$A85&amp;"'!S9")," ")</f>
        <v xml:space="preserve"> </v>
      </c>
      <c r="U85" s="43" t="str" cm="1">
        <f t="array" aca="1" ref="U85" ca="1">IFERROR(INDIRECT("'"&amp;$A85&amp;"'!S10")," ")</f>
        <v xml:space="preserve"> </v>
      </c>
      <c r="V85" s="43" t="str" cm="1">
        <f t="array" aca="1" ref="V85" ca="1">IFERROR(INDIRECT("'"&amp;$A85&amp;"'!S11")," ")</f>
        <v xml:space="preserve"> </v>
      </c>
      <c r="W85" s="43" t="str" cm="1">
        <f t="array" aca="1" ref="W85" ca="1">IFERROR(INDIRECT("'"&amp;$A85&amp;"'!W5")," ")</f>
        <v xml:space="preserve"> </v>
      </c>
      <c r="X85" s="43" t="str" cm="1">
        <f t="array" aca="1" ref="X85" ca="1">IFERROR(INDIRECT("'"&amp;$A85&amp;"'!s8")," ")</f>
        <v xml:space="preserve"> </v>
      </c>
      <c r="Y85" s="43" t="str" cm="1">
        <f t="array" aca="1" ref="Y85" ca="1">IFERROR(INDIRECT("'"&amp;$A85&amp;"'!U5")," ")</f>
        <v xml:space="preserve"> </v>
      </c>
      <c r="Z85" s="43" t="str" cm="1">
        <f t="array" aca="1" ref="Z85" ca="1">IFERROR(INDIRECT("'"&amp;$A85&amp;"'!U6")," ")</f>
        <v xml:space="preserve"> </v>
      </c>
      <c r="AA85" s="43" t="str" cm="1">
        <f t="array" aca="1" ref="AA85" ca="1">IFERROR(INDIRECT("'"&amp;$A85&amp;"'!U7")," ")</f>
        <v xml:space="preserve"> </v>
      </c>
      <c r="AB85" s="43" t="str" cm="1">
        <f t="array" aca="1" ref="AB85" ca="1">IFERROR(INDIRECT("'"&amp;$A85&amp;"'!U8")," ")</f>
        <v xml:space="preserve"> </v>
      </c>
      <c r="AC85" s="43" t="str" cm="1">
        <f t="array" aca="1" ref="AC85" ca="1">IFERROR(INDIRECT("'"&amp;$A85&amp;"'!s9")," ")</f>
        <v xml:space="preserve"> </v>
      </c>
      <c r="AD85" s="7" t="str" cm="1">
        <f t="array" aca="1" ref="AD85" ca="1">IFERROR(INDIRECT("'"&amp;$A85&amp;"'!F6")," ")</f>
        <v xml:space="preserve"> </v>
      </c>
      <c r="AE85" s="118" t="str" cm="1">
        <f t="array" aca="1" ref="AE85" ca="1">IFERROR(INDIRECT("'"&amp;$A85&amp;"'!L4")," ")</f>
        <v xml:space="preserve"> </v>
      </c>
    </row>
    <row r="86" spans="2:31" ht="15" customHeight="1" x14ac:dyDescent="0.3">
      <c r="B86" s="8" t="str" cm="1">
        <f t="array" aca="1" ref="B86" ca="1">IFERROR(INDIRECT("'"&amp;$A86&amp;"'!A2"),"")</f>
        <v/>
      </c>
      <c r="C86" s="8" t="str" cm="1">
        <f t="array" aca="1" ref="C86" ca="1">IFERROR(INDIRECT("'"&amp;$A86&amp;"'!B5"),"")</f>
        <v/>
      </c>
      <c r="D86" s="9" t="str" cm="1">
        <f t="array" aca="1" ref="D86" ca="1">IFERROR(INDIRECT("'"&amp;$A86&amp;"'!B4"),"")</f>
        <v/>
      </c>
      <c r="E86" s="9" t="str" cm="1">
        <f t="array" aca="1" ref="E86" ca="1">IFERROR(INDIRECT("'"&amp;$A86&amp;"'!B7")," ")</f>
        <v xml:space="preserve"> </v>
      </c>
      <c r="F86" s="122" t="str" cm="1">
        <f t="array" aca="1" ref="F86" ca="1">IFERROR(INDIRECT("'"&amp;$A86&amp;"'!D9")," ")</f>
        <v xml:space="preserve"> </v>
      </c>
      <c r="G86" s="52" t="str" cm="1">
        <f t="array" aca="1" ref="G86" ca="1">IFERROR(INDIRECT("'"&amp;$A86&amp;"'!B9")," ")</f>
        <v xml:space="preserve"> </v>
      </c>
      <c r="H86" s="144" t="str" cm="1">
        <f t="array" aca="1" ref="H86" ca="1">IFERROR(INDIRECT("'"&amp;$A86&amp;"'!D4")," ")</f>
        <v xml:space="preserve"> </v>
      </c>
      <c r="I86" s="5" t="str" cm="1">
        <f t="array" aca="1" ref="I86" ca="1">IFERROR(INDIRECT("'"&amp;$A86&amp;"'!D7")," ")</f>
        <v xml:space="preserve"> </v>
      </c>
      <c r="J86" s="5" t="str" cm="1">
        <f t="array" aca="1" ref="J86" ca="1">IFERROR(INDIRECT("'"&amp;$A86&amp;"'!D8")," ")</f>
        <v xml:space="preserve"> </v>
      </c>
      <c r="K86" s="5" t="str" cm="1">
        <f t="array" aca="1" ref="K86" ca="1">IFERROR(INDIRECT("'"&amp;$A86&amp;"'!D5")," ")</f>
        <v xml:space="preserve"> </v>
      </c>
      <c r="L86" s="54" t="str" cm="1">
        <f t="array" aca="1" ref="L86" ca="1">IFERROR(INDIRECT("'"&amp;$A86&amp;"'!Q10")," ")</f>
        <v xml:space="preserve"> </v>
      </c>
      <c r="M86" s="43" t="str" cm="1">
        <f t="array" aca="1" ref="M86" ca="1">IFERROR(INDIRECT("'"&amp;$A86&amp;"'!Q5")," ")</f>
        <v xml:space="preserve"> </v>
      </c>
      <c r="N86" s="43" t="str" cm="1">
        <f t="array" aca="1" ref="N86" ca="1">IFERROR(INDIRECT("'"&amp;$A86&amp;"'!Q6")," ")</f>
        <v xml:space="preserve"> </v>
      </c>
      <c r="O86" s="43" t="str" cm="1">
        <f t="array" aca="1" ref="O86" ca="1">IFERROR(INDIRECT("'"&amp;$A86&amp;"'!Q7")," ")</f>
        <v xml:space="preserve"> </v>
      </c>
      <c r="P86" s="43" t="str" cm="1">
        <f t="array" aca="1" ref="P86" ca="1">IFERROR(INDIRECT("'"&amp;$A86&amp;"'!S5")," ")</f>
        <v xml:space="preserve"> </v>
      </c>
      <c r="Q86" s="43" t="str" cm="1">
        <f t="array" aca="1" ref="Q86" ca="1">IFERROR(INDIRECT("'"&amp;$A86&amp;"'!S6")," ")</f>
        <v xml:space="preserve"> </v>
      </c>
      <c r="R86" s="43" t="str" cm="1">
        <f t="array" aca="1" ref="R86" ca="1">IFERROR(INDIRECT("'"&amp;$A86&amp;"'!S7")," ")</f>
        <v xml:space="preserve"> </v>
      </c>
      <c r="S86" s="43" t="str" cm="1">
        <f t="array" aca="1" ref="S86" ca="1">IFERROR(INDIRECT("'"&amp;$A86&amp;"'!S8")," ")</f>
        <v xml:space="preserve"> </v>
      </c>
      <c r="T86" s="43" t="str" cm="1">
        <f t="array" aca="1" ref="T86" ca="1">IFERROR(INDIRECT("'"&amp;$A86&amp;"'!S9")," ")</f>
        <v xml:space="preserve"> </v>
      </c>
      <c r="U86" s="43" t="str" cm="1">
        <f t="array" aca="1" ref="U86" ca="1">IFERROR(INDIRECT("'"&amp;$A86&amp;"'!S10")," ")</f>
        <v xml:space="preserve"> </v>
      </c>
      <c r="V86" s="43" t="str" cm="1">
        <f t="array" aca="1" ref="V86" ca="1">IFERROR(INDIRECT("'"&amp;$A86&amp;"'!S11")," ")</f>
        <v xml:space="preserve"> </v>
      </c>
      <c r="W86" s="43" t="str" cm="1">
        <f t="array" aca="1" ref="W86" ca="1">IFERROR(INDIRECT("'"&amp;$A86&amp;"'!W5")," ")</f>
        <v xml:space="preserve"> </v>
      </c>
      <c r="X86" s="43" t="str" cm="1">
        <f t="array" aca="1" ref="X86" ca="1">IFERROR(INDIRECT("'"&amp;$A86&amp;"'!s8")," ")</f>
        <v xml:space="preserve"> </v>
      </c>
      <c r="Y86" s="43" t="str" cm="1">
        <f t="array" aca="1" ref="Y86" ca="1">IFERROR(INDIRECT("'"&amp;$A86&amp;"'!U5")," ")</f>
        <v xml:space="preserve"> </v>
      </c>
      <c r="Z86" s="43" t="str" cm="1">
        <f t="array" aca="1" ref="Z86" ca="1">IFERROR(INDIRECT("'"&amp;$A86&amp;"'!U6")," ")</f>
        <v xml:space="preserve"> </v>
      </c>
      <c r="AA86" s="43" t="str" cm="1">
        <f t="array" aca="1" ref="AA86" ca="1">IFERROR(INDIRECT("'"&amp;$A86&amp;"'!U7")," ")</f>
        <v xml:space="preserve"> </v>
      </c>
      <c r="AB86" s="43" t="str" cm="1">
        <f t="array" aca="1" ref="AB86" ca="1">IFERROR(INDIRECT("'"&amp;$A86&amp;"'!U8")," ")</f>
        <v xml:space="preserve"> </v>
      </c>
      <c r="AC86" s="43" t="str" cm="1">
        <f t="array" aca="1" ref="AC86" ca="1">IFERROR(INDIRECT("'"&amp;$A86&amp;"'!s9")," ")</f>
        <v xml:space="preserve"> </v>
      </c>
      <c r="AD86" s="7" t="str" cm="1">
        <f t="array" aca="1" ref="AD86" ca="1">IFERROR(INDIRECT("'"&amp;$A86&amp;"'!F6")," ")</f>
        <v xml:space="preserve"> </v>
      </c>
      <c r="AE86" s="118" t="str" cm="1">
        <f t="array" aca="1" ref="AE86" ca="1">IFERROR(INDIRECT("'"&amp;$A86&amp;"'!L4")," ")</f>
        <v xml:space="preserve"> </v>
      </c>
    </row>
    <row r="87" spans="2:31" ht="15" customHeight="1" x14ac:dyDescent="0.3">
      <c r="B87" s="8" t="str" cm="1">
        <f t="array" aca="1" ref="B87" ca="1">IFERROR(INDIRECT("'"&amp;$A87&amp;"'!A2"),"")</f>
        <v/>
      </c>
      <c r="C87" s="8" t="str" cm="1">
        <f t="array" aca="1" ref="C87" ca="1">IFERROR(INDIRECT("'"&amp;$A87&amp;"'!B5"),"")</f>
        <v/>
      </c>
      <c r="D87" s="9" t="str" cm="1">
        <f t="array" aca="1" ref="D87" ca="1">IFERROR(INDIRECT("'"&amp;$A87&amp;"'!B4"),"")</f>
        <v/>
      </c>
      <c r="E87" s="9" t="str" cm="1">
        <f t="array" aca="1" ref="E87" ca="1">IFERROR(INDIRECT("'"&amp;$A87&amp;"'!B7")," ")</f>
        <v xml:space="preserve"> </v>
      </c>
      <c r="F87" s="122" t="str" cm="1">
        <f t="array" aca="1" ref="F87" ca="1">IFERROR(INDIRECT("'"&amp;$A87&amp;"'!D9")," ")</f>
        <v xml:space="preserve"> </v>
      </c>
      <c r="G87" s="52" t="str" cm="1">
        <f t="array" aca="1" ref="G87" ca="1">IFERROR(INDIRECT("'"&amp;$A87&amp;"'!B9")," ")</f>
        <v xml:space="preserve"> </v>
      </c>
      <c r="H87" s="144" t="str" cm="1">
        <f t="array" aca="1" ref="H87" ca="1">IFERROR(INDIRECT("'"&amp;$A87&amp;"'!D4")," ")</f>
        <v xml:space="preserve"> </v>
      </c>
      <c r="I87" s="5" t="str" cm="1">
        <f t="array" aca="1" ref="I87" ca="1">IFERROR(INDIRECT("'"&amp;$A87&amp;"'!D7")," ")</f>
        <v xml:space="preserve"> </v>
      </c>
      <c r="J87" s="5" t="str" cm="1">
        <f t="array" aca="1" ref="J87" ca="1">IFERROR(INDIRECT("'"&amp;$A87&amp;"'!D8")," ")</f>
        <v xml:space="preserve"> </v>
      </c>
      <c r="K87" s="5" t="str" cm="1">
        <f t="array" aca="1" ref="K87" ca="1">IFERROR(INDIRECT("'"&amp;$A87&amp;"'!D5")," ")</f>
        <v xml:space="preserve"> </v>
      </c>
      <c r="L87" s="54" t="str" cm="1">
        <f t="array" aca="1" ref="L87" ca="1">IFERROR(INDIRECT("'"&amp;$A87&amp;"'!Q10")," ")</f>
        <v xml:space="preserve"> </v>
      </c>
      <c r="M87" s="43" t="str" cm="1">
        <f t="array" aca="1" ref="M87" ca="1">IFERROR(INDIRECT("'"&amp;$A87&amp;"'!Q5")," ")</f>
        <v xml:space="preserve"> </v>
      </c>
      <c r="N87" s="43" t="str" cm="1">
        <f t="array" aca="1" ref="N87" ca="1">IFERROR(INDIRECT("'"&amp;$A87&amp;"'!Q6")," ")</f>
        <v xml:space="preserve"> </v>
      </c>
      <c r="O87" s="43" t="str" cm="1">
        <f t="array" aca="1" ref="O87" ca="1">IFERROR(INDIRECT("'"&amp;$A87&amp;"'!Q7")," ")</f>
        <v xml:space="preserve"> </v>
      </c>
      <c r="P87" s="43" t="str" cm="1">
        <f t="array" aca="1" ref="P87" ca="1">IFERROR(INDIRECT("'"&amp;$A87&amp;"'!S5")," ")</f>
        <v xml:space="preserve"> </v>
      </c>
      <c r="Q87" s="43" t="str" cm="1">
        <f t="array" aca="1" ref="Q87" ca="1">IFERROR(INDIRECT("'"&amp;$A87&amp;"'!S6")," ")</f>
        <v xml:space="preserve"> </v>
      </c>
      <c r="R87" s="43" t="str" cm="1">
        <f t="array" aca="1" ref="R87" ca="1">IFERROR(INDIRECT("'"&amp;$A87&amp;"'!S7")," ")</f>
        <v xml:space="preserve"> </v>
      </c>
      <c r="S87" s="43" t="str" cm="1">
        <f t="array" aca="1" ref="S87" ca="1">IFERROR(INDIRECT("'"&amp;$A87&amp;"'!S8")," ")</f>
        <v xml:space="preserve"> </v>
      </c>
      <c r="T87" s="43" t="str" cm="1">
        <f t="array" aca="1" ref="T87" ca="1">IFERROR(INDIRECT("'"&amp;$A87&amp;"'!S9")," ")</f>
        <v xml:space="preserve"> </v>
      </c>
      <c r="U87" s="43" t="str" cm="1">
        <f t="array" aca="1" ref="U87" ca="1">IFERROR(INDIRECT("'"&amp;$A87&amp;"'!S10")," ")</f>
        <v xml:space="preserve"> </v>
      </c>
      <c r="V87" s="43" t="str" cm="1">
        <f t="array" aca="1" ref="V87" ca="1">IFERROR(INDIRECT("'"&amp;$A87&amp;"'!S11")," ")</f>
        <v xml:space="preserve"> </v>
      </c>
      <c r="W87" s="43" t="str" cm="1">
        <f t="array" aca="1" ref="W87" ca="1">IFERROR(INDIRECT("'"&amp;$A87&amp;"'!W5")," ")</f>
        <v xml:space="preserve"> </v>
      </c>
      <c r="X87" s="43" t="str" cm="1">
        <f t="array" aca="1" ref="X87" ca="1">IFERROR(INDIRECT("'"&amp;$A87&amp;"'!s8")," ")</f>
        <v xml:space="preserve"> </v>
      </c>
      <c r="Y87" s="43" t="str" cm="1">
        <f t="array" aca="1" ref="Y87" ca="1">IFERROR(INDIRECT("'"&amp;$A87&amp;"'!U5")," ")</f>
        <v xml:space="preserve"> </v>
      </c>
      <c r="Z87" s="43" t="str" cm="1">
        <f t="array" aca="1" ref="Z87" ca="1">IFERROR(INDIRECT("'"&amp;$A87&amp;"'!U6")," ")</f>
        <v xml:space="preserve"> </v>
      </c>
      <c r="AA87" s="43" t="str" cm="1">
        <f t="array" aca="1" ref="AA87" ca="1">IFERROR(INDIRECT("'"&amp;$A87&amp;"'!U7")," ")</f>
        <v xml:space="preserve"> </v>
      </c>
      <c r="AB87" s="43" t="str" cm="1">
        <f t="array" aca="1" ref="AB87" ca="1">IFERROR(INDIRECT("'"&amp;$A87&amp;"'!U8")," ")</f>
        <v xml:space="preserve"> </v>
      </c>
      <c r="AC87" s="43" t="str" cm="1">
        <f t="array" aca="1" ref="AC87" ca="1">IFERROR(INDIRECT("'"&amp;$A87&amp;"'!s9")," ")</f>
        <v xml:space="preserve"> </v>
      </c>
      <c r="AD87" s="7" t="str" cm="1">
        <f t="array" aca="1" ref="AD87" ca="1">IFERROR(INDIRECT("'"&amp;$A87&amp;"'!F6")," ")</f>
        <v xml:space="preserve"> </v>
      </c>
      <c r="AE87" s="118" t="str" cm="1">
        <f t="array" aca="1" ref="AE87" ca="1">IFERROR(INDIRECT("'"&amp;$A87&amp;"'!L4")," ")</f>
        <v xml:space="preserve"> </v>
      </c>
    </row>
    <row r="88" spans="2:31" ht="15" customHeight="1" x14ac:dyDescent="0.3">
      <c r="B88" s="8" t="str" cm="1">
        <f t="array" aca="1" ref="B88" ca="1">IFERROR(INDIRECT("'"&amp;$A88&amp;"'!A2"),"")</f>
        <v/>
      </c>
      <c r="C88" s="8" t="str" cm="1">
        <f t="array" aca="1" ref="C88" ca="1">IFERROR(INDIRECT("'"&amp;$A88&amp;"'!B5"),"")</f>
        <v/>
      </c>
      <c r="D88" s="9" t="str" cm="1">
        <f t="array" aca="1" ref="D88" ca="1">IFERROR(INDIRECT("'"&amp;$A88&amp;"'!B4"),"")</f>
        <v/>
      </c>
      <c r="E88" s="9" t="str" cm="1">
        <f t="array" aca="1" ref="E88" ca="1">IFERROR(INDIRECT("'"&amp;$A88&amp;"'!B7")," ")</f>
        <v xml:space="preserve"> </v>
      </c>
      <c r="F88" s="122" t="str" cm="1">
        <f t="array" aca="1" ref="F88" ca="1">IFERROR(INDIRECT("'"&amp;$A88&amp;"'!D9")," ")</f>
        <v xml:space="preserve"> </v>
      </c>
      <c r="G88" s="52" t="str" cm="1">
        <f t="array" aca="1" ref="G88" ca="1">IFERROR(INDIRECT("'"&amp;$A88&amp;"'!B9")," ")</f>
        <v xml:space="preserve"> </v>
      </c>
      <c r="H88" s="70" t="str" cm="1">
        <f t="array" aca="1" ref="H88" ca="1">IFERROR(INDIRECT("'"&amp;$A88&amp;"'!D4")," ")</f>
        <v xml:space="preserve"> </v>
      </c>
      <c r="I88" s="5" t="str" cm="1">
        <f t="array" aca="1" ref="I88" ca="1">IFERROR(INDIRECT("'"&amp;$A88&amp;"'!D7")," ")</f>
        <v xml:space="preserve"> </v>
      </c>
      <c r="J88" s="5" t="str" cm="1">
        <f t="array" aca="1" ref="J88" ca="1">IFERROR(INDIRECT("'"&amp;$A88&amp;"'!D8")," ")</f>
        <v xml:space="preserve"> </v>
      </c>
      <c r="K88" s="5" t="str" cm="1">
        <f t="array" aca="1" ref="K88" ca="1">IFERROR(INDIRECT("'"&amp;$A88&amp;"'!D5")," ")</f>
        <v xml:space="preserve"> </v>
      </c>
      <c r="L88" s="54" t="str" cm="1">
        <f t="array" aca="1" ref="L88" ca="1">IFERROR(INDIRECT("'"&amp;$A88&amp;"'!Q10")," ")</f>
        <v xml:space="preserve"> </v>
      </c>
      <c r="M88" s="43" t="str" cm="1">
        <f t="array" aca="1" ref="M88" ca="1">IFERROR(INDIRECT("'"&amp;$A88&amp;"'!Q5")," ")</f>
        <v xml:space="preserve"> </v>
      </c>
      <c r="N88" s="43" t="str" cm="1">
        <f t="array" aca="1" ref="N88" ca="1">IFERROR(INDIRECT("'"&amp;$A88&amp;"'!Q6")," ")</f>
        <v xml:space="preserve"> </v>
      </c>
      <c r="O88" s="43" t="str" cm="1">
        <f t="array" aca="1" ref="O88" ca="1">IFERROR(INDIRECT("'"&amp;$A88&amp;"'!Q7")," ")</f>
        <v xml:space="preserve"> </v>
      </c>
      <c r="P88" s="43" t="str" cm="1">
        <f t="array" aca="1" ref="P88" ca="1">IFERROR(INDIRECT("'"&amp;$A88&amp;"'!S5")," ")</f>
        <v xml:space="preserve"> </v>
      </c>
      <c r="Q88" s="43" t="str" cm="1">
        <f t="array" aca="1" ref="Q88" ca="1">IFERROR(INDIRECT("'"&amp;$A88&amp;"'!S6")," ")</f>
        <v xml:space="preserve"> </v>
      </c>
      <c r="R88" s="43" t="str" cm="1">
        <f t="array" aca="1" ref="R88" ca="1">IFERROR(INDIRECT("'"&amp;$A88&amp;"'!S7")," ")</f>
        <v xml:space="preserve"> </v>
      </c>
      <c r="S88" s="43" t="str" cm="1">
        <f t="array" aca="1" ref="S88" ca="1">IFERROR(INDIRECT("'"&amp;$A88&amp;"'!S8")," ")</f>
        <v xml:space="preserve"> </v>
      </c>
      <c r="T88" s="43" t="str" cm="1">
        <f t="array" aca="1" ref="T88" ca="1">IFERROR(INDIRECT("'"&amp;$A88&amp;"'!S9")," ")</f>
        <v xml:space="preserve"> </v>
      </c>
      <c r="U88" s="43" t="str" cm="1">
        <f t="array" aca="1" ref="U88" ca="1">IFERROR(INDIRECT("'"&amp;$A88&amp;"'!S10")," ")</f>
        <v xml:space="preserve"> </v>
      </c>
      <c r="V88" s="43" t="str" cm="1">
        <f t="array" aca="1" ref="V88" ca="1">IFERROR(INDIRECT("'"&amp;$A88&amp;"'!S11")," ")</f>
        <v xml:space="preserve"> </v>
      </c>
      <c r="W88" s="43" t="str" cm="1">
        <f t="array" aca="1" ref="W88" ca="1">IFERROR(INDIRECT("'"&amp;$A88&amp;"'!W5")," ")</f>
        <v xml:space="preserve"> </v>
      </c>
      <c r="X88" s="43" t="str" cm="1">
        <f t="array" aca="1" ref="X88" ca="1">IFERROR(INDIRECT("'"&amp;$A88&amp;"'!s8")," ")</f>
        <v xml:space="preserve"> </v>
      </c>
      <c r="Y88" s="43" t="str" cm="1">
        <f t="array" aca="1" ref="Y88" ca="1">IFERROR(INDIRECT("'"&amp;$A88&amp;"'!U5")," ")</f>
        <v xml:space="preserve"> </v>
      </c>
      <c r="Z88" s="43" t="str" cm="1">
        <f t="array" aca="1" ref="Z88" ca="1">IFERROR(INDIRECT("'"&amp;$A88&amp;"'!U6")," ")</f>
        <v xml:space="preserve"> </v>
      </c>
      <c r="AA88" s="43" t="str" cm="1">
        <f t="array" aca="1" ref="AA88" ca="1">IFERROR(INDIRECT("'"&amp;$A88&amp;"'!U7")," ")</f>
        <v xml:space="preserve"> </v>
      </c>
      <c r="AB88" s="43" t="str" cm="1">
        <f t="array" aca="1" ref="AB88" ca="1">IFERROR(INDIRECT("'"&amp;$A88&amp;"'!U8")," ")</f>
        <v xml:space="preserve"> </v>
      </c>
      <c r="AC88" s="43" t="str" cm="1">
        <f t="array" aca="1" ref="AC88" ca="1">IFERROR(INDIRECT("'"&amp;$A88&amp;"'!s9")," ")</f>
        <v xml:space="preserve"> </v>
      </c>
      <c r="AD88" s="7" t="str" cm="1">
        <f t="array" aca="1" ref="AD88" ca="1">IFERROR(INDIRECT("'"&amp;$A88&amp;"'!F6")," ")</f>
        <v xml:space="preserve"> </v>
      </c>
      <c r="AE88" s="118" t="str" cm="1">
        <f t="array" aca="1" ref="AE88" ca="1">IFERROR(INDIRECT("'"&amp;$A88&amp;"'!L4")," ")</f>
        <v xml:space="preserve"> </v>
      </c>
    </row>
    <row r="89" spans="2:31" ht="15" customHeight="1" x14ac:dyDescent="0.3">
      <c r="B89" s="8" t="str" cm="1">
        <f t="array" aca="1" ref="B89" ca="1">IFERROR(INDIRECT("'"&amp;$A89&amp;"'!A2"),"")</f>
        <v/>
      </c>
      <c r="C89" s="8" t="str" cm="1">
        <f t="array" aca="1" ref="C89" ca="1">IFERROR(INDIRECT("'"&amp;$A89&amp;"'!B5"),"")</f>
        <v/>
      </c>
      <c r="D89" s="9" t="str" cm="1">
        <f t="array" aca="1" ref="D89" ca="1">IFERROR(INDIRECT("'"&amp;$A89&amp;"'!B4"),"")</f>
        <v/>
      </c>
      <c r="E89" s="9" t="str" cm="1">
        <f t="array" aca="1" ref="E89" ca="1">IFERROR(INDIRECT("'"&amp;$A89&amp;"'!B7")," ")</f>
        <v xml:space="preserve"> </v>
      </c>
      <c r="F89" s="122" t="str" cm="1">
        <f t="array" aca="1" ref="F89" ca="1">IFERROR(INDIRECT("'"&amp;$A89&amp;"'!D9")," ")</f>
        <v xml:space="preserve"> </v>
      </c>
      <c r="G89" s="52" t="str" cm="1">
        <f t="array" aca="1" ref="G89" ca="1">IFERROR(INDIRECT("'"&amp;$A89&amp;"'!B9")," ")</f>
        <v xml:space="preserve"> </v>
      </c>
      <c r="H89" s="144" t="str" cm="1">
        <f t="array" aca="1" ref="H89" ca="1">IFERROR(INDIRECT("'"&amp;$A89&amp;"'!D4")," ")</f>
        <v xml:space="preserve"> </v>
      </c>
      <c r="I89" s="5" t="str" cm="1">
        <f t="array" aca="1" ref="I89" ca="1">IFERROR(INDIRECT("'"&amp;$A89&amp;"'!D7")," ")</f>
        <v xml:space="preserve"> </v>
      </c>
      <c r="J89" s="5" t="str" cm="1">
        <f t="array" aca="1" ref="J89" ca="1">IFERROR(INDIRECT("'"&amp;$A89&amp;"'!D8")," ")</f>
        <v xml:space="preserve"> </v>
      </c>
      <c r="K89" s="5" t="str" cm="1">
        <f t="array" aca="1" ref="K89" ca="1">IFERROR(INDIRECT("'"&amp;$A89&amp;"'!D5")," ")</f>
        <v xml:space="preserve"> </v>
      </c>
      <c r="L89" s="54" t="str" cm="1">
        <f t="array" aca="1" ref="L89" ca="1">IFERROR(INDIRECT("'"&amp;$A89&amp;"'!Q10")," ")</f>
        <v xml:space="preserve"> </v>
      </c>
      <c r="M89" s="43" t="str" cm="1">
        <f t="array" aca="1" ref="M89" ca="1">IFERROR(INDIRECT("'"&amp;$A89&amp;"'!Q5")," ")</f>
        <v xml:space="preserve"> </v>
      </c>
      <c r="N89" s="43" t="str" cm="1">
        <f t="array" aca="1" ref="N89" ca="1">IFERROR(INDIRECT("'"&amp;$A89&amp;"'!Q6")," ")</f>
        <v xml:space="preserve"> </v>
      </c>
      <c r="O89" s="43" t="str" cm="1">
        <f t="array" aca="1" ref="O89" ca="1">IFERROR(INDIRECT("'"&amp;$A89&amp;"'!Q7")," ")</f>
        <v xml:space="preserve"> </v>
      </c>
      <c r="P89" s="43" t="str" cm="1">
        <f t="array" aca="1" ref="P89" ca="1">IFERROR(INDIRECT("'"&amp;$A89&amp;"'!S5")," ")</f>
        <v xml:space="preserve"> </v>
      </c>
      <c r="Q89" s="43" t="str" cm="1">
        <f t="array" aca="1" ref="Q89" ca="1">IFERROR(INDIRECT("'"&amp;$A89&amp;"'!S6")," ")</f>
        <v xml:space="preserve"> </v>
      </c>
      <c r="R89" s="43" t="str" cm="1">
        <f t="array" aca="1" ref="R89" ca="1">IFERROR(INDIRECT("'"&amp;$A89&amp;"'!S7")," ")</f>
        <v xml:space="preserve"> </v>
      </c>
      <c r="S89" s="43" t="str" cm="1">
        <f t="array" aca="1" ref="S89" ca="1">IFERROR(INDIRECT("'"&amp;$A89&amp;"'!S8")," ")</f>
        <v xml:space="preserve"> </v>
      </c>
      <c r="T89" s="43" t="str" cm="1">
        <f t="array" aca="1" ref="T89" ca="1">IFERROR(INDIRECT("'"&amp;$A89&amp;"'!S9")," ")</f>
        <v xml:space="preserve"> </v>
      </c>
      <c r="U89" s="43" t="str" cm="1">
        <f t="array" aca="1" ref="U89" ca="1">IFERROR(INDIRECT("'"&amp;$A89&amp;"'!S10")," ")</f>
        <v xml:space="preserve"> </v>
      </c>
      <c r="V89" s="43" t="str" cm="1">
        <f t="array" aca="1" ref="V89" ca="1">IFERROR(INDIRECT("'"&amp;$A89&amp;"'!S11")," ")</f>
        <v xml:space="preserve"> </v>
      </c>
      <c r="W89" s="43" t="str" cm="1">
        <f t="array" aca="1" ref="W89" ca="1">IFERROR(INDIRECT("'"&amp;$A89&amp;"'!W5")," ")</f>
        <v xml:space="preserve"> </v>
      </c>
      <c r="X89" s="43" t="str" cm="1">
        <f t="array" aca="1" ref="X89" ca="1">IFERROR(INDIRECT("'"&amp;$A89&amp;"'!s8")," ")</f>
        <v xml:space="preserve"> </v>
      </c>
      <c r="Y89" s="43" t="str" cm="1">
        <f t="array" aca="1" ref="Y89" ca="1">IFERROR(INDIRECT("'"&amp;$A89&amp;"'!U5")," ")</f>
        <v xml:space="preserve"> </v>
      </c>
      <c r="Z89" s="43" t="str" cm="1">
        <f t="array" aca="1" ref="Z89" ca="1">IFERROR(INDIRECT("'"&amp;$A89&amp;"'!U6")," ")</f>
        <v xml:space="preserve"> </v>
      </c>
      <c r="AA89" s="43" t="str" cm="1">
        <f t="array" aca="1" ref="AA89" ca="1">IFERROR(INDIRECT("'"&amp;$A89&amp;"'!U7")," ")</f>
        <v xml:space="preserve"> </v>
      </c>
      <c r="AB89" s="43" t="str" cm="1">
        <f t="array" aca="1" ref="AB89" ca="1">IFERROR(INDIRECT("'"&amp;$A89&amp;"'!U8")," ")</f>
        <v xml:space="preserve"> </v>
      </c>
      <c r="AC89" s="43" t="str" cm="1">
        <f t="array" aca="1" ref="AC89" ca="1">IFERROR(INDIRECT("'"&amp;$A89&amp;"'!s9")," ")</f>
        <v xml:space="preserve"> </v>
      </c>
      <c r="AD89" s="7" t="str" cm="1">
        <f t="array" aca="1" ref="AD89" ca="1">IFERROR(INDIRECT("'"&amp;$A89&amp;"'!F6")," ")</f>
        <v xml:space="preserve"> </v>
      </c>
      <c r="AE89" s="118" t="str" cm="1">
        <f t="array" aca="1" ref="AE89" ca="1">IFERROR(INDIRECT("'"&amp;$A89&amp;"'!L4")," ")</f>
        <v xml:space="preserve"> </v>
      </c>
    </row>
    <row r="90" spans="2:31" ht="15" customHeight="1" x14ac:dyDescent="0.3">
      <c r="B90" s="8" t="str" cm="1">
        <f t="array" aca="1" ref="B90" ca="1">IFERROR(INDIRECT("'"&amp;$A90&amp;"'!A2"),"")</f>
        <v/>
      </c>
      <c r="C90" s="8" t="str" cm="1">
        <f t="array" aca="1" ref="C90" ca="1">IFERROR(INDIRECT("'"&amp;$A90&amp;"'!B5"),"")</f>
        <v/>
      </c>
      <c r="D90" s="9" t="str" cm="1">
        <f t="array" aca="1" ref="D90" ca="1">IFERROR(INDIRECT("'"&amp;$A90&amp;"'!B4"),"")</f>
        <v/>
      </c>
      <c r="E90" s="9" t="str" cm="1">
        <f t="array" aca="1" ref="E90" ca="1">IFERROR(INDIRECT("'"&amp;$A90&amp;"'!B7")," ")</f>
        <v xml:space="preserve"> </v>
      </c>
      <c r="F90" s="122" t="str" cm="1">
        <f t="array" aca="1" ref="F90" ca="1">IFERROR(INDIRECT("'"&amp;$A90&amp;"'!D9")," ")</f>
        <v xml:space="preserve"> </v>
      </c>
      <c r="G90" s="52" t="str" cm="1">
        <f t="array" aca="1" ref="G90" ca="1">IFERROR(INDIRECT("'"&amp;$A90&amp;"'!B9")," ")</f>
        <v xml:space="preserve"> </v>
      </c>
      <c r="H90" s="144" t="str" cm="1">
        <f t="array" aca="1" ref="H90" ca="1">IFERROR(INDIRECT("'"&amp;$A90&amp;"'!D4")," ")</f>
        <v xml:space="preserve"> </v>
      </c>
      <c r="I90" s="5" t="str" cm="1">
        <f t="array" aca="1" ref="I90" ca="1">IFERROR(INDIRECT("'"&amp;$A90&amp;"'!D7")," ")</f>
        <v xml:space="preserve"> </v>
      </c>
      <c r="J90" s="5" t="str" cm="1">
        <f t="array" aca="1" ref="J90" ca="1">IFERROR(INDIRECT("'"&amp;$A90&amp;"'!D8")," ")</f>
        <v xml:space="preserve"> </v>
      </c>
      <c r="K90" s="5" t="str" cm="1">
        <f t="array" aca="1" ref="K90" ca="1">IFERROR(INDIRECT("'"&amp;$A90&amp;"'!D5")," ")</f>
        <v xml:space="preserve"> </v>
      </c>
      <c r="L90" s="54" t="str" cm="1">
        <f t="array" aca="1" ref="L90" ca="1">IFERROR(INDIRECT("'"&amp;$A90&amp;"'!Q10")," ")</f>
        <v xml:space="preserve"> </v>
      </c>
      <c r="M90" s="43" t="str" cm="1">
        <f t="array" aca="1" ref="M90" ca="1">IFERROR(INDIRECT("'"&amp;$A90&amp;"'!Q5")," ")</f>
        <v xml:space="preserve"> </v>
      </c>
      <c r="N90" s="43" t="str" cm="1">
        <f t="array" aca="1" ref="N90" ca="1">IFERROR(INDIRECT("'"&amp;$A90&amp;"'!Q6")," ")</f>
        <v xml:space="preserve"> </v>
      </c>
      <c r="O90" s="43" t="str" cm="1">
        <f t="array" aca="1" ref="O90" ca="1">IFERROR(INDIRECT("'"&amp;$A90&amp;"'!Q7")," ")</f>
        <v xml:space="preserve"> </v>
      </c>
      <c r="P90" s="43" t="str" cm="1">
        <f t="array" aca="1" ref="P90" ca="1">IFERROR(INDIRECT("'"&amp;$A90&amp;"'!S5")," ")</f>
        <v xml:space="preserve"> </v>
      </c>
      <c r="Q90" s="43" t="str" cm="1">
        <f t="array" aca="1" ref="Q90" ca="1">IFERROR(INDIRECT("'"&amp;$A90&amp;"'!S6")," ")</f>
        <v xml:space="preserve"> </v>
      </c>
      <c r="R90" s="43" t="str" cm="1">
        <f t="array" aca="1" ref="R90" ca="1">IFERROR(INDIRECT("'"&amp;$A90&amp;"'!S7")," ")</f>
        <v xml:space="preserve"> </v>
      </c>
      <c r="S90" s="43" t="str" cm="1">
        <f t="array" aca="1" ref="S90" ca="1">IFERROR(INDIRECT("'"&amp;$A90&amp;"'!S8")," ")</f>
        <v xml:space="preserve"> </v>
      </c>
      <c r="T90" s="43" t="str" cm="1">
        <f t="array" aca="1" ref="T90" ca="1">IFERROR(INDIRECT("'"&amp;$A90&amp;"'!S9")," ")</f>
        <v xml:space="preserve"> </v>
      </c>
      <c r="U90" s="43" t="str" cm="1">
        <f t="array" aca="1" ref="U90" ca="1">IFERROR(INDIRECT("'"&amp;$A90&amp;"'!S10")," ")</f>
        <v xml:space="preserve"> </v>
      </c>
      <c r="V90" s="43" t="str" cm="1">
        <f t="array" aca="1" ref="V90" ca="1">IFERROR(INDIRECT("'"&amp;$A90&amp;"'!S11")," ")</f>
        <v xml:space="preserve"> </v>
      </c>
      <c r="W90" s="43" t="str" cm="1">
        <f t="array" aca="1" ref="W90" ca="1">IFERROR(INDIRECT("'"&amp;$A90&amp;"'!W5")," ")</f>
        <v xml:space="preserve"> </v>
      </c>
      <c r="X90" s="43" t="str" cm="1">
        <f t="array" aca="1" ref="X90" ca="1">IFERROR(INDIRECT("'"&amp;$A90&amp;"'!s8")," ")</f>
        <v xml:space="preserve"> </v>
      </c>
      <c r="Y90" s="43" t="str" cm="1">
        <f t="array" aca="1" ref="Y90" ca="1">IFERROR(INDIRECT("'"&amp;$A90&amp;"'!U5")," ")</f>
        <v xml:space="preserve"> </v>
      </c>
      <c r="Z90" s="43" t="str" cm="1">
        <f t="array" aca="1" ref="Z90" ca="1">IFERROR(INDIRECT("'"&amp;$A90&amp;"'!U6")," ")</f>
        <v xml:space="preserve"> </v>
      </c>
      <c r="AA90" s="43" t="str" cm="1">
        <f t="array" aca="1" ref="AA90" ca="1">IFERROR(INDIRECT("'"&amp;$A90&amp;"'!U7")," ")</f>
        <v xml:space="preserve"> </v>
      </c>
      <c r="AB90" s="43" t="str" cm="1">
        <f t="array" aca="1" ref="AB90" ca="1">IFERROR(INDIRECT("'"&amp;$A90&amp;"'!U8")," ")</f>
        <v xml:space="preserve"> </v>
      </c>
      <c r="AC90" s="43" t="str" cm="1">
        <f t="array" aca="1" ref="AC90" ca="1">IFERROR(INDIRECT("'"&amp;$A90&amp;"'!s9")," ")</f>
        <v xml:space="preserve"> </v>
      </c>
      <c r="AD90" s="7" t="str" cm="1">
        <f t="array" aca="1" ref="AD90" ca="1">IFERROR(INDIRECT("'"&amp;$A90&amp;"'!F6")," ")</f>
        <v xml:space="preserve"> </v>
      </c>
      <c r="AE90" s="118" t="str" cm="1">
        <f t="array" aca="1" ref="AE90" ca="1">IFERROR(INDIRECT("'"&amp;$A90&amp;"'!L4")," ")</f>
        <v xml:space="preserve"> </v>
      </c>
    </row>
    <row r="91" spans="2:31" ht="15" customHeight="1" x14ac:dyDescent="0.3">
      <c r="B91" s="8" t="str" cm="1">
        <f t="array" aca="1" ref="B91" ca="1">IFERROR(INDIRECT("'"&amp;$A91&amp;"'!A2"),"")</f>
        <v/>
      </c>
      <c r="C91" s="8" t="str" cm="1">
        <f t="array" aca="1" ref="C91" ca="1">IFERROR(INDIRECT("'"&amp;$A91&amp;"'!B5"),"")</f>
        <v/>
      </c>
      <c r="D91" s="9" t="str" cm="1">
        <f t="array" aca="1" ref="D91" ca="1">IFERROR(INDIRECT("'"&amp;$A91&amp;"'!B4"),"")</f>
        <v/>
      </c>
      <c r="E91" s="9" t="str" cm="1">
        <f t="array" aca="1" ref="E91" ca="1">IFERROR(INDIRECT("'"&amp;$A91&amp;"'!B7")," ")</f>
        <v xml:space="preserve"> </v>
      </c>
      <c r="F91" s="122" t="str" cm="1">
        <f t="array" aca="1" ref="F91" ca="1">IFERROR(INDIRECT("'"&amp;$A91&amp;"'!D9")," ")</f>
        <v xml:space="preserve"> </v>
      </c>
      <c r="G91" s="52" t="str" cm="1">
        <f t="array" aca="1" ref="G91" ca="1">IFERROR(INDIRECT("'"&amp;$A91&amp;"'!B9")," ")</f>
        <v xml:space="preserve"> </v>
      </c>
      <c r="H91" s="144" t="str" cm="1">
        <f t="array" aca="1" ref="H91" ca="1">IFERROR(INDIRECT("'"&amp;$A91&amp;"'!D4")," ")</f>
        <v xml:space="preserve"> </v>
      </c>
      <c r="I91" s="5" t="str" cm="1">
        <f t="array" aca="1" ref="I91" ca="1">IFERROR(INDIRECT("'"&amp;$A91&amp;"'!D7")," ")</f>
        <v xml:space="preserve"> </v>
      </c>
      <c r="J91" s="5" t="str" cm="1">
        <f t="array" aca="1" ref="J91" ca="1">IFERROR(INDIRECT("'"&amp;$A91&amp;"'!D8")," ")</f>
        <v xml:space="preserve"> </v>
      </c>
      <c r="K91" s="5" t="str" cm="1">
        <f t="array" aca="1" ref="K91" ca="1">IFERROR(INDIRECT("'"&amp;$A91&amp;"'!D5")," ")</f>
        <v xml:space="preserve"> </v>
      </c>
      <c r="L91" s="54" t="str" cm="1">
        <f t="array" aca="1" ref="L91" ca="1">IFERROR(INDIRECT("'"&amp;$A91&amp;"'!Q10")," ")</f>
        <v xml:space="preserve"> </v>
      </c>
      <c r="M91" s="43" t="str" cm="1">
        <f t="array" aca="1" ref="M91" ca="1">IFERROR(INDIRECT("'"&amp;$A91&amp;"'!Q5")," ")</f>
        <v xml:space="preserve"> </v>
      </c>
      <c r="N91" s="43" t="str" cm="1">
        <f t="array" aca="1" ref="N91" ca="1">IFERROR(INDIRECT("'"&amp;$A91&amp;"'!Q6")," ")</f>
        <v xml:space="preserve"> </v>
      </c>
      <c r="O91" s="43" t="str" cm="1">
        <f t="array" aca="1" ref="O91" ca="1">IFERROR(INDIRECT("'"&amp;$A91&amp;"'!Q7")," ")</f>
        <v xml:space="preserve"> </v>
      </c>
      <c r="P91" s="43" t="str" cm="1">
        <f t="array" aca="1" ref="P91" ca="1">IFERROR(INDIRECT("'"&amp;$A91&amp;"'!S5")," ")</f>
        <v xml:space="preserve"> </v>
      </c>
      <c r="Q91" s="43" t="str" cm="1">
        <f t="array" aca="1" ref="Q91" ca="1">IFERROR(INDIRECT("'"&amp;$A91&amp;"'!S6")," ")</f>
        <v xml:space="preserve"> </v>
      </c>
      <c r="R91" s="43" t="str" cm="1">
        <f t="array" aca="1" ref="R91" ca="1">IFERROR(INDIRECT("'"&amp;$A91&amp;"'!S7")," ")</f>
        <v xml:space="preserve"> </v>
      </c>
      <c r="S91" s="43" t="str" cm="1">
        <f t="array" aca="1" ref="S91" ca="1">IFERROR(INDIRECT("'"&amp;$A91&amp;"'!S8")," ")</f>
        <v xml:space="preserve"> </v>
      </c>
      <c r="T91" s="43" t="str" cm="1">
        <f t="array" aca="1" ref="T91" ca="1">IFERROR(INDIRECT("'"&amp;$A91&amp;"'!S9")," ")</f>
        <v xml:space="preserve"> </v>
      </c>
      <c r="U91" s="43" t="str" cm="1">
        <f t="array" aca="1" ref="U91" ca="1">IFERROR(INDIRECT("'"&amp;$A91&amp;"'!S10")," ")</f>
        <v xml:space="preserve"> </v>
      </c>
      <c r="V91" s="43" t="str" cm="1">
        <f t="array" aca="1" ref="V91" ca="1">IFERROR(INDIRECT("'"&amp;$A91&amp;"'!S11")," ")</f>
        <v xml:space="preserve"> </v>
      </c>
      <c r="W91" s="43" t="str" cm="1">
        <f t="array" aca="1" ref="W91" ca="1">IFERROR(INDIRECT("'"&amp;$A91&amp;"'!W5")," ")</f>
        <v xml:space="preserve"> </v>
      </c>
      <c r="X91" s="43" t="str" cm="1">
        <f t="array" aca="1" ref="X91" ca="1">IFERROR(INDIRECT("'"&amp;$A91&amp;"'!s8")," ")</f>
        <v xml:space="preserve"> </v>
      </c>
      <c r="Y91" s="43" t="str" cm="1">
        <f t="array" aca="1" ref="Y91" ca="1">IFERROR(INDIRECT("'"&amp;$A91&amp;"'!U5")," ")</f>
        <v xml:space="preserve"> </v>
      </c>
      <c r="Z91" s="43" t="str" cm="1">
        <f t="array" aca="1" ref="Z91" ca="1">IFERROR(INDIRECT("'"&amp;$A91&amp;"'!U6")," ")</f>
        <v xml:space="preserve"> </v>
      </c>
      <c r="AA91" s="43" t="str" cm="1">
        <f t="array" aca="1" ref="AA91" ca="1">IFERROR(INDIRECT("'"&amp;$A91&amp;"'!U7")," ")</f>
        <v xml:space="preserve"> </v>
      </c>
      <c r="AB91" s="43" t="str" cm="1">
        <f t="array" aca="1" ref="AB91" ca="1">IFERROR(INDIRECT("'"&amp;$A91&amp;"'!U8")," ")</f>
        <v xml:space="preserve"> </v>
      </c>
      <c r="AC91" s="43" t="str" cm="1">
        <f t="array" aca="1" ref="AC91" ca="1">IFERROR(INDIRECT("'"&amp;$A91&amp;"'!s9")," ")</f>
        <v xml:space="preserve"> </v>
      </c>
      <c r="AD91" s="7" t="str" cm="1">
        <f t="array" aca="1" ref="AD91" ca="1">IFERROR(INDIRECT("'"&amp;$A91&amp;"'!F6")," ")</f>
        <v xml:space="preserve"> </v>
      </c>
      <c r="AE91" s="118" t="str" cm="1">
        <f t="array" aca="1" ref="AE91" ca="1">IFERROR(INDIRECT("'"&amp;$A91&amp;"'!L4")," ")</f>
        <v xml:space="preserve"> </v>
      </c>
    </row>
    <row r="92" spans="2:31" ht="15" customHeight="1" x14ac:dyDescent="0.3">
      <c r="B92" s="8" t="str" cm="1">
        <f t="array" aca="1" ref="B92" ca="1">IFERROR(INDIRECT("'"&amp;$A92&amp;"'!A2"),"")</f>
        <v/>
      </c>
      <c r="C92" s="8" t="str" cm="1">
        <f t="array" aca="1" ref="C92" ca="1">IFERROR(INDIRECT("'"&amp;$A92&amp;"'!B5"),"")</f>
        <v/>
      </c>
      <c r="D92" s="9" t="str" cm="1">
        <f t="array" aca="1" ref="D92" ca="1">IFERROR(INDIRECT("'"&amp;$A92&amp;"'!B4"),"")</f>
        <v/>
      </c>
      <c r="E92" s="9" t="str" cm="1">
        <f t="array" aca="1" ref="E92" ca="1">IFERROR(INDIRECT("'"&amp;$A92&amp;"'!B7")," ")</f>
        <v xml:space="preserve"> </v>
      </c>
      <c r="F92" s="122" t="str" cm="1">
        <f t="array" aca="1" ref="F92" ca="1">IFERROR(INDIRECT("'"&amp;$A92&amp;"'!D9")," ")</f>
        <v xml:space="preserve"> </v>
      </c>
      <c r="G92" s="52" t="str" cm="1">
        <f t="array" aca="1" ref="G92" ca="1">IFERROR(INDIRECT("'"&amp;$A92&amp;"'!B9")," ")</f>
        <v xml:space="preserve"> </v>
      </c>
      <c r="H92" s="144" t="str" cm="1">
        <f t="array" aca="1" ref="H92" ca="1">IFERROR(INDIRECT("'"&amp;$A92&amp;"'!D4")," ")</f>
        <v xml:space="preserve"> </v>
      </c>
      <c r="I92" s="5" t="str" cm="1">
        <f t="array" aca="1" ref="I92" ca="1">IFERROR(INDIRECT("'"&amp;$A92&amp;"'!D7")," ")</f>
        <v xml:space="preserve"> </v>
      </c>
      <c r="J92" s="5" t="str" cm="1">
        <f t="array" aca="1" ref="J92" ca="1">IFERROR(INDIRECT("'"&amp;$A92&amp;"'!D8")," ")</f>
        <v xml:space="preserve"> </v>
      </c>
      <c r="K92" s="5" t="str" cm="1">
        <f t="array" aca="1" ref="K92" ca="1">IFERROR(INDIRECT("'"&amp;$A92&amp;"'!D5")," ")</f>
        <v xml:space="preserve"> </v>
      </c>
      <c r="L92" s="54" t="str" cm="1">
        <f t="array" aca="1" ref="L92" ca="1">IFERROR(INDIRECT("'"&amp;$A92&amp;"'!Q10")," ")</f>
        <v xml:space="preserve"> </v>
      </c>
      <c r="M92" s="43" t="str" cm="1">
        <f t="array" aca="1" ref="M92" ca="1">IFERROR(INDIRECT("'"&amp;$A92&amp;"'!Q5")," ")</f>
        <v xml:space="preserve"> </v>
      </c>
      <c r="N92" s="43" t="str" cm="1">
        <f t="array" aca="1" ref="N92" ca="1">IFERROR(INDIRECT("'"&amp;$A92&amp;"'!Q6")," ")</f>
        <v xml:space="preserve"> </v>
      </c>
      <c r="O92" s="43" t="str" cm="1">
        <f t="array" aca="1" ref="O92" ca="1">IFERROR(INDIRECT("'"&amp;$A92&amp;"'!Q7")," ")</f>
        <v xml:space="preserve"> </v>
      </c>
      <c r="P92" s="43" t="str" cm="1">
        <f t="array" aca="1" ref="P92" ca="1">IFERROR(INDIRECT("'"&amp;$A92&amp;"'!S5")," ")</f>
        <v xml:space="preserve"> </v>
      </c>
      <c r="Q92" s="43" t="str" cm="1">
        <f t="array" aca="1" ref="Q92" ca="1">IFERROR(INDIRECT("'"&amp;$A92&amp;"'!S6")," ")</f>
        <v xml:space="preserve"> </v>
      </c>
      <c r="R92" s="43" t="str" cm="1">
        <f t="array" aca="1" ref="R92" ca="1">IFERROR(INDIRECT("'"&amp;$A92&amp;"'!S7")," ")</f>
        <v xml:space="preserve"> </v>
      </c>
      <c r="S92" s="43" t="str" cm="1">
        <f t="array" aca="1" ref="S92" ca="1">IFERROR(INDIRECT("'"&amp;$A92&amp;"'!S8")," ")</f>
        <v xml:space="preserve"> </v>
      </c>
      <c r="T92" s="43" t="str" cm="1">
        <f t="array" aca="1" ref="T92" ca="1">IFERROR(INDIRECT("'"&amp;$A92&amp;"'!S9")," ")</f>
        <v xml:space="preserve"> </v>
      </c>
      <c r="U92" s="43" t="str" cm="1">
        <f t="array" aca="1" ref="U92" ca="1">IFERROR(INDIRECT("'"&amp;$A92&amp;"'!S10")," ")</f>
        <v xml:space="preserve"> </v>
      </c>
      <c r="V92" s="43" t="str" cm="1">
        <f t="array" aca="1" ref="V92" ca="1">IFERROR(INDIRECT("'"&amp;$A92&amp;"'!S11")," ")</f>
        <v xml:space="preserve"> </v>
      </c>
      <c r="W92" s="43" t="str" cm="1">
        <f t="array" aca="1" ref="W92" ca="1">IFERROR(INDIRECT("'"&amp;$A92&amp;"'!W5")," ")</f>
        <v xml:space="preserve"> </v>
      </c>
      <c r="X92" s="43" t="str" cm="1">
        <f t="array" aca="1" ref="X92" ca="1">IFERROR(INDIRECT("'"&amp;$A92&amp;"'!s8")," ")</f>
        <v xml:space="preserve"> </v>
      </c>
      <c r="Y92" s="43" t="str" cm="1">
        <f t="array" aca="1" ref="Y92" ca="1">IFERROR(INDIRECT("'"&amp;$A92&amp;"'!U5")," ")</f>
        <v xml:space="preserve"> </v>
      </c>
      <c r="Z92" s="43" t="str" cm="1">
        <f t="array" aca="1" ref="Z92" ca="1">IFERROR(INDIRECT("'"&amp;$A92&amp;"'!U6")," ")</f>
        <v xml:space="preserve"> </v>
      </c>
      <c r="AA92" s="43" t="str" cm="1">
        <f t="array" aca="1" ref="AA92" ca="1">IFERROR(INDIRECT("'"&amp;$A92&amp;"'!U7")," ")</f>
        <v xml:space="preserve"> </v>
      </c>
      <c r="AB92" s="43" t="str" cm="1">
        <f t="array" aca="1" ref="AB92" ca="1">IFERROR(INDIRECT("'"&amp;$A92&amp;"'!U8")," ")</f>
        <v xml:space="preserve"> </v>
      </c>
      <c r="AC92" s="43" t="str" cm="1">
        <f t="array" aca="1" ref="AC92" ca="1">IFERROR(INDIRECT("'"&amp;$A92&amp;"'!s9")," ")</f>
        <v xml:space="preserve"> </v>
      </c>
      <c r="AD92" s="7" t="str" cm="1">
        <f t="array" aca="1" ref="AD92" ca="1">IFERROR(INDIRECT("'"&amp;$A92&amp;"'!F6")," ")</f>
        <v xml:space="preserve"> </v>
      </c>
      <c r="AE92" s="118" t="str" cm="1">
        <f t="array" aca="1" ref="AE92" ca="1">IFERROR(INDIRECT("'"&amp;$A92&amp;"'!L4")," ")</f>
        <v xml:space="preserve"> </v>
      </c>
    </row>
    <row r="93" spans="2:31" ht="15" customHeight="1" x14ac:dyDescent="0.3">
      <c r="B93" s="8" t="str" cm="1">
        <f t="array" aca="1" ref="B93" ca="1">IFERROR(INDIRECT("'"&amp;$A93&amp;"'!A2"),"")</f>
        <v/>
      </c>
      <c r="C93" s="8" t="str" cm="1">
        <f t="array" aca="1" ref="C93" ca="1">IFERROR(INDIRECT("'"&amp;$A93&amp;"'!B5"),"")</f>
        <v/>
      </c>
      <c r="D93" s="9" t="str" cm="1">
        <f t="array" aca="1" ref="D93" ca="1">IFERROR(INDIRECT("'"&amp;$A93&amp;"'!B4"),"")</f>
        <v/>
      </c>
      <c r="E93" s="9" t="str" cm="1">
        <f t="array" aca="1" ref="E93" ca="1">IFERROR(INDIRECT("'"&amp;$A93&amp;"'!B7")," ")</f>
        <v xml:space="preserve"> </v>
      </c>
      <c r="F93" s="122" t="str" cm="1">
        <f t="array" aca="1" ref="F93" ca="1">IFERROR(INDIRECT("'"&amp;$A93&amp;"'!D9")," ")</f>
        <v xml:space="preserve"> </v>
      </c>
      <c r="G93" s="52" t="str" cm="1">
        <f t="array" aca="1" ref="G93" ca="1">IFERROR(INDIRECT("'"&amp;$A93&amp;"'!B9")," ")</f>
        <v xml:space="preserve"> </v>
      </c>
      <c r="H93" s="144" t="str" cm="1">
        <f t="array" aca="1" ref="H93" ca="1">IFERROR(INDIRECT("'"&amp;$A93&amp;"'!D4")," ")</f>
        <v xml:space="preserve"> </v>
      </c>
      <c r="I93" s="5" t="str" cm="1">
        <f t="array" aca="1" ref="I93" ca="1">IFERROR(INDIRECT("'"&amp;$A93&amp;"'!D7")," ")</f>
        <v xml:space="preserve"> </v>
      </c>
      <c r="J93" s="5" t="str" cm="1">
        <f t="array" aca="1" ref="J93" ca="1">IFERROR(INDIRECT("'"&amp;$A93&amp;"'!D8")," ")</f>
        <v xml:space="preserve"> </v>
      </c>
      <c r="K93" s="5" t="str" cm="1">
        <f t="array" aca="1" ref="K93" ca="1">IFERROR(INDIRECT("'"&amp;$A93&amp;"'!D5")," ")</f>
        <v xml:space="preserve"> </v>
      </c>
      <c r="L93" s="54" t="str" cm="1">
        <f t="array" aca="1" ref="L93" ca="1">IFERROR(INDIRECT("'"&amp;$A93&amp;"'!Q10")," ")</f>
        <v xml:space="preserve"> </v>
      </c>
      <c r="M93" s="43" t="str" cm="1">
        <f t="array" aca="1" ref="M93" ca="1">IFERROR(INDIRECT("'"&amp;$A93&amp;"'!Q5")," ")</f>
        <v xml:space="preserve"> </v>
      </c>
      <c r="N93" s="43" t="str" cm="1">
        <f t="array" aca="1" ref="N93" ca="1">IFERROR(INDIRECT("'"&amp;$A93&amp;"'!Q6")," ")</f>
        <v xml:space="preserve"> </v>
      </c>
      <c r="O93" s="43" t="str" cm="1">
        <f t="array" aca="1" ref="O93" ca="1">IFERROR(INDIRECT("'"&amp;$A93&amp;"'!Q7")," ")</f>
        <v xml:space="preserve"> </v>
      </c>
      <c r="P93" s="43" t="str" cm="1">
        <f t="array" aca="1" ref="P93" ca="1">IFERROR(INDIRECT("'"&amp;$A93&amp;"'!S5")," ")</f>
        <v xml:space="preserve"> </v>
      </c>
      <c r="Q93" s="43" t="str" cm="1">
        <f t="array" aca="1" ref="Q93" ca="1">IFERROR(INDIRECT("'"&amp;$A93&amp;"'!S6")," ")</f>
        <v xml:space="preserve"> </v>
      </c>
      <c r="R93" s="43" t="str" cm="1">
        <f t="array" aca="1" ref="R93" ca="1">IFERROR(INDIRECT("'"&amp;$A93&amp;"'!S7")," ")</f>
        <v xml:space="preserve"> </v>
      </c>
      <c r="S93" s="43" t="str" cm="1">
        <f t="array" aca="1" ref="S93" ca="1">IFERROR(INDIRECT("'"&amp;$A93&amp;"'!S8")," ")</f>
        <v xml:space="preserve"> </v>
      </c>
      <c r="T93" s="43" t="str" cm="1">
        <f t="array" aca="1" ref="T93" ca="1">IFERROR(INDIRECT("'"&amp;$A93&amp;"'!S9")," ")</f>
        <v xml:space="preserve"> </v>
      </c>
      <c r="U93" s="43" t="str" cm="1">
        <f t="array" aca="1" ref="U93" ca="1">IFERROR(INDIRECT("'"&amp;$A93&amp;"'!S10")," ")</f>
        <v xml:space="preserve"> </v>
      </c>
      <c r="V93" s="43" t="str" cm="1">
        <f t="array" aca="1" ref="V93" ca="1">IFERROR(INDIRECT("'"&amp;$A93&amp;"'!S11")," ")</f>
        <v xml:space="preserve"> </v>
      </c>
      <c r="W93" s="43" t="str" cm="1">
        <f t="array" aca="1" ref="W93" ca="1">IFERROR(INDIRECT("'"&amp;$A93&amp;"'!W5")," ")</f>
        <v xml:space="preserve"> </v>
      </c>
      <c r="X93" s="43" t="str" cm="1">
        <f t="array" aca="1" ref="X93" ca="1">IFERROR(INDIRECT("'"&amp;$A93&amp;"'!s8")," ")</f>
        <v xml:space="preserve"> </v>
      </c>
      <c r="Y93" s="43" t="str" cm="1">
        <f t="array" aca="1" ref="Y93" ca="1">IFERROR(INDIRECT("'"&amp;$A93&amp;"'!U5")," ")</f>
        <v xml:space="preserve"> </v>
      </c>
      <c r="Z93" s="43" t="str" cm="1">
        <f t="array" aca="1" ref="Z93" ca="1">IFERROR(INDIRECT("'"&amp;$A93&amp;"'!U6")," ")</f>
        <v xml:space="preserve"> </v>
      </c>
      <c r="AA93" s="43" t="str" cm="1">
        <f t="array" aca="1" ref="AA93" ca="1">IFERROR(INDIRECT("'"&amp;$A93&amp;"'!U7")," ")</f>
        <v xml:space="preserve"> </v>
      </c>
      <c r="AB93" s="43" t="str" cm="1">
        <f t="array" aca="1" ref="AB93" ca="1">IFERROR(INDIRECT("'"&amp;$A93&amp;"'!U8")," ")</f>
        <v xml:space="preserve"> </v>
      </c>
      <c r="AC93" s="43" t="str" cm="1">
        <f t="array" aca="1" ref="AC93" ca="1">IFERROR(INDIRECT("'"&amp;$A93&amp;"'!s9")," ")</f>
        <v xml:space="preserve"> </v>
      </c>
      <c r="AD93" s="7" t="str" cm="1">
        <f t="array" aca="1" ref="AD93" ca="1">IFERROR(INDIRECT("'"&amp;$A93&amp;"'!F6")," ")</f>
        <v xml:space="preserve"> </v>
      </c>
      <c r="AE93" s="118" t="str" cm="1">
        <f t="array" aca="1" ref="AE93" ca="1">IFERROR(INDIRECT("'"&amp;$A93&amp;"'!L4")," ")</f>
        <v xml:space="preserve"> </v>
      </c>
    </row>
    <row r="94" spans="2:31" ht="15" customHeight="1" x14ac:dyDescent="0.3">
      <c r="B94" s="8" t="str" cm="1">
        <f t="array" aca="1" ref="B94" ca="1">IFERROR(INDIRECT("'"&amp;$A94&amp;"'!A2"),"")</f>
        <v/>
      </c>
      <c r="C94" s="8" t="str" cm="1">
        <f t="array" aca="1" ref="C94" ca="1">IFERROR(INDIRECT("'"&amp;$A94&amp;"'!B5"),"")</f>
        <v/>
      </c>
      <c r="D94" s="9" t="str" cm="1">
        <f t="array" aca="1" ref="D94" ca="1">IFERROR(INDIRECT("'"&amp;$A94&amp;"'!B4"),"")</f>
        <v/>
      </c>
      <c r="E94" s="9" t="str" cm="1">
        <f t="array" aca="1" ref="E94" ca="1">IFERROR(INDIRECT("'"&amp;$A94&amp;"'!B7")," ")</f>
        <v xml:space="preserve"> </v>
      </c>
      <c r="F94" s="122" t="str" cm="1">
        <f t="array" aca="1" ref="F94" ca="1">IFERROR(INDIRECT("'"&amp;$A94&amp;"'!D9")," ")</f>
        <v xml:space="preserve"> </v>
      </c>
      <c r="G94" s="52" t="str" cm="1">
        <f t="array" aca="1" ref="G94" ca="1">IFERROR(INDIRECT("'"&amp;$A94&amp;"'!B9")," ")</f>
        <v xml:space="preserve"> </v>
      </c>
      <c r="H94" s="70" t="str" cm="1">
        <f t="array" aca="1" ref="H94" ca="1">IFERROR(INDIRECT("'"&amp;$A94&amp;"'!D4")," ")</f>
        <v xml:space="preserve"> </v>
      </c>
      <c r="I94" s="5" t="str" cm="1">
        <f t="array" aca="1" ref="I94" ca="1">IFERROR(INDIRECT("'"&amp;$A94&amp;"'!D7")," ")</f>
        <v xml:space="preserve"> </v>
      </c>
      <c r="J94" s="5" t="str" cm="1">
        <f t="array" aca="1" ref="J94" ca="1">IFERROR(INDIRECT("'"&amp;$A94&amp;"'!D8")," ")</f>
        <v xml:space="preserve"> </v>
      </c>
      <c r="K94" s="5" t="str" cm="1">
        <f t="array" aca="1" ref="K94" ca="1">IFERROR(INDIRECT("'"&amp;$A94&amp;"'!D5")," ")</f>
        <v xml:space="preserve"> </v>
      </c>
      <c r="L94" s="54" t="str" cm="1">
        <f t="array" aca="1" ref="L94" ca="1">IFERROR(INDIRECT("'"&amp;$A94&amp;"'!Q10")," ")</f>
        <v xml:space="preserve"> </v>
      </c>
      <c r="M94" s="43" t="str" cm="1">
        <f t="array" aca="1" ref="M94" ca="1">IFERROR(INDIRECT("'"&amp;$A94&amp;"'!Q5")," ")</f>
        <v xml:space="preserve"> </v>
      </c>
      <c r="N94" s="43" t="str" cm="1">
        <f t="array" aca="1" ref="N94" ca="1">IFERROR(INDIRECT("'"&amp;$A94&amp;"'!Q6")," ")</f>
        <v xml:space="preserve"> </v>
      </c>
      <c r="O94" s="43" t="str" cm="1">
        <f t="array" aca="1" ref="O94" ca="1">IFERROR(INDIRECT("'"&amp;$A94&amp;"'!Q7")," ")</f>
        <v xml:space="preserve"> </v>
      </c>
      <c r="P94" s="43" t="str" cm="1">
        <f t="array" aca="1" ref="P94" ca="1">IFERROR(INDIRECT("'"&amp;$A94&amp;"'!S5")," ")</f>
        <v xml:space="preserve"> </v>
      </c>
      <c r="Q94" s="43" t="str" cm="1">
        <f t="array" aca="1" ref="Q94" ca="1">IFERROR(INDIRECT("'"&amp;$A94&amp;"'!S6")," ")</f>
        <v xml:space="preserve"> </v>
      </c>
      <c r="R94" s="43" t="str" cm="1">
        <f t="array" aca="1" ref="R94" ca="1">IFERROR(INDIRECT("'"&amp;$A94&amp;"'!S7")," ")</f>
        <v xml:space="preserve"> </v>
      </c>
      <c r="S94" s="43" t="str" cm="1">
        <f t="array" aca="1" ref="S94" ca="1">IFERROR(INDIRECT("'"&amp;$A94&amp;"'!S8")," ")</f>
        <v xml:space="preserve"> </v>
      </c>
      <c r="T94" s="43" t="str" cm="1">
        <f t="array" aca="1" ref="T94" ca="1">IFERROR(INDIRECT("'"&amp;$A94&amp;"'!S9")," ")</f>
        <v xml:space="preserve"> </v>
      </c>
      <c r="U94" s="43" t="str" cm="1">
        <f t="array" aca="1" ref="U94" ca="1">IFERROR(INDIRECT("'"&amp;$A94&amp;"'!S10")," ")</f>
        <v xml:space="preserve"> </v>
      </c>
      <c r="V94" s="43" t="str" cm="1">
        <f t="array" aca="1" ref="V94" ca="1">IFERROR(INDIRECT("'"&amp;$A94&amp;"'!S11")," ")</f>
        <v xml:space="preserve"> </v>
      </c>
      <c r="W94" s="43" t="str" cm="1">
        <f t="array" aca="1" ref="W94" ca="1">IFERROR(INDIRECT("'"&amp;$A94&amp;"'!W5")," ")</f>
        <v xml:space="preserve"> </v>
      </c>
      <c r="X94" s="43" t="str" cm="1">
        <f t="array" aca="1" ref="X94" ca="1">IFERROR(INDIRECT("'"&amp;$A94&amp;"'!s8")," ")</f>
        <v xml:space="preserve"> </v>
      </c>
      <c r="Y94" s="43" t="str" cm="1">
        <f t="array" aca="1" ref="Y94" ca="1">IFERROR(INDIRECT("'"&amp;$A94&amp;"'!U5")," ")</f>
        <v xml:space="preserve"> </v>
      </c>
      <c r="Z94" s="43" t="str" cm="1">
        <f t="array" aca="1" ref="Z94" ca="1">IFERROR(INDIRECT("'"&amp;$A94&amp;"'!U6")," ")</f>
        <v xml:space="preserve"> </v>
      </c>
      <c r="AA94" s="43" t="str" cm="1">
        <f t="array" aca="1" ref="AA94" ca="1">IFERROR(INDIRECT("'"&amp;$A94&amp;"'!U7")," ")</f>
        <v xml:space="preserve"> </v>
      </c>
      <c r="AB94" s="43" t="str" cm="1">
        <f t="array" aca="1" ref="AB94" ca="1">IFERROR(INDIRECT("'"&amp;$A94&amp;"'!U8")," ")</f>
        <v xml:space="preserve"> </v>
      </c>
      <c r="AC94" s="43" t="str" cm="1">
        <f t="array" aca="1" ref="AC94" ca="1">IFERROR(INDIRECT("'"&amp;$A94&amp;"'!s9")," ")</f>
        <v xml:space="preserve"> </v>
      </c>
      <c r="AD94" s="7" t="str" cm="1">
        <f t="array" aca="1" ref="AD94" ca="1">IFERROR(INDIRECT("'"&amp;$A94&amp;"'!F6")," ")</f>
        <v xml:space="preserve"> </v>
      </c>
      <c r="AE94" s="118" t="str" cm="1">
        <f t="array" aca="1" ref="AE94" ca="1">IFERROR(INDIRECT("'"&amp;$A94&amp;"'!L4")," ")</f>
        <v xml:space="preserve"> </v>
      </c>
    </row>
    <row r="95" spans="2:31" ht="15" customHeight="1" x14ac:dyDescent="0.3">
      <c r="B95" s="8" t="str" cm="1">
        <f t="array" aca="1" ref="B95" ca="1">IFERROR(INDIRECT("'"&amp;$A95&amp;"'!A2"),"")</f>
        <v/>
      </c>
      <c r="C95" s="8" t="str" cm="1">
        <f t="array" aca="1" ref="C95" ca="1">IFERROR(INDIRECT("'"&amp;$A95&amp;"'!B5"),"")</f>
        <v/>
      </c>
      <c r="D95" s="9" t="str" cm="1">
        <f t="array" aca="1" ref="D95" ca="1">IFERROR(INDIRECT("'"&amp;$A95&amp;"'!B4"),"")</f>
        <v/>
      </c>
      <c r="E95" s="9" t="str" cm="1">
        <f t="array" aca="1" ref="E95" ca="1">IFERROR(INDIRECT("'"&amp;$A95&amp;"'!B7")," ")</f>
        <v xml:space="preserve"> </v>
      </c>
      <c r="F95" s="122" t="str" cm="1">
        <f t="array" aca="1" ref="F95" ca="1">IFERROR(INDIRECT("'"&amp;$A95&amp;"'!D9")," ")</f>
        <v xml:space="preserve"> </v>
      </c>
      <c r="G95" s="52" t="str" cm="1">
        <f t="array" aca="1" ref="G95" ca="1">IFERROR(INDIRECT("'"&amp;$A95&amp;"'!B9")," ")</f>
        <v xml:space="preserve"> </v>
      </c>
      <c r="H95" s="144" t="str" cm="1">
        <f t="array" aca="1" ref="H95" ca="1">IFERROR(INDIRECT("'"&amp;$A95&amp;"'!D4")," ")</f>
        <v xml:space="preserve"> </v>
      </c>
      <c r="I95" s="5" t="str" cm="1">
        <f t="array" aca="1" ref="I95" ca="1">IFERROR(INDIRECT("'"&amp;$A95&amp;"'!D7")," ")</f>
        <v xml:space="preserve"> </v>
      </c>
      <c r="J95" s="5" t="str" cm="1">
        <f t="array" aca="1" ref="J95" ca="1">IFERROR(INDIRECT("'"&amp;$A95&amp;"'!D8")," ")</f>
        <v xml:space="preserve"> </v>
      </c>
      <c r="K95" s="5" t="str" cm="1">
        <f t="array" aca="1" ref="K95" ca="1">IFERROR(INDIRECT("'"&amp;$A95&amp;"'!D5")," ")</f>
        <v xml:space="preserve"> </v>
      </c>
      <c r="L95" s="54" t="str" cm="1">
        <f t="array" aca="1" ref="L95" ca="1">IFERROR(INDIRECT("'"&amp;$A95&amp;"'!Q10")," ")</f>
        <v xml:space="preserve"> </v>
      </c>
      <c r="M95" s="43" t="str" cm="1">
        <f t="array" aca="1" ref="M95" ca="1">IFERROR(INDIRECT("'"&amp;$A95&amp;"'!Q5")," ")</f>
        <v xml:space="preserve"> </v>
      </c>
      <c r="N95" s="43" t="str" cm="1">
        <f t="array" aca="1" ref="N95" ca="1">IFERROR(INDIRECT("'"&amp;$A95&amp;"'!Q6")," ")</f>
        <v xml:space="preserve"> </v>
      </c>
      <c r="O95" s="43" t="str" cm="1">
        <f t="array" aca="1" ref="O95" ca="1">IFERROR(INDIRECT("'"&amp;$A95&amp;"'!Q7")," ")</f>
        <v xml:space="preserve"> </v>
      </c>
      <c r="P95" s="43" t="str" cm="1">
        <f t="array" aca="1" ref="P95" ca="1">IFERROR(INDIRECT("'"&amp;$A95&amp;"'!S5")," ")</f>
        <v xml:space="preserve"> </v>
      </c>
      <c r="Q95" s="43" t="str" cm="1">
        <f t="array" aca="1" ref="Q95" ca="1">IFERROR(INDIRECT("'"&amp;$A95&amp;"'!S6")," ")</f>
        <v xml:space="preserve"> </v>
      </c>
      <c r="R95" s="43" t="str" cm="1">
        <f t="array" aca="1" ref="R95" ca="1">IFERROR(INDIRECT("'"&amp;$A95&amp;"'!S7")," ")</f>
        <v xml:space="preserve"> </v>
      </c>
      <c r="S95" s="43" t="str" cm="1">
        <f t="array" aca="1" ref="S95" ca="1">IFERROR(INDIRECT("'"&amp;$A95&amp;"'!S8")," ")</f>
        <v xml:space="preserve"> </v>
      </c>
      <c r="T95" s="43" t="str" cm="1">
        <f t="array" aca="1" ref="T95" ca="1">IFERROR(INDIRECT("'"&amp;$A95&amp;"'!S9")," ")</f>
        <v xml:space="preserve"> </v>
      </c>
      <c r="U95" s="43" t="str" cm="1">
        <f t="array" aca="1" ref="U95" ca="1">IFERROR(INDIRECT("'"&amp;$A95&amp;"'!S10")," ")</f>
        <v xml:space="preserve"> </v>
      </c>
      <c r="V95" s="43" t="str" cm="1">
        <f t="array" aca="1" ref="V95" ca="1">IFERROR(INDIRECT("'"&amp;$A95&amp;"'!S11")," ")</f>
        <v xml:space="preserve"> </v>
      </c>
      <c r="W95" s="43" t="str" cm="1">
        <f t="array" aca="1" ref="W95" ca="1">IFERROR(INDIRECT("'"&amp;$A95&amp;"'!W5")," ")</f>
        <v xml:space="preserve"> </v>
      </c>
      <c r="X95" s="43" t="str" cm="1">
        <f t="array" aca="1" ref="X95" ca="1">IFERROR(INDIRECT("'"&amp;$A95&amp;"'!s8")," ")</f>
        <v xml:space="preserve"> </v>
      </c>
      <c r="Y95" s="43" t="str" cm="1">
        <f t="array" aca="1" ref="Y95" ca="1">IFERROR(INDIRECT("'"&amp;$A95&amp;"'!U5")," ")</f>
        <v xml:space="preserve"> </v>
      </c>
      <c r="Z95" s="43" t="str" cm="1">
        <f t="array" aca="1" ref="Z95" ca="1">IFERROR(INDIRECT("'"&amp;$A95&amp;"'!U6")," ")</f>
        <v xml:space="preserve"> </v>
      </c>
      <c r="AA95" s="43" t="str" cm="1">
        <f t="array" aca="1" ref="AA95" ca="1">IFERROR(INDIRECT("'"&amp;$A95&amp;"'!U7")," ")</f>
        <v xml:space="preserve"> </v>
      </c>
      <c r="AB95" s="43" t="str" cm="1">
        <f t="array" aca="1" ref="AB95" ca="1">IFERROR(INDIRECT("'"&amp;$A95&amp;"'!U8")," ")</f>
        <v xml:space="preserve"> </v>
      </c>
      <c r="AC95" s="43" t="str" cm="1">
        <f t="array" aca="1" ref="AC95" ca="1">IFERROR(INDIRECT("'"&amp;$A95&amp;"'!s9")," ")</f>
        <v xml:space="preserve"> </v>
      </c>
      <c r="AD95" s="7" t="str" cm="1">
        <f t="array" aca="1" ref="AD95" ca="1">IFERROR(INDIRECT("'"&amp;$A95&amp;"'!F6")," ")</f>
        <v xml:space="preserve"> </v>
      </c>
      <c r="AE95" s="118" t="str" cm="1">
        <f t="array" aca="1" ref="AE95" ca="1">IFERROR(INDIRECT("'"&amp;$A95&amp;"'!L4")," ")</f>
        <v xml:space="preserve"> </v>
      </c>
    </row>
    <row r="96" spans="2:31" ht="15" customHeight="1" x14ac:dyDescent="0.3">
      <c r="B96" s="8" t="str" cm="1">
        <f t="array" aca="1" ref="B96" ca="1">IFERROR(INDIRECT("'"&amp;$A96&amp;"'!A2"),"")</f>
        <v/>
      </c>
      <c r="C96" s="8" t="str" cm="1">
        <f t="array" aca="1" ref="C96" ca="1">IFERROR(INDIRECT("'"&amp;$A96&amp;"'!B5"),"")</f>
        <v/>
      </c>
      <c r="D96" s="9" t="str" cm="1">
        <f t="array" aca="1" ref="D96" ca="1">IFERROR(INDIRECT("'"&amp;$A96&amp;"'!B4"),"")</f>
        <v/>
      </c>
      <c r="E96" s="9" t="str" cm="1">
        <f t="array" aca="1" ref="E96" ca="1">IFERROR(INDIRECT("'"&amp;$A96&amp;"'!B7")," ")</f>
        <v xml:space="preserve"> </v>
      </c>
      <c r="F96" s="122" t="str" cm="1">
        <f t="array" aca="1" ref="F96" ca="1">IFERROR(INDIRECT("'"&amp;$A96&amp;"'!D9")," ")</f>
        <v xml:space="preserve"> </v>
      </c>
      <c r="G96" s="52" t="str" cm="1">
        <f t="array" aca="1" ref="G96" ca="1">IFERROR(INDIRECT("'"&amp;$A96&amp;"'!B9")," ")</f>
        <v xml:space="preserve"> </v>
      </c>
      <c r="H96" s="144" t="str" cm="1">
        <f t="array" aca="1" ref="H96" ca="1">IFERROR(INDIRECT("'"&amp;$A96&amp;"'!D4")," ")</f>
        <v xml:space="preserve"> </v>
      </c>
      <c r="I96" s="5" t="str" cm="1">
        <f t="array" aca="1" ref="I96" ca="1">IFERROR(INDIRECT("'"&amp;$A96&amp;"'!D7")," ")</f>
        <v xml:space="preserve"> </v>
      </c>
      <c r="J96" s="5" t="str" cm="1">
        <f t="array" aca="1" ref="J96" ca="1">IFERROR(INDIRECT("'"&amp;$A96&amp;"'!D8")," ")</f>
        <v xml:space="preserve"> </v>
      </c>
      <c r="K96" s="5" t="str" cm="1">
        <f t="array" aca="1" ref="K96" ca="1">IFERROR(INDIRECT("'"&amp;$A96&amp;"'!D5")," ")</f>
        <v xml:space="preserve"> </v>
      </c>
      <c r="L96" s="54" t="str" cm="1">
        <f t="array" aca="1" ref="L96" ca="1">IFERROR(INDIRECT("'"&amp;$A96&amp;"'!Q10")," ")</f>
        <v xml:space="preserve"> </v>
      </c>
      <c r="M96" s="43" t="str" cm="1">
        <f t="array" aca="1" ref="M96" ca="1">IFERROR(INDIRECT("'"&amp;$A96&amp;"'!Q5")," ")</f>
        <v xml:space="preserve"> </v>
      </c>
      <c r="N96" s="43" t="str" cm="1">
        <f t="array" aca="1" ref="N96" ca="1">IFERROR(INDIRECT("'"&amp;$A96&amp;"'!Q6")," ")</f>
        <v xml:space="preserve"> </v>
      </c>
      <c r="O96" s="43" t="str" cm="1">
        <f t="array" aca="1" ref="O96" ca="1">IFERROR(INDIRECT("'"&amp;$A96&amp;"'!Q7")," ")</f>
        <v xml:space="preserve"> </v>
      </c>
      <c r="P96" s="43" t="str" cm="1">
        <f t="array" aca="1" ref="P96" ca="1">IFERROR(INDIRECT("'"&amp;$A96&amp;"'!S5")," ")</f>
        <v xml:space="preserve"> </v>
      </c>
      <c r="Q96" s="43" t="str" cm="1">
        <f t="array" aca="1" ref="Q96" ca="1">IFERROR(INDIRECT("'"&amp;$A96&amp;"'!S6")," ")</f>
        <v xml:space="preserve"> </v>
      </c>
      <c r="R96" s="43" t="str" cm="1">
        <f t="array" aca="1" ref="R96" ca="1">IFERROR(INDIRECT("'"&amp;$A96&amp;"'!S7")," ")</f>
        <v xml:space="preserve"> </v>
      </c>
      <c r="S96" s="43" t="str" cm="1">
        <f t="array" aca="1" ref="S96" ca="1">IFERROR(INDIRECT("'"&amp;$A96&amp;"'!S8")," ")</f>
        <v xml:space="preserve"> </v>
      </c>
      <c r="T96" s="43" t="str" cm="1">
        <f t="array" aca="1" ref="T96" ca="1">IFERROR(INDIRECT("'"&amp;$A96&amp;"'!S9")," ")</f>
        <v xml:space="preserve"> </v>
      </c>
      <c r="U96" s="43" t="str" cm="1">
        <f t="array" aca="1" ref="U96" ca="1">IFERROR(INDIRECT("'"&amp;$A96&amp;"'!S10")," ")</f>
        <v xml:space="preserve"> </v>
      </c>
      <c r="V96" s="43" t="str" cm="1">
        <f t="array" aca="1" ref="V96" ca="1">IFERROR(INDIRECT("'"&amp;$A96&amp;"'!S11")," ")</f>
        <v xml:space="preserve"> </v>
      </c>
      <c r="W96" s="43" t="str" cm="1">
        <f t="array" aca="1" ref="W96" ca="1">IFERROR(INDIRECT("'"&amp;$A96&amp;"'!W5")," ")</f>
        <v xml:space="preserve"> </v>
      </c>
      <c r="X96" s="43" t="str" cm="1">
        <f t="array" aca="1" ref="X96" ca="1">IFERROR(INDIRECT("'"&amp;$A96&amp;"'!s8")," ")</f>
        <v xml:space="preserve"> </v>
      </c>
      <c r="Y96" s="43" t="str" cm="1">
        <f t="array" aca="1" ref="Y96" ca="1">IFERROR(INDIRECT("'"&amp;$A96&amp;"'!U5")," ")</f>
        <v xml:space="preserve"> </v>
      </c>
      <c r="Z96" s="43" t="str" cm="1">
        <f t="array" aca="1" ref="Z96" ca="1">IFERROR(INDIRECT("'"&amp;$A96&amp;"'!U6")," ")</f>
        <v xml:space="preserve"> </v>
      </c>
      <c r="AA96" s="43" t="str" cm="1">
        <f t="array" aca="1" ref="AA96" ca="1">IFERROR(INDIRECT("'"&amp;$A96&amp;"'!U7")," ")</f>
        <v xml:space="preserve"> </v>
      </c>
      <c r="AB96" s="43" t="str" cm="1">
        <f t="array" aca="1" ref="AB96" ca="1">IFERROR(INDIRECT("'"&amp;$A96&amp;"'!U8")," ")</f>
        <v xml:space="preserve"> </v>
      </c>
      <c r="AC96" s="43" t="str" cm="1">
        <f t="array" aca="1" ref="AC96" ca="1">IFERROR(INDIRECT("'"&amp;$A96&amp;"'!s9")," ")</f>
        <v xml:space="preserve"> </v>
      </c>
      <c r="AD96" s="7" t="str" cm="1">
        <f t="array" aca="1" ref="AD96" ca="1">IFERROR(INDIRECT("'"&amp;$A96&amp;"'!F6")," ")</f>
        <v xml:space="preserve"> </v>
      </c>
      <c r="AE96" s="118" t="str" cm="1">
        <f t="array" aca="1" ref="AE96" ca="1">IFERROR(INDIRECT("'"&amp;$A96&amp;"'!L4")," ")</f>
        <v xml:space="preserve"> </v>
      </c>
    </row>
    <row r="97" spans="2:31" ht="15" customHeight="1" x14ac:dyDescent="0.3">
      <c r="B97" s="8" t="str" cm="1">
        <f t="array" aca="1" ref="B97" ca="1">IFERROR(INDIRECT("'"&amp;$A97&amp;"'!A2"),"")</f>
        <v/>
      </c>
      <c r="C97" s="8" t="str" cm="1">
        <f t="array" aca="1" ref="C97" ca="1">IFERROR(INDIRECT("'"&amp;$A97&amp;"'!B5"),"")</f>
        <v/>
      </c>
      <c r="D97" s="9" t="str" cm="1">
        <f t="array" aca="1" ref="D97" ca="1">IFERROR(INDIRECT("'"&amp;$A97&amp;"'!B4"),"")</f>
        <v/>
      </c>
      <c r="E97" s="9" t="str" cm="1">
        <f t="array" aca="1" ref="E97" ca="1">IFERROR(INDIRECT("'"&amp;$A97&amp;"'!B7")," ")</f>
        <v xml:space="preserve"> </v>
      </c>
      <c r="F97" s="122" t="str" cm="1">
        <f t="array" aca="1" ref="F97" ca="1">IFERROR(INDIRECT("'"&amp;$A97&amp;"'!D9")," ")</f>
        <v xml:space="preserve"> </v>
      </c>
      <c r="G97" s="52" t="str" cm="1">
        <f t="array" aca="1" ref="G97" ca="1">IFERROR(INDIRECT("'"&amp;$A97&amp;"'!B9")," ")</f>
        <v xml:space="preserve"> </v>
      </c>
      <c r="H97" s="144" t="str" cm="1">
        <f t="array" aca="1" ref="H97" ca="1">IFERROR(INDIRECT("'"&amp;$A97&amp;"'!D4")," ")</f>
        <v xml:space="preserve"> </v>
      </c>
      <c r="I97" s="5" t="str" cm="1">
        <f t="array" aca="1" ref="I97" ca="1">IFERROR(INDIRECT("'"&amp;$A97&amp;"'!D7")," ")</f>
        <v xml:space="preserve"> </v>
      </c>
      <c r="J97" s="5" t="str" cm="1">
        <f t="array" aca="1" ref="J97" ca="1">IFERROR(INDIRECT("'"&amp;$A97&amp;"'!D8")," ")</f>
        <v xml:space="preserve"> </v>
      </c>
      <c r="K97" s="5" t="str" cm="1">
        <f t="array" aca="1" ref="K97" ca="1">IFERROR(INDIRECT("'"&amp;$A97&amp;"'!D5")," ")</f>
        <v xml:space="preserve"> </v>
      </c>
      <c r="L97" s="54" t="str" cm="1">
        <f t="array" aca="1" ref="L97" ca="1">IFERROR(INDIRECT("'"&amp;$A97&amp;"'!Q10")," ")</f>
        <v xml:space="preserve"> </v>
      </c>
      <c r="M97" s="43" t="str" cm="1">
        <f t="array" aca="1" ref="M97" ca="1">IFERROR(INDIRECT("'"&amp;$A97&amp;"'!Q5")," ")</f>
        <v xml:space="preserve"> </v>
      </c>
      <c r="N97" s="43" t="str" cm="1">
        <f t="array" aca="1" ref="N97" ca="1">IFERROR(INDIRECT("'"&amp;$A97&amp;"'!Q6")," ")</f>
        <v xml:space="preserve"> </v>
      </c>
      <c r="O97" s="43" t="str" cm="1">
        <f t="array" aca="1" ref="O97" ca="1">IFERROR(INDIRECT("'"&amp;$A97&amp;"'!Q7")," ")</f>
        <v xml:space="preserve"> </v>
      </c>
      <c r="P97" s="43" t="str" cm="1">
        <f t="array" aca="1" ref="P97" ca="1">IFERROR(INDIRECT("'"&amp;$A97&amp;"'!S5")," ")</f>
        <v xml:space="preserve"> </v>
      </c>
      <c r="Q97" s="43" t="str" cm="1">
        <f t="array" aca="1" ref="Q97" ca="1">IFERROR(INDIRECT("'"&amp;$A97&amp;"'!S6")," ")</f>
        <v xml:space="preserve"> </v>
      </c>
      <c r="R97" s="43" t="str" cm="1">
        <f t="array" aca="1" ref="R97" ca="1">IFERROR(INDIRECT("'"&amp;$A97&amp;"'!S7")," ")</f>
        <v xml:space="preserve"> </v>
      </c>
      <c r="S97" s="43" t="str" cm="1">
        <f t="array" aca="1" ref="S97" ca="1">IFERROR(INDIRECT("'"&amp;$A97&amp;"'!S8")," ")</f>
        <v xml:space="preserve"> </v>
      </c>
      <c r="T97" s="43" t="str" cm="1">
        <f t="array" aca="1" ref="T97" ca="1">IFERROR(INDIRECT("'"&amp;$A97&amp;"'!S9")," ")</f>
        <v xml:space="preserve"> </v>
      </c>
      <c r="U97" s="43" t="str" cm="1">
        <f t="array" aca="1" ref="U97" ca="1">IFERROR(INDIRECT("'"&amp;$A97&amp;"'!S10")," ")</f>
        <v xml:space="preserve"> </v>
      </c>
      <c r="V97" s="43" t="str" cm="1">
        <f t="array" aca="1" ref="V97" ca="1">IFERROR(INDIRECT("'"&amp;$A97&amp;"'!S11")," ")</f>
        <v xml:space="preserve"> </v>
      </c>
      <c r="W97" s="43" t="str" cm="1">
        <f t="array" aca="1" ref="W97" ca="1">IFERROR(INDIRECT("'"&amp;$A97&amp;"'!W5")," ")</f>
        <v xml:space="preserve"> </v>
      </c>
      <c r="X97" s="43" t="str" cm="1">
        <f t="array" aca="1" ref="X97" ca="1">IFERROR(INDIRECT("'"&amp;$A97&amp;"'!s8")," ")</f>
        <v xml:space="preserve"> </v>
      </c>
      <c r="Y97" s="43" t="str" cm="1">
        <f t="array" aca="1" ref="Y97" ca="1">IFERROR(INDIRECT("'"&amp;$A97&amp;"'!U5")," ")</f>
        <v xml:space="preserve"> </v>
      </c>
      <c r="Z97" s="43" t="str" cm="1">
        <f t="array" aca="1" ref="Z97" ca="1">IFERROR(INDIRECT("'"&amp;$A97&amp;"'!U6")," ")</f>
        <v xml:space="preserve"> </v>
      </c>
      <c r="AA97" s="43" t="str" cm="1">
        <f t="array" aca="1" ref="AA97" ca="1">IFERROR(INDIRECT("'"&amp;$A97&amp;"'!U7")," ")</f>
        <v xml:space="preserve"> </v>
      </c>
      <c r="AB97" s="43" t="str" cm="1">
        <f t="array" aca="1" ref="AB97" ca="1">IFERROR(INDIRECT("'"&amp;$A97&amp;"'!U8")," ")</f>
        <v xml:space="preserve"> </v>
      </c>
      <c r="AC97" s="43" t="str" cm="1">
        <f t="array" aca="1" ref="AC97" ca="1">IFERROR(INDIRECT("'"&amp;$A97&amp;"'!s9")," ")</f>
        <v xml:space="preserve"> </v>
      </c>
      <c r="AD97" s="7" t="str" cm="1">
        <f t="array" aca="1" ref="AD97" ca="1">IFERROR(INDIRECT("'"&amp;$A97&amp;"'!F6")," ")</f>
        <v xml:space="preserve"> </v>
      </c>
      <c r="AE97" s="118" t="str" cm="1">
        <f t="array" aca="1" ref="AE97" ca="1">IFERROR(INDIRECT("'"&amp;$A97&amp;"'!L4")," ")</f>
        <v xml:space="preserve"> </v>
      </c>
    </row>
    <row r="98" spans="2:31" ht="15" customHeight="1" x14ac:dyDescent="0.3">
      <c r="B98" s="8" t="str" cm="1">
        <f t="array" aca="1" ref="B98" ca="1">IFERROR(INDIRECT("'"&amp;$A98&amp;"'!A2"),"")</f>
        <v/>
      </c>
      <c r="C98" s="8" t="str" cm="1">
        <f t="array" aca="1" ref="C98" ca="1">IFERROR(INDIRECT("'"&amp;$A98&amp;"'!B5"),"")</f>
        <v/>
      </c>
      <c r="D98" s="9" t="str" cm="1">
        <f t="array" aca="1" ref="D98" ca="1">IFERROR(INDIRECT("'"&amp;$A98&amp;"'!B4"),"")</f>
        <v/>
      </c>
      <c r="E98" s="9" t="str" cm="1">
        <f t="array" aca="1" ref="E98" ca="1">IFERROR(INDIRECT("'"&amp;$A98&amp;"'!B7")," ")</f>
        <v xml:space="preserve"> </v>
      </c>
      <c r="F98" s="122" t="str" cm="1">
        <f t="array" aca="1" ref="F98" ca="1">IFERROR(INDIRECT("'"&amp;$A98&amp;"'!D9")," ")</f>
        <v xml:space="preserve"> </v>
      </c>
      <c r="G98" s="52" t="str" cm="1">
        <f t="array" aca="1" ref="G98" ca="1">IFERROR(INDIRECT("'"&amp;$A98&amp;"'!B9")," ")</f>
        <v xml:space="preserve"> </v>
      </c>
      <c r="H98" s="144" t="str" cm="1">
        <f t="array" aca="1" ref="H98" ca="1">IFERROR(INDIRECT("'"&amp;$A98&amp;"'!D4")," ")</f>
        <v xml:space="preserve"> </v>
      </c>
      <c r="I98" s="5" t="str" cm="1">
        <f t="array" aca="1" ref="I98" ca="1">IFERROR(INDIRECT("'"&amp;$A98&amp;"'!D7")," ")</f>
        <v xml:space="preserve"> </v>
      </c>
      <c r="J98" s="5" t="str" cm="1">
        <f t="array" aca="1" ref="J98" ca="1">IFERROR(INDIRECT("'"&amp;$A98&amp;"'!D8")," ")</f>
        <v xml:space="preserve"> </v>
      </c>
      <c r="K98" s="5" t="str" cm="1">
        <f t="array" aca="1" ref="K98" ca="1">IFERROR(INDIRECT("'"&amp;$A98&amp;"'!D5")," ")</f>
        <v xml:space="preserve"> </v>
      </c>
      <c r="L98" s="54" t="str" cm="1">
        <f t="array" aca="1" ref="L98" ca="1">IFERROR(INDIRECT("'"&amp;$A98&amp;"'!Q10")," ")</f>
        <v xml:space="preserve"> </v>
      </c>
      <c r="M98" s="43" t="str" cm="1">
        <f t="array" aca="1" ref="M98" ca="1">IFERROR(INDIRECT("'"&amp;$A98&amp;"'!Q5")," ")</f>
        <v xml:space="preserve"> </v>
      </c>
      <c r="N98" s="43" t="str" cm="1">
        <f t="array" aca="1" ref="N98" ca="1">IFERROR(INDIRECT("'"&amp;$A98&amp;"'!Q6")," ")</f>
        <v xml:space="preserve"> </v>
      </c>
      <c r="O98" s="43" t="str" cm="1">
        <f t="array" aca="1" ref="O98" ca="1">IFERROR(INDIRECT("'"&amp;$A98&amp;"'!Q7")," ")</f>
        <v xml:space="preserve"> </v>
      </c>
      <c r="P98" s="43" t="str" cm="1">
        <f t="array" aca="1" ref="P98" ca="1">IFERROR(INDIRECT("'"&amp;$A98&amp;"'!S5")," ")</f>
        <v xml:space="preserve"> </v>
      </c>
      <c r="Q98" s="43" t="str" cm="1">
        <f t="array" aca="1" ref="Q98" ca="1">IFERROR(INDIRECT("'"&amp;$A98&amp;"'!S6")," ")</f>
        <v xml:space="preserve"> </v>
      </c>
      <c r="R98" s="43" t="str" cm="1">
        <f t="array" aca="1" ref="R98" ca="1">IFERROR(INDIRECT("'"&amp;$A98&amp;"'!S7")," ")</f>
        <v xml:space="preserve"> </v>
      </c>
      <c r="S98" s="43" t="str" cm="1">
        <f t="array" aca="1" ref="S98" ca="1">IFERROR(INDIRECT("'"&amp;$A98&amp;"'!S8")," ")</f>
        <v xml:space="preserve"> </v>
      </c>
      <c r="T98" s="43" t="str" cm="1">
        <f t="array" aca="1" ref="T98" ca="1">IFERROR(INDIRECT("'"&amp;$A98&amp;"'!S9")," ")</f>
        <v xml:space="preserve"> </v>
      </c>
      <c r="U98" s="43" t="str" cm="1">
        <f t="array" aca="1" ref="U98" ca="1">IFERROR(INDIRECT("'"&amp;$A98&amp;"'!S10")," ")</f>
        <v xml:space="preserve"> </v>
      </c>
      <c r="V98" s="43" t="str" cm="1">
        <f t="array" aca="1" ref="V98" ca="1">IFERROR(INDIRECT("'"&amp;$A98&amp;"'!S11")," ")</f>
        <v xml:space="preserve"> </v>
      </c>
      <c r="W98" s="43" t="str" cm="1">
        <f t="array" aca="1" ref="W98" ca="1">IFERROR(INDIRECT("'"&amp;$A98&amp;"'!W5")," ")</f>
        <v xml:space="preserve"> </v>
      </c>
      <c r="X98" s="43" t="str" cm="1">
        <f t="array" aca="1" ref="X98" ca="1">IFERROR(INDIRECT("'"&amp;$A98&amp;"'!s8")," ")</f>
        <v xml:space="preserve"> </v>
      </c>
      <c r="Y98" s="43" t="str" cm="1">
        <f t="array" aca="1" ref="Y98" ca="1">IFERROR(INDIRECT("'"&amp;$A98&amp;"'!U5")," ")</f>
        <v xml:space="preserve"> </v>
      </c>
      <c r="Z98" s="43" t="str" cm="1">
        <f t="array" aca="1" ref="Z98" ca="1">IFERROR(INDIRECT("'"&amp;$A98&amp;"'!U6")," ")</f>
        <v xml:space="preserve"> </v>
      </c>
      <c r="AA98" s="43" t="str" cm="1">
        <f t="array" aca="1" ref="AA98" ca="1">IFERROR(INDIRECT("'"&amp;$A98&amp;"'!U7")," ")</f>
        <v xml:space="preserve"> </v>
      </c>
      <c r="AB98" s="43" t="str" cm="1">
        <f t="array" aca="1" ref="AB98" ca="1">IFERROR(INDIRECT("'"&amp;$A98&amp;"'!U8")," ")</f>
        <v xml:space="preserve"> </v>
      </c>
      <c r="AC98" s="43" t="str" cm="1">
        <f t="array" aca="1" ref="AC98" ca="1">IFERROR(INDIRECT("'"&amp;$A98&amp;"'!s9")," ")</f>
        <v xml:space="preserve"> </v>
      </c>
      <c r="AD98" s="7" t="str" cm="1">
        <f t="array" aca="1" ref="AD98" ca="1">IFERROR(INDIRECT("'"&amp;$A98&amp;"'!F6")," ")</f>
        <v xml:space="preserve"> </v>
      </c>
      <c r="AE98" s="118" t="str" cm="1">
        <f t="array" aca="1" ref="AE98" ca="1">IFERROR(INDIRECT("'"&amp;$A98&amp;"'!L4")," ")</f>
        <v xml:space="preserve"> </v>
      </c>
    </row>
    <row r="99" spans="2:31" ht="15" customHeight="1" x14ac:dyDescent="0.3">
      <c r="B99" s="8" t="str" cm="1">
        <f t="array" aca="1" ref="B99" ca="1">IFERROR(INDIRECT("'"&amp;$A99&amp;"'!A2"),"")</f>
        <v/>
      </c>
      <c r="C99" s="8" t="str" cm="1">
        <f t="array" aca="1" ref="C99" ca="1">IFERROR(INDIRECT("'"&amp;$A99&amp;"'!B5"),"")</f>
        <v/>
      </c>
      <c r="D99" s="9" t="str" cm="1">
        <f t="array" aca="1" ref="D99" ca="1">IFERROR(INDIRECT("'"&amp;$A99&amp;"'!B4"),"")</f>
        <v/>
      </c>
      <c r="E99" s="9" t="str" cm="1">
        <f t="array" aca="1" ref="E99" ca="1">IFERROR(INDIRECT("'"&amp;$A99&amp;"'!B7")," ")</f>
        <v xml:space="preserve"> </v>
      </c>
      <c r="F99" s="122" t="str" cm="1">
        <f t="array" aca="1" ref="F99" ca="1">IFERROR(INDIRECT("'"&amp;$A99&amp;"'!D9")," ")</f>
        <v xml:space="preserve"> </v>
      </c>
      <c r="G99" s="52" t="str" cm="1">
        <f t="array" aca="1" ref="G99" ca="1">IFERROR(INDIRECT("'"&amp;$A99&amp;"'!B9")," ")</f>
        <v xml:space="preserve"> </v>
      </c>
      <c r="H99" s="144" t="str" cm="1">
        <f t="array" aca="1" ref="H99" ca="1">IFERROR(INDIRECT("'"&amp;$A99&amp;"'!D4")," ")</f>
        <v xml:space="preserve"> </v>
      </c>
      <c r="I99" s="5" t="str" cm="1">
        <f t="array" aca="1" ref="I99" ca="1">IFERROR(INDIRECT("'"&amp;$A99&amp;"'!D7")," ")</f>
        <v xml:space="preserve"> </v>
      </c>
      <c r="J99" s="5" t="str" cm="1">
        <f t="array" aca="1" ref="J99" ca="1">IFERROR(INDIRECT("'"&amp;$A99&amp;"'!D8")," ")</f>
        <v xml:space="preserve"> </v>
      </c>
      <c r="K99" s="5" t="str" cm="1">
        <f t="array" aca="1" ref="K99" ca="1">IFERROR(INDIRECT("'"&amp;$A99&amp;"'!D5")," ")</f>
        <v xml:space="preserve"> </v>
      </c>
      <c r="L99" s="54" t="str" cm="1">
        <f t="array" aca="1" ref="L99" ca="1">IFERROR(INDIRECT("'"&amp;$A99&amp;"'!Q10")," ")</f>
        <v xml:space="preserve"> </v>
      </c>
      <c r="M99" s="43" t="str" cm="1">
        <f t="array" aca="1" ref="M99" ca="1">IFERROR(INDIRECT("'"&amp;$A99&amp;"'!Q5")," ")</f>
        <v xml:space="preserve"> </v>
      </c>
      <c r="N99" s="43" t="str" cm="1">
        <f t="array" aca="1" ref="N99" ca="1">IFERROR(INDIRECT("'"&amp;$A99&amp;"'!Q6")," ")</f>
        <v xml:space="preserve"> </v>
      </c>
      <c r="O99" s="43" t="str" cm="1">
        <f t="array" aca="1" ref="O99" ca="1">IFERROR(INDIRECT("'"&amp;$A99&amp;"'!Q7")," ")</f>
        <v xml:space="preserve"> </v>
      </c>
      <c r="P99" s="43" t="str" cm="1">
        <f t="array" aca="1" ref="P99" ca="1">IFERROR(INDIRECT("'"&amp;$A99&amp;"'!S5")," ")</f>
        <v xml:space="preserve"> </v>
      </c>
      <c r="Q99" s="43" t="str" cm="1">
        <f t="array" aca="1" ref="Q99" ca="1">IFERROR(INDIRECT("'"&amp;$A99&amp;"'!S6")," ")</f>
        <v xml:space="preserve"> </v>
      </c>
      <c r="R99" s="43" t="str" cm="1">
        <f t="array" aca="1" ref="R99" ca="1">IFERROR(INDIRECT("'"&amp;$A99&amp;"'!S7")," ")</f>
        <v xml:space="preserve"> </v>
      </c>
      <c r="S99" s="43" t="str" cm="1">
        <f t="array" aca="1" ref="S99" ca="1">IFERROR(INDIRECT("'"&amp;$A99&amp;"'!S8")," ")</f>
        <v xml:space="preserve"> </v>
      </c>
      <c r="T99" s="43" t="str" cm="1">
        <f t="array" aca="1" ref="T99" ca="1">IFERROR(INDIRECT("'"&amp;$A99&amp;"'!S9")," ")</f>
        <v xml:space="preserve"> </v>
      </c>
      <c r="U99" s="43" t="str" cm="1">
        <f t="array" aca="1" ref="U99" ca="1">IFERROR(INDIRECT("'"&amp;$A99&amp;"'!S10")," ")</f>
        <v xml:space="preserve"> </v>
      </c>
      <c r="V99" s="43" t="str" cm="1">
        <f t="array" aca="1" ref="V99" ca="1">IFERROR(INDIRECT("'"&amp;$A99&amp;"'!S11")," ")</f>
        <v xml:space="preserve"> </v>
      </c>
      <c r="W99" s="43" t="str" cm="1">
        <f t="array" aca="1" ref="W99" ca="1">IFERROR(INDIRECT("'"&amp;$A99&amp;"'!W5")," ")</f>
        <v xml:space="preserve"> </v>
      </c>
      <c r="X99" s="43" t="str" cm="1">
        <f t="array" aca="1" ref="X99" ca="1">IFERROR(INDIRECT("'"&amp;$A99&amp;"'!s8")," ")</f>
        <v xml:space="preserve"> </v>
      </c>
      <c r="Y99" s="43" t="str" cm="1">
        <f t="array" aca="1" ref="Y99" ca="1">IFERROR(INDIRECT("'"&amp;$A99&amp;"'!U5")," ")</f>
        <v xml:space="preserve"> </v>
      </c>
      <c r="Z99" s="43" t="str" cm="1">
        <f t="array" aca="1" ref="Z99" ca="1">IFERROR(INDIRECT("'"&amp;$A99&amp;"'!U6")," ")</f>
        <v xml:space="preserve"> </v>
      </c>
      <c r="AA99" s="43" t="str" cm="1">
        <f t="array" aca="1" ref="AA99" ca="1">IFERROR(INDIRECT("'"&amp;$A99&amp;"'!U7")," ")</f>
        <v xml:space="preserve"> </v>
      </c>
      <c r="AB99" s="43" t="str" cm="1">
        <f t="array" aca="1" ref="AB99" ca="1">IFERROR(INDIRECT("'"&amp;$A99&amp;"'!U8")," ")</f>
        <v xml:space="preserve"> </v>
      </c>
      <c r="AC99" s="43" t="str" cm="1">
        <f t="array" aca="1" ref="AC99" ca="1">IFERROR(INDIRECT("'"&amp;$A99&amp;"'!s9")," ")</f>
        <v xml:space="preserve"> </v>
      </c>
      <c r="AD99" s="7" t="str" cm="1">
        <f t="array" aca="1" ref="AD99" ca="1">IFERROR(INDIRECT("'"&amp;$A99&amp;"'!F6")," ")</f>
        <v xml:space="preserve"> </v>
      </c>
      <c r="AE99" s="118" t="str" cm="1">
        <f t="array" aca="1" ref="AE99" ca="1">IFERROR(INDIRECT("'"&amp;$A99&amp;"'!L4")," ")</f>
        <v xml:space="preserve"> </v>
      </c>
    </row>
    <row r="100" spans="2:31" ht="15" customHeight="1" x14ac:dyDescent="0.3">
      <c r="B100" s="8" t="str" cm="1">
        <f t="array" aca="1" ref="B100" ca="1">IFERROR(INDIRECT("'"&amp;$A100&amp;"'!A2"),"")</f>
        <v/>
      </c>
      <c r="C100" s="8" t="str" cm="1">
        <f t="array" aca="1" ref="C100" ca="1">IFERROR(INDIRECT("'"&amp;$A100&amp;"'!B5"),"")</f>
        <v/>
      </c>
      <c r="D100" s="9" t="str" cm="1">
        <f t="array" aca="1" ref="D100" ca="1">IFERROR(INDIRECT("'"&amp;$A100&amp;"'!B4"),"")</f>
        <v/>
      </c>
      <c r="E100" s="9" t="str" cm="1">
        <f t="array" aca="1" ref="E100" ca="1">IFERROR(INDIRECT("'"&amp;$A100&amp;"'!B7")," ")</f>
        <v xml:space="preserve"> </v>
      </c>
      <c r="F100" s="122" t="str" cm="1">
        <f t="array" aca="1" ref="F100" ca="1">IFERROR(INDIRECT("'"&amp;$A100&amp;"'!D9")," ")</f>
        <v xml:space="preserve"> </v>
      </c>
      <c r="G100" s="52" t="str" cm="1">
        <f t="array" aca="1" ref="G100" ca="1">IFERROR(INDIRECT("'"&amp;$A100&amp;"'!B9")," ")</f>
        <v xml:space="preserve"> </v>
      </c>
      <c r="H100" s="70" t="str" cm="1">
        <f t="array" aca="1" ref="H100" ca="1">IFERROR(INDIRECT("'"&amp;$A100&amp;"'!D4")," ")</f>
        <v xml:space="preserve"> </v>
      </c>
      <c r="I100" s="5" t="str" cm="1">
        <f t="array" aca="1" ref="I100" ca="1">IFERROR(INDIRECT("'"&amp;$A100&amp;"'!D7")," ")</f>
        <v xml:space="preserve"> </v>
      </c>
      <c r="J100" s="5" t="str" cm="1">
        <f t="array" aca="1" ref="J100" ca="1">IFERROR(INDIRECT("'"&amp;$A100&amp;"'!D8")," ")</f>
        <v xml:space="preserve"> </v>
      </c>
      <c r="K100" s="5" t="str" cm="1">
        <f t="array" aca="1" ref="K100" ca="1">IFERROR(INDIRECT("'"&amp;$A100&amp;"'!D5")," ")</f>
        <v xml:space="preserve"> </v>
      </c>
      <c r="L100" s="54" t="str" cm="1">
        <f t="array" aca="1" ref="L100" ca="1">IFERROR(INDIRECT("'"&amp;$A100&amp;"'!Q10")," ")</f>
        <v xml:space="preserve"> </v>
      </c>
      <c r="M100" s="43" t="str" cm="1">
        <f t="array" aca="1" ref="M100" ca="1">IFERROR(INDIRECT("'"&amp;$A100&amp;"'!Q5")," ")</f>
        <v xml:space="preserve"> </v>
      </c>
      <c r="N100" s="43" t="str" cm="1">
        <f t="array" aca="1" ref="N100" ca="1">IFERROR(INDIRECT("'"&amp;$A100&amp;"'!Q6")," ")</f>
        <v xml:space="preserve"> </v>
      </c>
      <c r="O100" s="43" t="str" cm="1">
        <f t="array" aca="1" ref="O100" ca="1">IFERROR(INDIRECT("'"&amp;$A100&amp;"'!Q7")," ")</f>
        <v xml:space="preserve"> </v>
      </c>
      <c r="P100" s="43" t="str" cm="1">
        <f t="array" aca="1" ref="P100" ca="1">IFERROR(INDIRECT("'"&amp;$A100&amp;"'!S5")," ")</f>
        <v xml:space="preserve"> </v>
      </c>
      <c r="Q100" s="43" t="str" cm="1">
        <f t="array" aca="1" ref="Q100" ca="1">IFERROR(INDIRECT("'"&amp;$A100&amp;"'!S6")," ")</f>
        <v xml:space="preserve"> </v>
      </c>
      <c r="R100" s="43" t="str" cm="1">
        <f t="array" aca="1" ref="R100" ca="1">IFERROR(INDIRECT("'"&amp;$A100&amp;"'!S7")," ")</f>
        <v xml:space="preserve"> </v>
      </c>
      <c r="S100" s="43" t="str" cm="1">
        <f t="array" aca="1" ref="S100" ca="1">IFERROR(INDIRECT("'"&amp;$A100&amp;"'!S8")," ")</f>
        <v xml:space="preserve"> </v>
      </c>
      <c r="T100" s="43" t="str" cm="1">
        <f t="array" aca="1" ref="T100" ca="1">IFERROR(INDIRECT("'"&amp;$A100&amp;"'!S9")," ")</f>
        <v xml:space="preserve"> </v>
      </c>
      <c r="U100" s="43" t="str" cm="1">
        <f t="array" aca="1" ref="U100" ca="1">IFERROR(INDIRECT("'"&amp;$A100&amp;"'!S10")," ")</f>
        <v xml:space="preserve"> </v>
      </c>
      <c r="V100" s="43" t="str" cm="1">
        <f t="array" aca="1" ref="V100" ca="1">IFERROR(INDIRECT("'"&amp;$A100&amp;"'!S11")," ")</f>
        <v xml:space="preserve"> </v>
      </c>
      <c r="W100" s="43" t="str" cm="1">
        <f t="array" aca="1" ref="W100" ca="1">IFERROR(INDIRECT("'"&amp;$A100&amp;"'!W5")," ")</f>
        <v xml:space="preserve"> </v>
      </c>
      <c r="X100" s="43" t="str" cm="1">
        <f t="array" aca="1" ref="X100" ca="1">IFERROR(INDIRECT("'"&amp;$A100&amp;"'!s8")," ")</f>
        <v xml:space="preserve"> </v>
      </c>
      <c r="Y100" s="43" t="str" cm="1">
        <f t="array" aca="1" ref="Y100" ca="1">IFERROR(INDIRECT("'"&amp;$A100&amp;"'!U5")," ")</f>
        <v xml:space="preserve"> </v>
      </c>
      <c r="Z100" s="43" t="str" cm="1">
        <f t="array" aca="1" ref="Z100" ca="1">IFERROR(INDIRECT("'"&amp;$A100&amp;"'!U6")," ")</f>
        <v xml:space="preserve"> </v>
      </c>
      <c r="AA100" s="43" t="str" cm="1">
        <f t="array" aca="1" ref="AA100" ca="1">IFERROR(INDIRECT("'"&amp;$A100&amp;"'!U7")," ")</f>
        <v xml:space="preserve"> </v>
      </c>
      <c r="AB100" s="43" t="str" cm="1">
        <f t="array" aca="1" ref="AB100" ca="1">IFERROR(INDIRECT("'"&amp;$A100&amp;"'!U8")," ")</f>
        <v xml:space="preserve"> </v>
      </c>
      <c r="AC100" s="43" t="str" cm="1">
        <f t="array" aca="1" ref="AC100" ca="1">IFERROR(INDIRECT("'"&amp;$A100&amp;"'!s9")," ")</f>
        <v xml:space="preserve"> </v>
      </c>
      <c r="AD100" s="7" t="str" cm="1">
        <f t="array" aca="1" ref="AD100" ca="1">IFERROR(INDIRECT("'"&amp;$A100&amp;"'!F6")," ")</f>
        <v xml:space="preserve"> </v>
      </c>
      <c r="AE100" s="118" t="str" cm="1">
        <f t="array" aca="1" ref="AE100" ca="1">IFERROR(INDIRECT("'"&amp;$A100&amp;"'!L4")," ")</f>
        <v xml:space="preserve"> </v>
      </c>
    </row>
    <row r="101" spans="2:31" ht="15" customHeight="1" x14ac:dyDescent="0.3">
      <c r="B101" s="8" t="str" cm="1">
        <f t="array" aca="1" ref="B101" ca="1">IFERROR(INDIRECT("'"&amp;$A101&amp;"'!A2"),"")</f>
        <v/>
      </c>
      <c r="C101" s="8" t="str" cm="1">
        <f t="array" aca="1" ref="C101" ca="1">IFERROR(INDIRECT("'"&amp;$A101&amp;"'!B5"),"")</f>
        <v/>
      </c>
      <c r="D101" s="9" t="str" cm="1">
        <f t="array" aca="1" ref="D101" ca="1">IFERROR(INDIRECT("'"&amp;$A101&amp;"'!B4"),"")</f>
        <v/>
      </c>
      <c r="E101" s="9" t="str" cm="1">
        <f t="array" aca="1" ref="E101" ca="1">IFERROR(INDIRECT("'"&amp;$A101&amp;"'!B7")," ")</f>
        <v xml:space="preserve"> </v>
      </c>
      <c r="F101" s="122" t="str" cm="1">
        <f t="array" aca="1" ref="F101" ca="1">IFERROR(INDIRECT("'"&amp;$A101&amp;"'!D9")," ")</f>
        <v xml:space="preserve"> </v>
      </c>
      <c r="G101" s="52" t="str" cm="1">
        <f t="array" aca="1" ref="G101" ca="1">IFERROR(INDIRECT("'"&amp;$A101&amp;"'!B9")," ")</f>
        <v xml:space="preserve"> </v>
      </c>
      <c r="H101" s="144" t="str" cm="1">
        <f t="array" aca="1" ref="H101" ca="1">IFERROR(INDIRECT("'"&amp;$A101&amp;"'!D4")," ")</f>
        <v xml:space="preserve"> </v>
      </c>
      <c r="I101" s="5" t="str" cm="1">
        <f t="array" aca="1" ref="I101" ca="1">IFERROR(INDIRECT("'"&amp;$A101&amp;"'!D7")," ")</f>
        <v xml:space="preserve"> </v>
      </c>
      <c r="J101" s="5" t="str" cm="1">
        <f t="array" aca="1" ref="J101" ca="1">IFERROR(INDIRECT("'"&amp;$A101&amp;"'!D8")," ")</f>
        <v xml:space="preserve"> </v>
      </c>
      <c r="K101" s="5" t="str" cm="1">
        <f t="array" aca="1" ref="K101" ca="1">IFERROR(INDIRECT("'"&amp;$A101&amp;"'!D5")," ")</f>
        <v xml:space="preserve"> </v>
      </c>
      <c r="L101" s="54" t="str" cm="1">
        <f t="array" aca="1" ref="L101" ca="1">IFERROR(INDIRECT("'"&amp;$A101&amp;"'!Q10")," ")</f>
        <v xml:space="preserve"> </v>
      </c>
      <c r="M101" s="43" t="str" cm="1">
        <f t="array" aca="1" ref="M101" ca="1">IFERROR(INDIRECT("'"&amp;$A101&amp;"'!Q5")," ")</f>
        <v xml:space="preserve"> </v>
      </c>
      <c r="N101" s="43" t="str" cm="1">
        <f t="array" aca="1" ref="N101" ca="1">IFERROR(INDIRECT("'"&amp;$A101&amp;"'!Q6")," ")</f>
        <v xml:space="preserve"> </v>
      </c>
      <c r="O101" s="43" t="str" cm="1">
        <f t="array" aca="1" ref="O101" ca="1">IFERROR(INDIRECT("'"&amp;$A101&amp;"'!Q7")," ")</f>
        <v xml:space="preserve"> </v>
      </c>
      <c r="P101" s="43" t="str" cm="1">
        <f t="array" aca="1" ref="P101" ca="1">IFERROR(INDIRECT("'"&amp;$A101&amp;"'!S5")," ")</f>
        <v xml:space="preserve"> </v>
      </c>
      <c r="Q101" s="43" t="str" cm="1">
        <f t="array" aca="1" ref="Q101" ca="1">IFERROR(INDIRECT("'"&amp;$A101&amp;"'!S6")," ")</f>
        <v xml:space="preserve"> </v>
      </c>
      <c r="R101" s="43" t="str" cm="1">
        <f t="array" aca="1" ref="R101" ca="1">IFERROR(INDIRECT("'"&amp;$A101&amp;"'!S7")," ")</f>
        <v xml:space="preserve"> </v>
      </c>
      <c r="S101" s="43" t="str" cm="1">
        <f t="array" aca="1" ref="S101" ca="1">IFERROR(INDIRECT("'"&amp;$A101&amp;"'!S8")," ")</f>
        <v xml:space="preserve"> </v>
      </c>
      <c r="T101" s="43" t="str" cm="1">
        <f t="array" aca="1" ref="T101" ca="1">IFERROR(INDIRECT("'"&amp;$A101&amp;"'!S9")," ")</f>
        <v xml:space="preserve"> </v>
      </c>
      <c r="U101" s="43" t="str" cm="1">
        <f t="array" aca="1" ref="U101" ca="1">IFERROR(INDIRECT("'"&amp;$A101&amp;"'!S10")," ")</f>
        <v xml:space="preserve"> </v>
      </c>
      <c r="V101" s="43" t="str" cm="1">
        <f t="array" aca="1" ref="V101" ca="1">IFERROR(INDIRECT("'"&amp;$A101&amp;"'!S11")," ")</f>
        <v xml:space="preserve"> </v>
      </c>
      <c r="W101" s="43" t="str" cm="1">
        <f t="array" aca="1" ref="W101" ca="1">IFERROR(INDIRECT("'"&amp;$A101&amp;"'!W5")," ")</f>
        <v xml:space="preserve"> </v>
      </c>
      <c r="X101" s="43" t="str" cm="1">
        <f t="array" aca="1" ref="X101" ca="1">IFERROR(INDIRECT("'"&amp;$A101&amp;"'!s8")," ")</f>
        <v xml:space="preserve"> </v>
      </c>
      <c r="Y101" s="43" t="str" cm="1">
        <f t="array" aca="1" ref="Y101" ca="1">IFERROR(INDIRECT("'"&amp;$A101&amp;"'!U5")," ")</f>
        <v xml:space="preserve"> </v>
      </c>
      <c r="Z101" s="43" t="str" cm="1">
        <f t="array" aca="1" ref="Z101" ca="1">IFERROR(INDIRECT("'"&amp;$A101&amp;"'!U6")," ")</f>
        <v xml:space="preserve"> </v>
      </c>
      <c r="AA101" s="43" t="str" cm="1">
        <f t="array" aca="1" ref="AA101" ca="1">IFERROR(INDIRECT("'"&amp;$A101&amp;"'!U7")," ")</f>
        <v xml:space="preserve"> </v>
      </c>
      <c r="AB101" s="43" t="str" cm="1">
        <f t="array" aca="1" ref="AB101" ca="1">IFERROR(INDIRECT("'"&amp;$A101&amp;"'!U8")," ")</f>
        <v xml:space="preserve"> </v>
      </c>
      <c r="AC101" s="43" t="str" cm="1">
        <f t="array" aca="1" ref="AC101" ca="1">IFERROR(INDIRECT("'"&amp;$A101&amp;"'!s9")," ")</f>
        <v xml:space="preserve"> </v>
      </c>
      <c r="AD101" s="7" t="str" cm="1">
        <f t="array" aca="1" ref="AD101" ca="1">IFERROR(INDIRECT("'"&amp;$A101&amp;"'!F6")," ")</f>
        <v xml:space="preserve"> </v>
      </c>
      <c r="AE101" s="118" t="str" cm="1">
        <f t="array" aca="1" ref="AE101" ca="1">IFERROR(INDIRECT("'"&amp;$A101&amp;"'!L4")," ")</f>
        <v xml:space="preserve"> </v>
      </c>
    </row>
    <row r="102" spans="2:31" ht="15" customHeight="1" x14ac:dyDescent="0.3">
      <c r="B102" s="8" t="str" cm="1">
        <f t="array" aca="1" ref="B102" ca="1">IFERROR(INDIRECT("'"&amp;$A102&amp;"'!A2"),"")</f>
        <v/>
      </c>
      <c r="C102" s="8" t="str" cm="1">
        <f t="array" aca="1" ref="C102" ca="1">IFERROR(INDIRECT("'"&amp;$A102&amp;"'!B5"),"")</f>
        <v/>
      </c>
      <c r="D102" s="9" t="str" cm="1">
        <f t="array" aca="1" ref="D102" ca="1">IFERROR(INDIRECT("'"&amp;$A102&amp;"'!B4"),"")</f>
        <v/>
      </c>
      <c r="E102" s="9" t="str" cm="1">
        <f t="array" aca="1" ref="E102" ca="1">IFERROR(INDIRECT("'"&amp;$A102&amp;"'!B7")," ")</f>
        <v xml:space="preserve"> </v>
      </c>
      <c r="F102" s="122" t="str" cm="1">
        <f t="array" aca="1" ref="F102" ca="1">IFERROR(INDIRECT("'"&amp;$A102&amp;"'!D9")," ")</f>
        <v xml:space="preserve"> </v>
      </c>
      <c r="G102" s="52" t="str" cm="1">
        <f t="array" aca="1" ref="G102" ca="1">IFERROR(INDIRECT("'"&amp;$A102&amp;"'!B9")," ")</f>
        <v xml:space="preserve"> </v>
      </c>
      <c r="H102" s="144" t="str" cm="1">
        <f t="array" aca="1" ref="H102" ca="1">IFERROR(INDIRECT("'"&amp;$A102&amp;"'!D4")," ")</f>
        <v xml:space="preserve"> </v>
      </c>
      <c r="I102" s="5" t="str" cm="1">
        <f t="array" aca="1" ref="I102" ca="1">IFERROR(INDIRECT("'"&amp;$A102&amp;"'!D7")," ")</f>
        <v xml:space="preserve"> </v>
      </c>
      <c r="J102" s="5" t="str" cm="1">
        <f t="array" aca="1" ref="J102" ca="1">IFERROR(INDIRECT("'"&amp;$A102&amp;"'!D8")," ")</f>
        <v xml:space="preserve"> </v>
      </c>
      <c r="K102" s="5" t="str" cm="1">
        <f t="array" aca="1" ref="K102" ca="1">IFERROR(INDIRECT("'"&amp;$A102&amp;"'!D5")," ")</f>
        <v xml:space="preserve"> </v>
      </c>
      <c r="L102" s="54" t="str" cm="1">
        <f t="array" aca="1" ref="L102" ca="1">IFERROR(INDIRECT("'"&amp;$A102&amp;"'!Q10")," ")</f>
        <v xml:space="preserve"> </v>
      </c>
      <c r="M102" s="43" t="str" cm="1">
        <f t="array" aca="1" ref="M102" ca="1">IFERROR(INDIRECT("'"&amp;$A102&amp;"'!Q5")," ")</f>
        <v xml:space="preserve"> </v>
      </c>
      <c r="N102" s="43" t="str" cm="1">
        <f t="array" aca="1" ref="N102" ca="1">IFERROR(INDIRECT("'"&amp;$A102&amp;"'!Q6")," ")</f>
        <v xml:space="preserve"> </v>
      </c>
      <c r="O102" s="43" t="str" cm="1">
        <f t="array" aca="1" ref="O102" ca="1">IFERROR(INDIRECT("'"&amp;$A102&amp;"'!Q7")," ")</f>
        <v xml:space="preserve"> </v>
      </c>
      <c r="P102" s="43" t="str" cm="1">
        <f t="array" aca="1" ref="P102" ca="1">IFERROR(INDIRECT("'"&amp;$A102&amp;"'!S5")," ")</f>
        <v xml:space="preserve"> </v>
      </c>
      <c r="Q102" s="43" t="str" cm="1">
        <f t="array" aca="1" ref="Q102" ca="1">IFERROR(INDIRECT("'"&amp;$A102&amp;"'!S6")," ")</f>
        <v xml:space="preserve"> </v>
      </c>
      <c r="R102" s="43" t="str" cm="1">
        <f t="array" aca="1" ref="R102" ca="1">IFERROR(INDIRECT("'"&amp;$A102&amp;"'!S7")," ")</f>
        <v xml:space="preserve"> </v>
      </c>
      <c r="S102" s="43" t="str" cm="1">
        <f t="array" aca="1" ref="S102" ca="1">IFERROR(INDIRECT("'"&amp;$A102&amp;"'!S8")," ")</f>
        <v xml:space="preserve"> </v>
      </c>
      <c r="T102" s="43" t="str" cm="1">
        <f t="array" aca="1" ref="T102" ca="1">IFERROR(INDIRECT("'"&amp;$A102&amp;"'!S9")," ")</f>
        <v xml:space="preserve"> </v>
      </c>
      <c r="U102" s="43" t="str" cm="1">
        <f t="array" aca="1" ref="U102" ca="1">IFERROR(INDIRECT("'"&amp;$A102&amp;"'!S10")," ")</f>
        <v xml:space="preserve"> </v>
      </c>
      <c r="V102" s="43" t="str" cm="1">
        <f t="array" aca="1" ref="V102" ca="1">IFERROR(INDIRECT("'"&amp;$A102&amp;"'!S11")," ")</f>
        <v xml:space="preserve"> </v>
      </c>
      <c r="W102" s="43" t="str" cm="1">
        <f t="array" aca="1" ref="W102" ca="1">IFERROR(INDIRECT("'"&amp;$A102&amp;"'!W5")," ")</f>
        <v xml:space="preserve"> </v>
      </c>
      <c r="X102" s="43" t="str" cm="1">
        <f t="array" aca="1" ref="X102" ca="1">IFERROR(INDIRECT("'"&amp;$A102&amp;"'!s8")," ")</f>
        <v xml:space="preserve"> </v>
      </c>
      <c r="Y102" s="43" t="str" cm="1">
        <f t="array" aca="1" ref="Y102" ca="1">IFERROR(INDIRECT("'"&amp;$A102&amp;"'!U5")," ")</f>
        <v xml:space="preserve"> </v>
      </c>
      <c r="Z102" s="43" t="str" cm="1">
        <f t="array" aca="1" ref="Z102" ca="1">IFERROR(INDIRECT("'"&amp;$A102&amp;"'!U6")," ")</f>
        <v xml:space="preserve"> </v>
      </c>
      <c r="AA102" s="43" t="str" cm="1">
        <f t="array" aca="1" ref="AA102" ca="1">IFERROR(INDIRECT("'"&amp;$A102&amp;"'!U7")," ")</f>
        <v xml:space="preserve"> </v>
      </c>
      <c r="AB102" s="43" t="str" cm="1">
        <f t="array" aca="1" ref="AB102" ca="1">IFERROR(INDIRECT("'"&amp;$A102&amp;"'!U8")," ")</f>
        <v xml:space="preserve"> </v>
      </c>
      <c r="AC102" s="43" t="str" cm="1">
        <f t="array" aca="1" ref="AC102" ca="1">IFERROR(INDIRECT("'"&amp;$A102&amp;"'!s9")," ")</f>
        <v xml:space="preserve"> </v>
      </c>
      <c r="AD102" s="7" t="str" cm="1">
        <f t="array" aca="1" ref="AD102" ca="1">IFERROR(INDIRECT("'"&amp;$A102&amp;"'!F6")," ")</f>
        <v xml:space="preserve"> </v>
      </c>
      <c r="AE102" s="118" t="str" cm="1">
        <f t="array" aca="1" ref="AE102" ca="1">IFERROR(INDIRECT("'"&amp;$A102&amp;"'!L4")," ")</f>
        <v xml:space="preserve"> </v>
      </c>
    </row>
    <row r="103" spans="2:31" ht="15" customHeight="1" x14ac:dyDescent="0.3">
      <c r="B103" s="8" t="str" cm="1">
        <f t="array" aca="1" ref="B103" ca="1">IFERROR(INDIRECT("'"&amp;$A103&amp;"'!A2"),"")</f>
        <v/>
      </c>
      <c r="C103" s="8" t="str" cm="1">
        <f t="array" aca="1" ref="C103" ca="1">IFERROR(INDIRECT("'"&amp;$A103&amp;"'!B5"),"")</f>
        <v/>
      </c>
      <c r="D103" s="9" t="str" cm="1">
        <f t="array" aca="1" ref="D103" ca="1">IFERROR(INDIRECT("'"&amp;$A103&amp;"'!B4"),"")</f>
        <v/>
      </c>
      <c r="E103" s="9" t="str" cm="1">
        <f t="array" aca="1" ref="E103" ca="1">IFERROR(INDIRECT("'"&amp;$A103&amp;"'!B7")," ")</f>
        <v xml:space="preserve"> </v>
      </c>
      <c r="F103" s="122" t="str" cm="1">
        <f t="array" aca="1" ref="F103" ca="1">IFERROR(INDIRECT("'"&amp;$A103&amp;"'!D9")," ")</f>
        <v xml:space="preserve"> </v>
      </c>
      <c r="G103" s="52" t="str" cm="1">
        <f t="array" aca="1" ref="G103" ca="1">IFERROR(INDIRECT("'"&amp;$A103&amp;"'!B9")," ")</f>
        <v xml:space="preserve"> </v>
      </c>
      <c r="H103" s="144" t="str" cm="1">
        <f t="array" aca="1" ref="H103" ca="1">IFERROR(INDIRECT("'"&amp;$A103&amp;"'!D4")," ")</f>
        <v xml:space="preserve"> </v>
      </c>
      <c r="I103" s="5" t="str" cm="1">
        <f t="array" aca="1" ref="I103" ca="1">IFERROR(INDIRECT("'"&amp;$A103&amp;"'!D7")," ")</f>
        <v xml:space="preserve"> </v>
      </c>
      <c r="J103" s="5" t="str" cm="1">
        <f t="array" aca="1" ref="J103" ca="1">IFERROR(INDIRECT("'"&amp;$A103&amp;"'!D8")," ")</f>
        <v xml:space="preserve"> </v>
      </c>
      <c r="K103" s="5" t="str" cm="1">
        <f t="array" aca="1" ref="K103" ca="1">IFERROR(INDIRECT("'"&amp;$A103&amp;"'!D5")," ")</f>
        <v xml:space="preserve"> </v>
      </c>
      <c r="L103" s="54" t="str" cm="1">
        <f t="array" aca="1" ref="L103" ca="1">IFERROR(INDIRECT("'"&amp;$A103&amp;"'!Q10")," ")</f>
        <v xml:space="preserve"> </v>
      </c>
      <c r="M103" s="43" t="str" cm="1">
        <f t="array" aca="1" ref="M103" ca="1">IFERROR(INDIRECT("'"&amp;$A103&amp;"'!Q5")," ")</f>
        <v xml:space="preserve"> </v>
      </c>
      <c r="N103" s="43" t="str" cm="1">
        <f t="array" aca="1" ref="N103" ca="1">IFERROR(INDIRECT("'"&amp;$A103&amp;"'!Q6")," ")</f>
        <v xml:space="preserve"> </v>
      </c>
      <c r="O103" s="43" t="str" cm="1">
        <f t="array" aca="1" ref="O103" ca="1">IFERROR(INDIRECT("'"&amp;$A103&amp;"'!Q7")," ")</f>
        <v xml:space="preserve"> </v>
      </c>
      <c r="P103" s="43" t="str" cm="1">
        <f t="array" aca="1" ref="P103" ca="1">IFERROR(INDIRECT("'"&amp;$A103&amp;"'!S5")," ")</f>
        <v xml:space="preserve"> </v>
      </c>
      <c r="Q103" s="43" t="str" cm="1">
        <f t="array" aca="1" ref="Q103" ca="1">IFERROR(INDIRECT("'"&amp;$A103&amp;"'!S6")," ")</f>
        <v xml:space="preserve"> </v>
      </c>
      <c r="R103" s="43" t="str" cm="1">
        <f t="array" aca="1" ref="R103" ca="1">IFERROR(INDIRECT("'"&amp;$A103&amp;"'!S7")," ")</f>
        <v xml:space="preserve"> </v>
      </c>
      <c r="S103" s="43" t="str" cm="1">
        <f t="array" aca="1" ref="S103" ca="1">IFERROR(INDIRECT("'"&amp;$A103&amp;"'!S8")," ")</f>
        <v xml:space="preserve"> </v>
      </c>
      <c r="T103" s="43" t="str" cm="1">
        <f t="array" aca="1" ref="T103" ca="1">IFERROR(INDIRECT("'"&amp;$A103&amp;"'!S9")," ")</f>
        <v xml:space="preserve"> </v>
      </c>
      <c r="U103" s="43" t="str" cm="1">
        <f t="array" aca="1" ref="U103" ca="1">IFERROR(INDIRECT("'"&amp;$A103&amp;"'!S10")," ")</f>
        <v xml:space="preserve"> </v>
      </c>
      <c r="V103" s="43" t="str" cm="1">
        <f t="array" aca="1" ref="V103" ca="1">IFERROR(INDIRECT("'"&amp;$A103&amp;"'!S11")," ")</f>
        <v xml:space="preserve"> </v>
      </c>
      <c r="W103" s="43" t="str" cm="1">
        <f t="array" aca="1" ref="W103" ca="1">IFERROR(INDIRECT("'"&amp;$A103&amp;"'!W5")," ")</f>
        <v xml:space="preserve"> </v>
      </c>
      <c r="X103" s="43" t="str" cm="1">
        <f t="array" aca="1" ref="X103" ca="1">IFERROR(INDIRECT("'"&amp;$A103&amp;"'!s8")," ")</f>
        <v xml:space="preserve"> </v>
      </c>
      <c r="Y103" s="43" t="str" cm="1">
        <f t="array" aca="1" ref="Y103" ca="1">IFERROR(INDIRECT("'"&amp;$A103&amp;"'!U5")," ")</f>
        <v xml:space="preserve"> </v>
      </c>
      <c r="Z103" s="43" t="str" cm="1">
        <f t="array" aca="1" ref="Z103" ca="1">IFERROR(INDIRECT("'"&amp;$A103&amp;"'!U6")," ")</f>
        <v xml:space="preserve"> </v>
      </c>
      <c r="AA103" s="43" t="str" cm="1">
        <f t="array" aca="1" ref="AA103" ca="1">IFERROR(INDIRECT("'"&amp;$A103&amp;"'!U7")," ")</f>
        <v xml:space="preserve"> </v>
      </c>
      <c r="AB103" s="43" t="str" cm="1">
        <f t="array" aca="1" ref="AB103" ca="1">IFERROR(INDIRECT("'"&amp;$A103&amp;"'!U8")," ")</f>
        <v xml:space="preserve"> </v>
      </c>
      <c r="AC103" s="43" t="str" cm="1">
        <f t="array" aca="1" ref="AC103" ca="1">IFERROR(INDIRECT("'"&amp;$A103&amp;"'!s9")," ")</f>
        <v xml:space="preserve"> </v>
      </c>
      <c r="AD103" s="7" t="str" cm="1">
        <f t="array" aca="1" ref="AD103" ca="1">IFERROR(INDIRECT("'"&amp;$A103&amp;"'!F6")," ")</f>
        <v xml:space="preserve"> </v>
      </c>
      <c r="AE103" s="118" t="str" cm="1">
        <f t="array" aca="1" ref="AE103" ca="1">IFERROR(INDIRECT("'"&amp;$A103&amp;"'!L4")," ")</f>
        <v xml:space="preserve"> </v>
      </c>
    </row>
    <row r="104" spans="2:31" ht="15" customHeight="1" x14ac:dyDescent="0.3">
      <c r="B104" s="8" t="str" cm="1">
        <f t="array" aca="1" ref="B104" ca="1">IFERROR(INDIRECT("'"&amp;$A104&amp;"'!A2"),"")</f>
        <v/>
      </c>
      <c r="C104" s="8" t="str" cm="1">
        <f t="array" aca="1" ref="C104" ca="1">IFERROR(INDIRECT("'"&amp;$A104&amp;"'!B5"),"")</f>
        <v/>
      </c>
      <c r="D104" s="9" t="str" cm="1">
        <f t="array" aca="1" ref="D104" ca="1">IFERROR(INDIRECT("'"&amp;$A104&amp;"'!B4"),"")</f>
        <v/>
      </c>
      <c r="E104" s="9" t="str" cm="1">
        <f t="array" aca="1" ref="E104" ca="1">IFERROR(INDIRECT("'"&amp;$A104&amp;"'!B7")," ")</f>
        <v xml:space="preserve"> </v>
      </c>
      <c r="F104" s="122" t="str" cm="1">
        <f t="array" aca="1" ref="F104" ca="1">IFERROR(INDIRECT("'"&amp;$A104&amp;"'!D9")," ")</f>
        <v xml:space="preserve"> </v>
      </c>
      <c r="G104" s="52" t="str" cm="1">
        <f t="array" aca="1" ref="G104" ca="1">IFERROR(INDIRECT("'"&amp;$A104&amp;"'!B9")," ")</f>
        <v xml:space="preserve"> </v>
      </c>
      <c r="H104" s="144" t="str" cm="1">
        <f t="array" aca="1" ref="H104" ca="1">IFERROR(INDIRECT("'"&amp;$A104&amp;"'!D4")," ")</f>
        <v xml:space="preserve"> </v>
      </c>
      <c r="I104" s="5" t="str" cm="1">
        <f t="array" aca="1" ref="I104" ca="1">IFERROR(INDIRECT("'"&amp;$A104&amp;"'!D7")," ")</f>
        <v xml:space="preserve"> </v>
      </c>
      <c r="J104" s="5" t="str" cm="1">
        <f t="array" aca="1" ref="J104" ca="1">IFERROR(INDIRECT("'"&amp;$A104&amp;"'!D8")," ")</f>
        <v xml:space="preserve"> </v>
      </c>
      <c r="K104" s="5" t="str" cm="1">
        <f t="array" aca="1" ref="K104" ca="1">IFERROR(INDIRECT("'"&amp;$A104&amp;"'!D5")," ")</f>
        <v xml:space="preserve"> </v>
      </c>
      <c r="L104" s="54" t="str" cm="1">
        <f t="array" aca="1" ref="L104" ca="1">IFERROR(INDIRECT("'"&amp;$A104&amp;"'!Q10")," ")</f>
        <v xml:space="preserve"> </v>
      </c>
      <c r="M104" s="43" t="str" cm="1">
        <f t="array" aca="1" ref="M104" ca="1">IFERROR(INDIRECT("'"&amp;$A104&amp;"'!Q5")," ")</f>
        <v xml:space="preserve"> </v>
      </c>
      <c r="N104" s="43" t="str" cm="1">
        <f t="array" aca="1" ref="N104" ca="1">IFERROR(INDIRECT("'"&amp;$A104&amp;"'!Q6")," ")</f>
        <v xml:space="preserve"> </v>
      </c>
      <c r="O104" s="43" t="str" cm="1">
        <f t="array" aca="1" ref="O104" ca="1">IFERROR(INDIRECT("'"&amp;$A104&amp;"'!Q7")," ")</f>
        <v xml:space="preserve"> </v>
      </c>
      <c r="P104" s="43" t="str" cm="1">
        <f t="array" aca="1" ref="P104" ca="1">IFERROR(INDIRECT("'"&amp;$A104&amp;"'!S5")," ")</f>
        <v xml:space="preserve"> </v>
      </c>
      <c r="Q104" s="43" t="str" cm="1">
        <f t="array" aca="1" ref="Q104" ca="1">IFERROR(INDIRECT("'"&amp;$A104&amp;"'!S6")," ")</f>
        <v xml:space="preserve"> </v>
      </c>
      <c r="R104" s="43" t="str" cm="1">
        <f t="array" aca="1" ref="R104" ca="1">IFERROR(INDIRECT("'"&amp;$A104&amp;"'!S7")," ")</f>
        <v xml:space="preserve"> </v>
      </c>
      <c r="S104" s="43" t="str" cm="1">
        <f t="array" aca="1" ref="S104" ca="1">IFERROR(INDIRECT("'"&amp;$A104&amp;"'!S8")," ")</f>
        <v xml:space="preserve"> </v>
      </c>
      <c r="T104" s="43" t="str" cm="1">
        <f t="array" aca="1" ref="T104" ca="1">IFERROR(INDIRECT("'"&amp;$A104&amp;"'!S9")," ")</f>
        <v xml:space="preserve"> </v>
      </c>
      <c r="U104" s="43" t="str" cm="1">
        <f t="array" aca="1" ref="U104" ca="1">IFERROR(INDIRECT("'"&amp;$A104&amp;"'!S10")," ")</f>
        <v xml:space="preserve"> </v>
      </c>
      <c r="V104" s="43" t="str" cm="1">
        <f t="array" aca="1" ref="V104" ca="1">IFERROR(INDIRECT("'"&amp;$A104&amp;"'!S11")," ")</f>
        <v xml:space="preserve"> </v>
      </c>
      <c r="W104" s="43" t="str" cm="1">
        <f t="array" aca="1" ref="W104" ca="1">IFERROR(INDIRECT("'"&amp;$A104&amp;"'!W5")," ")</f>
        <v xml:space="preserve"> </v>
      </c>
      <c r="X104" s="43" t="str" cm="1">
        <f t="array" aca="1" ref="X104" ca="1">IFERROR(INDIRECT("'"&amp;$A104&amp;"'!s8")," ")</f>
        <v xml:space="preserve"> </v>
      </c>
      <c r="Y104" s="43" t="str" cm="1">
        <f t="array" aca="1" ref="Y104" ca="1">IFERROR(INDIRECT("'"&amp;$A104&amp;"'!U5")," ")</f>
        <v xml:space="preserve"> </v>
      </c>
      <c r="Z104" s="43" t="str" cm="1">
        <f t="array" aca="1" ref="Z104" ca="1">IFERROR(INDIRECT("'"&amp;$A104&amp;"'!U6")," ")</f>
        <v xml:space="preserve"> </v>
      </c>
      <c r="AA104" s="43" t="str" cm="1">
        <f t="array" aca="1" ref="AA104" ca="1">IFERROR(INDIRECT("'"&amp;$A104&amp;"'!U7")," ")</f>
        <v xml:space="preserve"> </v>
      </c>
      <c r="AB104" s="43" t="str" cm="1">
        <f t="array" aca="1" ref="AB104" ca="1">IFERROR(INDIRECT("'"&amp;$A104&amp;"'!U8")," ")</f>
        <v xml:space="preserve"> </v>
      </c>
      <c r="AC104" s="43" t="str" cm="1">
        <f t="array" aca="1" ref="AC104" ca="1">IFERROR(INDIRECT("'"&amp;$A104&amp;"'!s9")," ")</f>
        <v xml:space="preserve"> </v>
      </c>
      <c r="AD104" s="7" t="str" cm="1">
        <f t="array" aca="1" ref="AD104" ca="1">IFERROR(INDIRECT("'"&amp;$A104&amp;"'!F6")," ")</f>
        <v xml:space="preserve"> </v>
      </c>
      <c r="AE104" s="118" t="str" cm="1">
        <f t="array" aca="1" ref="AE104" ca="1">IFERROR(INDIRECT("'"&amp;$A104&amp;"'!L4")," ")</f>
        <v xml:space="preserve"> </v>
      </c>
    </row>
    <row r="105" spans="2:31" ht="15" customHeight="1" x14ac:dyDescent="0.3">
      <c r="B105" s="8" t="str" cm="1">
        <f t="array" aca="1" ref="B105" ca="1">IFERROR(INDIRECT("'"&amp;$A105&amp;"'!A2"),"")</f>
        <v/>
      </c>
      <c r="C105" s="8" t="str" cm="1">
        <f t="array" aca="1" ref="C105" ca="1">IFERROR(INDIRECT("'"&amp;$A105&amp;"'!B5"),"")</f>
        <v/>
      </c>
      <c r="D105" s="9" t="str" cm="1">
        <f t="array" aca="1" ref="D105" ca="1">IFERROR(INDIRECT("'"&amp;$A105&amp;"'!B4"),"")</f>
        <v/>
      </c>
      <c r="E105" s="9" t="str" cm="1">
        <f t="array" aca="1" ref="E105" ca="1">IFERROR(INDIRECT("'"&amp;$A105&amp;"'!B7")," ")</f>
        <v xml:space="preserve"> </v>
      </c>
      <c r="F105" s="122" t="str" cm="1">
        <f t="array" aca="1" ref="F105" ca="1">IFERROR(INDIRECT("'"&amp;$A105&amp;"'!D9")," ")</f>
        <v xml:space="preserve"> </v>
      </c>
      <c r="G105" s="52" t="str" cm="1">
        <f t="array" aca="1" ref="G105" ca="1">IFERROR(INDIRECT("'"&amp;$A105&amp;"'!B9")," ")</f>
        <v xml:space="preserve"> </v>
      </c>
      <c r="H105" s="144" t="str" cm="1">
        <f t="array" aca="1" ref="H105" ca="1">IFERROR(INDIRECT("'"&amp;$A105&amp;"'!D4")," ")</f>
        <v xml:space="preserve"> </v>
      </c>
      <c r="I105" s="5" t="str" cm="1">
        <f t="array" aca="1" ref="I105" ca="1">IFERROR(INDIRECT("'"&amp;$A105&amp;"'!D7")," ")</f>
        <v xml:space="preserve"> </v>
      </c>
      <c r="J105" s="5" t="str" cm="1">
        <f t="array" aca="1" ref="J105" ca="1">IFERROR(INDIRECT("'"&amp;$A105&amp;"'!D8")," ")</f>
        <v xml:space="preserve"> </v>
      </c>
      <c r="K105" s="5" t="str" cm="1">
        <f t="array" aca="1" ref="K105" ca="1">IFERROR(INDIRECT("'"&amp;$A105&amp;"'!D5")," ")</f>
        <v xml:space="preserve"> </v>
      </c>
      <c r="L105" s="54" t="str" cm="1">
        <f t="array" aca="1" ref="L105" ca="1">IFERROR(INDIRECT("'"&amp;$A105&amp;"'!Q10")," ")</f>
        <v xml:space="preserve"> </v>
      </c>
      <c r="M105" s="43" t="str" cm="1">
        <f t="array" aca="1" ref="M105" ca="1">IFERROR(INDIRECT("'"&amp;$A105&amp;"'!Q5")," ")</f>
        <v xml:space="preserve"> </v>
      </c>
      <c r="N105" s="43" t="str" cm="1">
        <f t="array" aca="1" ref="N105" ca="1">IFERROR(INDIRECT("'"&amp;$A105&amp;"'!Q6")," ")</f>
        <v xml:space="preserve"> </v>
      </c>
      <c r="O105" s="43" t="str" cm="1">
        <f t="array" aca="1" ref="O105" ca="1">IFERROR(INDIRECT("'"&amp;$A105&amp;"'!Q7")," ")</f>
        <v xml:space="preserve"> </v>
      </c>
      <c r="P105" s="43" t="str" cm="1">
        <f t="array" aca="1" ref="P105" ca="1">IFERROR(INDIRECT("'"&amp;$A105&amp;"'!S5")," ")</f>
        <v xml:space="preserve"> </v>
      </c>
      <c r="Q105" s="43" t="str" cm="1">
        <f t="array" aca="1" ref="Q105" ca="1">IFERROR(INDIRECT("'"&amp;$A105&amp;"'!S6")," ")</f>
        <v xml:space="preserve"> </v>
      </c>
      <c r="R105" s="43" t="str" cm="1">
        <f t="array" aca="1" ref="R105" ca="1">IFERROR(INDIRECT("'"&amp;$A105&amp;"'!S7")," ")</f>
        <v xml:space="preserve"> </v>
      </c>
      <c r="S105" s="43" t="str" cm="1">
        <f t="array" aca="1" ref="S105" ca="1">IFERROR(INDIRECT("'"&amp;$A105&amp;"'!S8")," ")</f>
        <v xml:space="preserve"> </v>
      </c>
      <c r="T105" s="43" t="str" cm="1">
        <f t="array" aca="1" ref="T105" ca="1">IFERROR(INDIRECT("'"&amp;$A105&amp;"'!S9")," ")</f>
        <v xml:space="preserve"> </v>
      </c>
      <c r="U105" s="43" t="str" cm="1">
        <f t="array" aca="1" ref="U105" ca="1">IFERROR(INDIRECT("'"&amp;$A105&amp;"'!S10")," ")</f>
        <v xml:space="preserve"> </v>
      </c>
      <c r="V105" s="43" t="str" cm="1">
        <f t="array" aca="1" ref="V105" ca="1">IFERROR(INDIRECT("'"&amp;$A105&amp;"'!S11")," ")</f>
        <v xml:space="preserve"> </v>
      </c>
      <c r="W105" s="43" t="str" cm="1">
        <f t="array" aca="1" ref="W105" ca="1">IFERROR(INDIRECT("'"&amp;$A105&amp;"'!W5")," ")</f>
        <v xml:space="preserve"> </v>
      </c>
      <c r="X105" s="43" t="str" cm="1">
        <f t="array" aca="1" ref="X105" ca="1">IFERROR(INDIRECT("'"&amp;$A105&amp;"'!s8")," ")</f>
        <v xml:space="preserve"> </v>
      </c>
      <c r="Y105" s="43" t="str" cm="1">
        <f t="array" aca="1" ref="Y105" ca="1">IFERROR(INDIRECT("'"&amp;$A105&amp;"'!U5")," ")</f>
        <v xml:space="preserve"> </v>
      </c>
      <c r="Z105" s="43" t="str" cm="1">
        <f t="array" aca="1" ref="Z105" ca="1">IFERROR(INDIRECT("'"&amp;$A105&amp;"'!U6")," ")</f>
        <v xml:space="preserve"> </v>
      </c>
      <c r="AA105" s="43" t="str" cm="1">
        <f t="array" aca="1" ref="AA105" ca="1">IFERROR(INDIRECT("'"&amp;$A105&amp;"'!U7")," ")</f>
        <v xml:space="preserve"> </v>
      </c>
      <c r="AB105" s="43" t="str" cm="1">
        <f t="array" aca="1" ref="AB105" ca="1">IFERROR(INDIRECT("'"&amp;$A105&amp;"'!U8")," ")</f>
        <v xml:space="preserve"> </v>
      </c>
      <c r="AC105" s="43" t="str" cm="1">
        <f t="array" aca="1" ref="AC105" ca="1">IFERROR(INDIRECT("'"&amp;$A105&amp;"'!s9")," ")</f>
        <v xml:space="preserve"> </v>
      </c>
      <c r="AD105" s="7" t="str" cm="1">
        <f t="array" aca="1" ref="AD105" ca="1">IFERROR(INDIRECT("'"&amp;$A105&amp;"'!F6")," ")</f>
        <v xml:space="preserve"> </v>
      </c>
      <c r="AE105" s="118" t="str" cm="1">
        <f t="array" aca="1" ref="AE105" ca="1">IFERROR(INDIRECT("'"&amp;$A105&amp;"'!L4")," ")</f>
        <v xml:space="preserve"> </v>
      </c>
    </row>
    <row r="106" spans="2:31" ht="15" customHeight="1" x14ac:dyDescent="0.3">
      <c r="B106" s="8" t="str" cm="1">
        <f t="array" aca="1" ref="B106" ca="1">IFERROR(INDIRECT("'"&amp;$A106&amp;"'!A2"),"")</f>
        <v/>
      </c>
      <c r="C106" s="8" t="str" cm="1">
        <f t="array" aca="1" ref="C106" ca="1">IFERROR(INDIRECT("'"&amp;$A106&amp;"'!B5"),"")</f>
        <v/>
      </c>
      <c r="D106" s="9" t="str" cm="1">
        <f t="array" aca="1" ref="D106" ca="1">IFERROR(INDIRECT("'"&amp;$A106&amp;"'!B4"),"")</f>
        <v/>
      </c>
      <c r="E106" s="9" t="str" cm="1">
        <f t="array" aca="1" ref="E106" ca="1">IFERROR(INDIRECT("'"&amp;$A106&amp;"'!B7")," ")</f>
        <v xml:space="preserve"> </v>
      </c>
      <c r="F106" s="122" t="str" cm="1">
        <f t="array" aca="1" ref="F106" ca="1">IFERROR(INDIRECT("'"&amp;$A106&amp;"'!D9")," ")</f>
        <v xml:space="preserve"> </v>
      </c>
      <c r="G106" s="52" t="str" cm="1">
        <f t="array" aca="1" ref="G106" ca="1">IFERROR(INDIRECT("'"&amp;$A106&amp;"'!B9")," ")</f>
        <v xml:space="preserve"> </v>
      </c>
      <c r="H106" s="70" t="str" cm="1">
        <f t="array" aca="1" ref="H106" ca="1">IFERROR(INDIRECT("'"&amp;$A106&amp;"'!D4")," ")</f>
        <v xml:space="preserve"> </v>
      </c>
      <c r="I106" s="5" t="str" cm="1">
        <f t="array" aca="1" ref="I106" ca="1">IFERROR(INDIRECT("'"&amp;$A106&amp;"'!D7")," ")</f>
        <v xml:space="preserve"> </v>
      </c>
      <c r="J106" s="5" t="str" cm="1">
        <f t="array" aca="1" ref="J106" ca="1">IFERROR(INDIRECT("'"&amp;$A106&amp;"'!D8")," ")</f>
        <v xml:space="preserve"> </v>
      </c>
      <c r="K106" s="5" t="str" cm="1">
        <f t="array" aca="1" ref="K106" ca="1">IFERROR(INDIRECT("'"&amp;$A106&amp;"'!D5")," ")</f>
        <v xml:space="preserve"> </v>
      </c>
      <c r="L106" s="54" t="str" cm="1">
        <f t="array" aca="1" ref="L106" ca="1">IFERROR(INDIRECT("'"&amp;$A106&amp;"'!Q10")," ")</f>
        <v xml:space="preserve"> </v>
      </c>
      <c r="M106" s="43" t="str" cm="1">
        <f t="array" aca="1" ref="M106" ca="1">IFERROR(INDIRECT("'"&amp;$A106&amp;"'!Q5")," ")</f>
        <v xml:space="preserve"> </v>
      </c>
      <c r="N106" s="43" t="str" cm="1">
        <f t="array" aca="1" ref="N106" ca="1">IFERROR(INDIRECT("'"&amp;$A106&amp;"'!Q6")," ")</f>
        <v xml:space="preserve"> </v>
      </c>
      <c r="O106" s="43" t="str" cm="1">
        <f t="array" aca="1" ref="O106" ca="1">IFERROR(INDIRECT("'"&amp;$A106&amp;"'!Q7")," ")</f>
        <v xml:space="preserve"> </v>
      </c>
      <c r="P106" s="43" t="str" cm="1">
        <f t="array" aca="1" ref="P106" ca="1">IFERROR(INDIRECT("'"&amp;$A106&amp;"'!S5")," ")</f>
        <v xml:space="preserve"> </v>
      </c>
      <c r="Q106" s="43" t="str" cm="1">
        <f t="array" aca="1" ref="Q106" ca="1">IFERROR(INDIRECT("'"&amp;$A106&amp;"'!S6")," ")</f>
        <v xml:space="preserve"> </v>
      </c>
      <c r="R106" s="43" t="str" cm="1">
        <f t="array" aca="1" ref="R106" ca="1">IFERROR(INDIRECT("'"&amp;$A106&amp;"'!S7")," ")</f>
        <v xml:space="preserve"> </v>
      </c>
      <c r="S106" s="43" t="str" cm="1">
        <f t="array" aca="1" ref="S106" ca="1">IFERROR(INDIRECT("'"&amp;$A106&amp;"'!S8")," ")</f>
        <v xml:space="preserve"> </v>
      </c>
      <c r="T106" s="43" t="str" cm="1">
        <f t="array" aca="1" ref="T106" ca="1">IFERROR(INDIRECT("'"&amp;$A106&amp;"'!S9")," ")</f>
        <v xml:space="preserve"> </v>
      </c>
      <c r="U106" s="43" t="str" cm="1">
        <f t="array" aca="1" ref="U106" ca="1">IFERROR(INDIRECT("'"&amp;$A106&amp;"'!S10")," ")</f>
        <v xml:space="preserve"> </v>
      </c>
      <c r="V106" s="43" t="str" cm="1">
        <f t="array" aca="1" ref="V106" ca="1">IFERROR(INDIRECT("'"&amp;$A106&amp;"'!S11")," ")</f>
        <v xml:space="preserve"> </v>
      </c>
      <c r="W106" s="43" t="str" cm="1">
        <f t="array" aca="1" ref="W106" ca="1">IFERROR(INDIRECT("'"&amp;$A106&amp;"'!W5")," ")</f>
        <v xml:space="preserve"> </v>
      </c>
      <c r="X106" s="43" t="str" cm="1">
        <f t="array" aca="1" ref="X106" ca="1">IFERROR(INDIRECT("'"&amp;$A106&amp;"'!s8")," ")</f>
        <v xml:space="preserve"> </v>
      </c>
      <c r="Y106" s="43" t="str" cm="1">
        <f t="array" aca="1" ref="Y106" ca="1">IFERROR(INDIRECT("'"&amp;$A106&amp;"'!U5")," ")</f>
        <v xml:space="preserve"> </v>
      </c>
      <c r="Z106" s="43" t="str" cm="1">
        <f t="array" aca="1" ref="Z106" ca="1">IFERROR(INDIRECT("'"&amp;$A106&amp;"'!U6")," ")</f>
        <v xml:space="preserve"> </v>
      </c>
      <c r="AA106" s="43" t="str" cm="1">
        <f t="array" aca="1" ref="AA106" ca="1">IFERROR(INDIRECT("'"&amp;$A106&amp;"'!U7")," ")</f>
        <v xml:space="preserve"> </v>
      </c>
      <c r="AB106" s="43" t="str" cm="1">
        <f t="array" aca="1" ref="AB106" ca="1">IFERROR(INDIRECT("'"&amp;$A106&amp;"'!U8")," ")</f>
        <v xml:space="preserve"> </v>
      </c>
      <c r="AC106" s="43" t="str" cm="1">
        <f t="array" aca="1" ref="AC106" ca="1">IFERROR(INDIRECT("'"&amp;$A106&amp;"'!s9")," ")</f>
        <v xml:space="preserve"> </v>
      </c>
      <c r="AD106" s="7" t="str" cm="1">
        <f t="array" aca="1" ref="AD106" ca="1">IFERROR(INDIRECT("'"&amp;$A106&amp;"'!F6")," ")</f>
        <v xml:space="preserve"> </v>
      </c>
      <c r="AE106" s="118" t="str" cm="1">
        <f t="array" aca="1" ref="AE106" ca="1">IFERROR(INDIRECT("'"&amp;$A106&amp;"'!L4")," ")</f>
        <v xml:space="preserve"> </v>
      </c>
    </row>
    <row r="107" spans="2:31" ht="15" customHeight="1" x14ac:dyDescent="0.3">
      <c r="B107" s="8" t="str" cm="1">
        <f t="array" aca="1" ref="B107" ca="1">IFERROR(INDIRECT("'"&amp;$A107&amp;"'!A2"),"")</f>
        <v/>
      </c>
      <c r="C107" s="8" t="str" cm="1">
        <f t="array" aca="1" ref="C107" ca="1">IFERROR(INDIRECT("'"&amp;$A107&amp;"'!B5"),"")</f>
        <v/>
      </c>
      <c r="D107" s="9" t="str" cm="1">
        <f t="array" aca="1" ref="D107" ca="1">IFERROR(INDIRECT("'"&amp;$A107&amp;"'!B4"),"")</f>
        <v/>
      </c>
      <c r="E107" s="9" t="str" cm="1">
        <f t="array" aca="1" ref="E107" ca="1">IFERROR(INDIRECT("'"&amp;$A107&amp;"'!B7")," ")</f>
        <v xml:space="preserve"> </v>
      </c>
      <c r="F107" s="122" t="str" cm="1">
        <f t="array" aca="1" ref="F107" ca="1">IFERROR(INDIRECT("'"&amp;$A107&amp;"'!D9")," ")</f>
        <v xml:space="preserve"> </v>
      </c>
      <c r="G107" s="52" t="str" cm="1">
        <f t="array" aca="1" ref="G107" ca="1">IFERROR(INDIRECT("'"&amp;$A107&amp;"'!B9")," ")</f>
        <v xml:space="preserve"> </v>
      </c>
      <c r="H107" s="144" t="str" cm="1">
        <f t="array" aca="1" ref="H107" ca="1">IFERROR(INDIRECT("'"&amp;$A107&amp;"'!D4")," ")</f>
        <v xml:space="preserve"> </v>
      </c>
      <c r="I107" s="5" t="str" cm="1">
        <f t="array" aca="1" ref="I107" ca="1">IFERROR(INDIRECT("'"&amp;$A107&amp;"'!D7")," ")</f>
        <v xml:space="preserve"> </v>
      </c>
      <c r="J107" s="5" t="str" cm="1">
        <f t="array" aca="1" ref="J107" ca="1">IFERROR(INDIRECT("'"&amp;$A107&amp;"'!D8")," ")</f>
        <v xml:space="preserve"> </v>
      </c>
      <c r="K107" s="5" t="str" cm="1">
        <f t="array" aca="1" ref="K107" ca="1">IFERROR(INDIRECT("'"&amp;$A107&amp;"'!D5")," ")</f>
        <v xml:space="preserve"> </v>
      </c>
      <c r="L107" s="54" t="str" cm="1">
        <f t="array" aca="1" ref="L107" ca="1">IFERROR(INDIRECT("'"&amp;$A107&amp;"'!Q10")," ")</f>
        <v xml:space="preserve"> </v>
      </c>
      <c r="M107" s="43" t="str" cm="1">
        <f t="array" aca="1" ref="M107" ca="1">IFERROR(INDIRECT("'"&amp;$A107&amp;"'!Q5")," ")</f>
        <v xml:space="preserve"> </v>
      </c>
      <c r="N107" s="43" t="str" cm="1">
        <f t="array" aca="1" ref="N107" ca="1">IFERROR(INDIRECT("'"&amp;$A107&amp;"'!Q6")," ")</f>
        <v xml:space="preserve"> </v>
      </c>
      <c r="O107" s="43" t="str" cm="1">
        <f t="array" aca="1" ref="O107" ca="1">IFERROR(INDIRECT("'"&amp;$A107&amp;"'!Q7")," ")</f>
        <v xml:space="preserve"> </v>
      </c>
      <c r="P107" s="43" t="str" cm="1">
        <f t="array" aca="1" ref="P107" ca="1">IFERROR(INDIRECT("'"&amp;$A107&amp;"'!S5")," ")</f>
        <v xml:space="preserve"> </v>
      </c>
      <c r="Q107" s="43" t="str" cm="1">
        <f t="array" aca="1" ref="Q107" ca="1">IFERROR(INDIRECT("'"&amp;$A107&amp;"'!S6")," ")</f>
        <v xml:space="preserve"> </v>
      </c>
      <c r="R107" s="43" t="str" cm="1">
        <f t="array" aca="1" ref="R107" ca="1">IFERROR(INDIRECT("'"&amp;$A107&amp;"'!S7")," ")</f>
        <v xml:space="preserve"> </v>
      </c>
      <c r="S107" s="43" t="str" cm="1">
        <f t="array" aca="1" ref="S107" ca="1">IFERROR(INDIRECT("'"&amp;$A107&amp;"'!S8")," ")</f>
        <v xml:space="preserve"> </v>
      </c>
      <c r="T107" s="43" t="str" cm="1">
        <f t="array" aca="1" ref="T107" ca="1">IFERROR(INDIRECT("'"&amp;$A107&amp;"'!S9")," ")</f>
        <v xml:space="preserve"> </v>
      </c>
      <c r="U107" s="43" t="str" cm="1">
        <f t="array" aca="1" ref="U107" ca="1">IFERROR(INDIRECT("'"&amp;$A107&amp;"'!S10")," ")</f>
        <v xml:space="preserve"> </v>
      </c>
      <c r="V107" s="43" t="str" cm="1">
        <f t="array" aca="1" ref="V107" ca="1">IFERROR(INDIRECT("'"&amp;$A107&amp;"'!S11")," ")</f>
        <v xml:space="preserve"> </v>
      </c>
      <c r="W107" s="43" t="str" cm="1">
        <f t="array" aca="1" ref="W107" ca="1">IFERROR(INDIRECT("'"&amp;$A107&amp;"'!W5")," ")</f>
        <v xml:space="preserve"> </v>
      </c>
      <c r="X107" s="43" t="str" cm="1">
        <f t="array" aca="1" ref="X107" ca="1">IFERROR(INDIRECT("'"&amp;$A107&amp;"'!s8")," ")</f>
        <v xml:space="preserve"> </v>
      </c>
      <c r="Y107" s="43" t="str" cm="1">
        <f t="array" aca="1" ref="Y107" ca="1">IFERROR(INDIRECT("'"&amp;$A107&amp;"'!U5")," ")</f>
        <v xml:space="preserve"> </v>
      </c>
      <c r="Z107" s="43" t="str" cm="1">
        <f t="array" aca="1" ref="Z107" ca="1">IFERROR(INDIRECT("'"&amp;$A107&amp;"'!U6")," ")</f>
        <v xml:space="preserve"> </v>
      </c>
      <c r="AA107" s="43" t="str" cm="1">
        <f t="array" aca="1" ref="AA107" ca="1">IFERROR(INDIRECT("'"&amp;$A107&amp;"'!U7")," ")</f>
        <v xml:space="preserve"> </v>
      </c>
      <c r="AB107" s="43" t="str" cm="1">
        <f t="array" aca="1" ref="AB107" ca="1">IFERROR(INDIRECT("'"&amp;$A107&amp;"'!U8")," ")</f>
        <v xml:space="preserve"> </v>
      </c>
      <c r="AC107" s="43" t="str" cm="1">
        <f t="array" aca="1" ref="AC107" ca="1">IFERROR(INDIRECT("'"&amp;$A107&amp;"'!s9")," ")</f>
        <v xml:space="preserve"> </v>
      </c>
      <c r="AD107" s="7" t="str" cm="1">
        <f t="array" aca="1" ref="AD107" ca="1">IFERROR(INDIRECT("'"&amp;$A107&amp;"'!F6")," ")</f>
        <v xml:space="preserve"> </v>
      </c>
      <c r="AE107" s="118" t="str" cm="1">
        <f t="array" aca="1" ref="AE107" ca="1">IFERROR(INDIRECT("'"&amp;$A107&amp;"'!L4")," ")</f>
        <v xml:space="preserve"> </v>
      </c>
    </row>
    <row r="108" spans="2:31" ht="15" customHeight="1" x14ac:dyDescent="0.3">
      <c r="B108" s="8" t="str" cm="1">
        <f t="array" aca="1" ref="B108" ca="1">IFERROR(INDIRECT("'"&amp;$A108&amp;"'!A2"),"")</f>
        <v/>
      </c>
      <c r="C108" s="8" t="str" cm="1">
        <f t="array" aca="1" ref="C108" ca="1">IFERROR(INDIRECT("'"&amp;$A108&amp;"'!B5"),"")</f>
        <v/>
      </c>
      <c r="D108" s="9" t="str" cm="1">
        <f t="array" aca="1" ref="D108" ca="1">IFERROR(INDIRECT("'"&amp;$A108&amp;"'!B4"),"")</f>
        <v/>
      </c>
      <c r="E108" s="9" t="str" cm="1">
        <f t="array" aca="1" ref="E108" ca="1">IFERROR(INDIRECT("'"&amp;$A108&amp;"'!B7")," ")</f>
        <v xml:space="preserve"> </v>
      </c>
      <c r="F108" s="122" t="str" cm="1">
        <f t="array" aca="1" ref="F108" ca="1">IFERROR(INDIRECT("'"&amp;$A108&amp;"'!D9")," ")</f>
        <v xml:space="preserve"> </v>
      </c>
      <c r="G108" s="52" t="str" cm="1">
        <f t="array" aca="1" ref="G108" ca="1">IFERROR(INDIRECT("'"&amp;$A108&amp;"'!B9")," ")</f>
        <v xml:space="preserve"> </v>
      </c>
      <c r="H108" s="144" t="str" cm="1">
        <f t="array" aca="1" ref="H108" ca="1">IFERROR(INDIRECT("'"&amp;$A108&amp;"'!D4")," ")</f>
        <v xml:space="preserve"> </v>
      </c>
      <c r="I108" s="5" t="str" cm="1">
        <f t="array" aca="1" ref="I108" ca="1">IFERROR(INDIRECT("'"&amp;$A108&amp;"'!D7")," ")</f>
        <v xml:space="preserve"> </v>
      </c>
      <c r="J108" s="5" t="str" cm="1">
        <f t="array" aca="1" ref="J108" ca="1">IFERROR(INDIRECT("'"&amp;$A108&amp;"'!D8")," ")</f>
        <v xml:space="preserve"> </v>
      </c>
      <c r="K108" s="5" t="str" cm="1">
        <f t="array" aca="1" ref="K108" ca="1">IFERROR(INDIRECT("'"&amp;$A108&amp;"'!D5")," ")</f>
        <v xml:space="preserve"> </v>
      </c>
      <c r="L108" s="54" t="str" cm="1">
        <f t="array" aca="1" ref="L108" ca="1">IFERROR(INDIRECT("'"&amp;$A108&amp;"'!Q10")," ")</f>
        <v xml:space="preserve"> </v>
      </c>
      <c r="M108" s="43" t="str" cm="1">
        <f t="array" aca="1" ref="M108" ca="1">IFERROR(INDIRECT("'"&amp;$A108&amp;"'!Q5")," ")</f>
        <v xml:space="preserve"> </v>
      </c>
      <c r="N108" s="43" t="str" cm="1">
        <f t="array" aca="1" ref="N108" ca="1">IFERROR(INDIRECT("'"&amp;$A108&amp;"'!Q6")," ")</f>
        <v xml:space="preserve"> </v>
      </c>
      <c r="O108" s="43" t="str" cm="1">
        <f t="array" aca="1" ref="O108" ca="1">IFERROR(INDIRECT("'"&amp;$A108&amp;"'!Q7")," ")</f>
        <v xml:space="preserve"> </v>
      </c>
      <c r="P108" s="43" t="str" cm="1">
        <f t="array" aca="1" ref="P108" ca="1">IFERROR(INDIRECT("'"&amp;$A108&amp;"'!S5")," ")</f>
        <v xml:space="preserve"> </v>
      </c>
      <c r="Q108" s="43" t="str" cm="1">
        <f t="array" aca="1" ref="Q108" ca="1">IFERROR(INDIRECT("'"&amp;$A108&amp;"'!S6")," ")</f>
        <v xml:space="preserve"> </v>
      </c>
      <c r="R108" s="43" t="str" cm="1">
        <f t="array" aca="1" ref="R108" ca="1">IFERROR(INDIRECT("'"&amp;$A108&amp;"'!S7")," ")</f>
        <v xml:space="preserve"> </v>
      </c>
      <c r="S108" s="43" t="str" cm="1">
        <f t="array" aca="1" ref="S108" ca="1">IFERROR(INDIRECT("'"&amp;$A108&amp;"'!S8")," ")</f>
        <v xml:space="preserve"> </v>
      </c>
      <c r="T108" s="43" t="str" cm="1">
        <f t="array" aca="1" ref="T108" ca="1">IFERROR(INDIRECT("'"&amp;$A108&amp;"'!S9")," ")</f>
        <v xml:space="preserve"> </v>
      </c>
      <c r="U108" s="43" t="str" cm="1">
        <f t="array" aca="1" ref="U108" ca="1">IFERROR(INDIRECT("'"&amp;$A108&amp;"'!S10")," ")</f>
        <v xml:space="preserve"> </v>
      </c>
      <c r="V108" s="43" t="str" cm="1">
        <f t="array" aca="1" ref="V108" ca="1">IFERROR(INDIRECT("'"&amp;$A108&amp;"'!S11")," ")</f>
        <v xml:space="preserve"> </v>
      </c>
      <c r="W108" s="43" t="str" cm="1">
        <f t="array" aca="1" ref="W108" ca="1">IFERROR(INDIRECT("'"&amp;$A108&amp;"'!W5")," ")</f>
        <v xml:space="preserve"> </v>
      </c>
      <c r="X108" s="43" t="str" cm="1">
        <f t="array" aca="1" ref="X108" ca="1">IFERROR(INDIRECT("'"&amp;$A108&amp;"'!s8")," ")</f>
        <v xml:space="preserve"> </v>
      </c>
      <c r="Y108" s="43" t="str" cm="1">
        <f t="array" aca="1" ref="Y108" ca="1">IFERROR(INDIRECT("'"&amp;$A108&amp;"'!U5")," ")</f>
        <v xml:space="preserve"> </v>
      </c>
      <c r="Z108" s="43" t="str" cm="1">
        <f t="array" aca="1" ref="Z108" ca="1">IFERROR(INDIRECT("'"&amp;$A108&amp;"'!U6")," ")</f>
        <v xml:space="preserve"> </v>
      </c>
      <c r="AA108" s="43" t="str" cm="1">
        <f t="array" aca="1" ref="AA108" ca="1">IFERROR(INDIRECT("'"&amp;$A108&amp;"'!U7")," ")</f>
        <v xml:space="preserve"> </v>
      </c>
      <c r="AB108" s="43" t="str" cm="1">
        <f t="array" aca="1" ref="AB108" ca="1">IFERROR(INDIRECT("'"&amp;$A108&amp;"'!U8")," ")</f>
        <v xml:space="preserve"> </v>
      </c>
      <c r="AC108" s="43" t="str" cm="1">
        <f t="array" aca="1" ref="AC108" ca="1">IFERROR(INDIRECT("'"&amp;$A108&amp;"'!s9")," ")</f>
        <v xml:space="preserve"> </v>
      </c>
      <c r="AD108" s="7" t="str" cm="1">
        <f t="array" aca="1" ref="AD108" ca="1">IFERROR(INDIRECT("'"&amp;$A108&amp;"'!F6")," ")</f>
        <v xml:space="preserve"> </v>
      </c>
      <c r="AE108" s="118" t="str" cm="1">
        <f t="array" aca="1" ref="AE108" ca="1">IFERROR(INDIRECT("'"&amp;$A108&amp;"'!L4")," ")</f>
        <v xml:space="preserve"> </v>
      </c>
    </row>
    <row r="109" spans="2:31" ht="15" customHeight="1" x14ac:dyDescent="0.3">
      <c r="B109" s="8" t="str" cm="1">
        <f t="array" aca="1" ref="B109" ca="1">IFERROR(INDIRECT("'"&amp;$A109&amp;"'!A2"),"")</f>
        <v/>
      </c>
      <c r="C109" s="8" t="str" cm="1">
        <f t="array" aca="1" ref="C109" ca="1">IFERROR(INDIRECT("'"&amp;$A109&amp;"'!B5"),"")</f>
        <v/>
      </c>
      <c r="D109" s="9" t="str" cm="1">
        <f t="array" aca="1" ref="D109" ca="1">IFERROR(INDIRECT("'"&amp;$A109&amp;"'!B4"),"")</f>
        <v/>
      </c>
      <c r="E109" s="9" t="str" cm="1">
        <f t="array" aca="1" ref="E109" ca="1">IFERROR(INDIRECT("'"&amp;$A109&amp;"'!B7")," ")</f>
        <v xml:space="preserve"> </v>
      </c>
      <c r="F109" s="122" t="str" cm="1">
        <f t="array" aca="1" ref="F109" ca="1">IFERROR(INDIRECT("'"&amp;$A109&amp;"'!D9")," ")</f>
        <v xml:space="preserve"> </v>
      </c>
      <c r="G109" s="52" t="str" cm="1">
        <f t="array" aca="1" ref="G109" ca="1">IFERROR(INDIRECT("'"&amp;$A109&amp;"'!B9")," ")</f>
        <v xml:space="preserve"> </v>
      </c>
      <c r="H109" s="144" t="str" cm="1">
        <f t="array" aca="1" ref="H109" ca="1">IFERROR(INDIRECT("'"&amp;$A109&amp;"'!D4")," ")</f>
        <v xml:space="preserve"> </v>
      </c>
      <c r="I109" s="5" t="str" cm="1">
        <f t="array" aca="1" ref="I109" ca="1">IFERROR(INDIRECT("'"&amp;$A109&amp;"'!D7")," ")</f>
        <v xml:space="preserve"> </v>
      </c>
      <c r="J109" s="5" t="str" cm="1">
        <f t="array" aca="1" ref="J109" ca="1">IFERROR(INDIRECT("'"&amp;$A109&amp;"'!D8")," ")</f>
        <v xml:space="preserve"> </v>
      </c>
      <c r="K109" s="5" t="str" cm="1">
        <f t="array" aca="1" ref="K109" ca="1">IFERROR(INDIRECT("'"&amp;$A109&amp;"'!D5")," ")</f>
        <v xml:space="preserve"> </v>
      </c>
      <c r="L109" s="54" t="str" cm="1">
        <f t="array" aca="1" ref="L109" ca="1">IFERROR(INDIRECT("'"&amp;$A109&amp;"'!Q10")," ")</f>
        <v xml:space="preserve"> </v>
      </c>
      <c r="M109" s="43" t="str" cm="1">
        <f t="array" aca="1" ref="M109" ca="1">IFERROR(INDIRECT("'"&amp;$A109&amp;"'!Q5")," ")</f>
        <v xml:space="preserve"> </v>
      </c>
      <c r="N109" s="43" t="str" cm="1">
        <f t="array" aca="1" ref="N109" ca="1">IFERROR(INDIRECT("'"&amp;$A109&amp;"'!Q6")," ")</f>
        <v xml:space="preserve"> </v>
      </c>
      <c r="O109" s="43" t="str" cm="1">
        <f t="array" aca="1" ref="O109" ca="1">IFERROR(INDIRECT("'"&amp;$A109&amp;"'!Q7")," ")</f>
        <v xml:space="preserve"> </v>
      </c>
      <c r="P109" s="43" t="str" cm="1">
        <f t="array" aca="1" ref="P109" ca="1">IFERROR(INDIRECT("'"&amp;$A109&amp;"'!S5")," ")</f>
        <v xml:space="preserve"> </v>
      </c>
      <c r="Q109" s="43" t="str" cm="1">
        <f t="array" aca="1" ref="Q109" ca="1">IFERROR(INDIRECT("'"&amp;$A109&amp;"'!S6")," ")</f>
        <v xml:space="preserve"> </v>
      </c>
      <c r="R109" s="43" t="str" cm="1">
        <f t="array" aca="1" ref="R109" ca="1">IFERROR(INDIRECT("'"&amp;$A109&amp;"'!S7")," ")</f>
        <v xml:space="preserve"> </v>
      </c>
      <c r="S109" s="43" t="str" cm="1">
        <f t="array" aca="1" ref="S109" ca="1">IFERROR(INDIRECT("'"&amp;$A109&amp;"'!S8")," ")</f>
        <v xml:space="preserve"> </v>
      </c>
      <c r="T109" s="43" t="str" cm="1">
        <f t="array" aca="1" ref="T109" ca="1">IFERROR(INDIRECT("'"&amp;$A109&amp;"'!S9")," ")</f>
        <v xml:space="preserve"> </v>
      </c>
      <c r="U109" s="43" t="str" cm="1">
        <f t="array" aca="1" ref="U109" ca="1">IFERROR(INDIRECT("'"&amp;$A109&amp;"'!S10")," ")</f>
        <v xml:space="preserve"> </v>
      </c>
      <c r="V109" s="43" t="str" cm="1">
        <f t="array" aca="1" ref="V109" ca="1">IFERROR(INDIRECT("'"&amp;$A109&amp;"'!S11")," ")</f>
        <v xml:space="preserve"> </v>
      </c>
      <c r="W109" s="43" t="str" cm="1">
        <f t="array" aca="1" ref="W109" ca="1">IFERROR(INDIRECT("'"&amp;$A109&amp;"'!W5")," ")</f>
        <v xml:space="preserve"> </v>
      </c>
      <c r="X109" s="43" t="str" cm="1">
        <f t="array" aca="1" ref="X109" ca="1">IFERROR(INDIRECT("'"&amp;$A109&amp;"'!s8")," ")</f>
        <v xml:space="preserve"> </v>
      </c>
      <c r="Y109" s="43" t="str" cm="1">
        <f t="array" aca="1" ref="Y109" ca="1">IFERROR(INDIRECT("'"&amp;$A109&amp;"'!U5")," ")</f>
        <v xml:space="preserve"> </v>
      </c>
      <c r="Z109" s="43" t="str" cm="1">
        <f t="array" aca="1" ref="Z109" ca="1">IFERROR(INDIRECT("'"&amp;$A109&amp;"'!U6")," ")</f>
        <v xml:space="preserve"> </v>
      </c>
      <c r="AA109" s="43" t="str" cm="1">
        <f t="array" aca="1" ref="AA109" ca="1">IFERROR(INDIRECT("'"&amp;$A109&amp;"'!U7")," ")</f>
        <v xml:space="preserve"> </v>
      </c>
      <c r="AB109" s="43" t="str" cm="1">
        <f t="array" aca="1" ref="AB109" ca="1">IFERROR(INDIRECT("'"&amp;$A109&amp;"'!U8")," ")</f>
        <v xml:space="preserve"> </v>
      </c>
      <c r="AC109" s="43" t="str" cm="1">
        <f t="array" aca="1" ref="AC109" ca="1">IFERROR(INDIRECT("'"&amp;$A109&amp;"'!s9")," ")</f>
        <v xml:space="preserve"> </v>
      </c>
      <c r="AD109" s="7" t="str" cm="1">
        <f t="array" aca="1" ref="AD109" ca="1">IFERROR(INDIRECT("'"&amp;$A109&amp;"'!F6")," ")</f>
        <v xml:space="preserve"> </v>
      </c>
      <c r="AE109" s="118" t="str" cm="1">
        <f t="array" aca="1" ref="AE109" ca="1">IFERROR(INDIRECT("'"&amp;$A109&amp;"'!L4")," ")</f>
        <v xml:space="preserve"> </v>
      </c>
    </row>
    <row r="110" spans="2:31" ht="15" customHeight="1" x14ac:dyDescent="0.3">
      <c r="B110" s="8" t="str" cm="1">
        <f t="array" aca="1" ref="B110" ca="1">IFERROR(INDIRECT("'"&amp;$A110&amp;"'!A2"),"")</f>
        <v/>
      </c>
      <c r="C110" s="8" t="str" cm="1">
        <f t="array" aca="1" ref="C110" ca="1">IFERROR(INDIRECT("'"&amp;$A110&amp;"'!B5"),"")</f>
        <v/>
      </c>
      <c r="D110" s="9" t="str" cm="1">
        <f t="array" aca="1" ref="D110" ca="1">IFERROR(INDIRECT("'"&amp;$A110&amp;"'!B4"),"")</f>
        <v/>
      </c>
      <c r="E110" s="9" t="str" cm="1">
        <f t="array" aca="1" ref="E110" ca="1">IFERROR(INDIRECT("'"&amp;$A110&amp;"'!B7")," ")</f>
        <v xml:space="preserve"> </v>
      </c>
      <c r="F110" s="122" t="str" cm="1">
        <f t="array" aca="1" ref="F110" ca="1">IFERROR(INDIRECT("'"&amp;$A110&amp;"'!D9")," ")</f>
        <v xml:space="preserve"> </v>
      </c>
      <c r="G110" s="52" t="str" cm="1">
        <f t="array" aca="1" ref="G110" ca="1">IFERROR(INDIRECT("'"&amp;$A110&amp;"'!B9")," ")</f>
        <v xml:space="preserve"> </v>
      </c>
      <c r="H110" s="144" t="str" cm="1">
        <f t="array" aca="1" ref="H110" ca="1">IFERROR(INDIRECT("'"&amp;$A110&amp;"'!D4")," ")</f>
        <v xml:space="preserve"> </v>
      </c>
      <c r="I110" s="5" t="str" cm="1">
        <f t="array" aca="1" ref="I110" ca="1">IFERROR(INDIRECT("'"&amp;$A110&amp;"'!D7")," ")</f>
        <v xml:space="preserve"> </v>
      </c>
      <c r="J110" s="5" t="str" cm="1">
        <f t="array" aca="1" ref="J110" ca="1">IFERROR(INDIRECT("'"&amp;$A110&amp;"'!D8")," ")</f>
        <v xml:space="preserve"> </v>
      </c>
      <c r="K110" s="5" t="str" cm="1">
        <f t="array" aca="1" ref="K110" ca="1">IFERROR(INDIRECT("'"&amp;$A110&amp;"'!D5")," ")</f>
        <v xml:space="preserve"> </v>
      </c>
      <c r="L110" s="54" t="str" cm="1">
        <f t="array" aca="1" ref="L110" ca="1">IFERROR(INDIRECT("'"&amp;$A110&amp;"'!Q10")," ")</f>
        <v xml:space="preserve"> </v>
      </c>
      <c r="M110" s="43" t="str" cm="1">
        <f t="array" aca="1" ref="M110" ca="1">IFERROR(INDIRECT("'"&amp;$A110&amp;"'!Q5")," ")</f>
        <v xml:space="preserve"> </v>
      </c>
      <c r="N110" s="43" t="str" cm="1">
        <f t="array" aca="1" ref="N110" ca="1">IFERROR(INDIRECT("'"&amp;$A110&amp;"'!Q6")," ")</f>
        <v xml:space="preserve"> </v>
      </c>
      <c r="O110" s="43" t="str" cm="1">
        <f t="array" aca="1" ref="O110" ca="1">IFERROR(INDIRECT("'"&amp;$A110&amp;"'!Q7")," ")</f>
        <v xml:space="preserve"> </v>
      </c>
      <c r="P110" s="43" t="str" cm="1">
        <f t="array" aca="1" ref="P110" ca="1">IFERROR(INDIRECT("'"&amp;$A110&amp;"'!S5")," ")</f>
        <v xml:space="preserve"> </v>
      </c>
      <c r="Q110" s="43" t="str" cm="1">
        <f t="array" aca="1" ref="Q110" ca="1">IFERROR(INDIRECT("'"&amp;$A110&amp;"'!S6")," ")</f>
        <v xml:space="preserve"> </v>
      </c>
      <c r="R110" s="43" t="str" cm="1">
        <f t="array" aca="1" ref="R110" ca="1">IFERROR(INDIRECT("'"&amp;$A110&amp;"'!S7")," ")</f>
        <v xml:space="preserve"> </v>
      </c>
      <c r="S110" s="43" t="str" cm="1">
        <f t="array" aca="1" ref="S110" ca="1">IFERROR(INDIRECT("'"&amp;$A110&amp;"'!S8")," ")</f>
        <v xml:space="preserve"> </v>
      </c>
      <c r="T110" s="43" t="str" cm="1">
        <f t="array" aca="1" ref="T110" ca="1">IFERROR(INDIRECT("'"&amp;$A110&amp;"'!S9")," ")</f>
        <v xml:space="preserve"> </v>
      </c>
      <c r="U110" s="43" t="str" cm="1">
        <f t="array" aca="1" ref="U110" ca="1">IFERROR(INDIRECT("'"&amp;$A110&amp;"'!S10")," ")</f>
        <v xml:space="preserve"> </v>
      </c>
      <c r="V110" s="43" t="str" cm="1">
        <f t="array" aca="1" ref="V110" ca="1">IFERROR(INDIRECT("'"&amp;$A110&amp;"'!S11")," ")</f>
        <v xml:space="preserve"> </v>
      </c>
      <c r="W110" s="43" t="str" cm="1">
        <f t="array" aca="1" ref="W110" ca="1">IFERROR(INDIRECT("'"&amp;$A110&amp;"'!W5")," ")</f>
        <v xml:space="preserve"> </v>
      </c>
      <c r="X110" s="43" t="str" cm="1">
        <f t="array" aca="1" ref="X110" ca="1">IFERROR(INDIRECT("'"&amp;$A110&amp;"'!s8")," ")</f>
        <v xml:space="preserve"> </v>
      </c>
      <c r="Y110" s="43" t="str" cm="1">
        <f t="array" aca="1" ref="Y110" ca="1">IFERROR(INDIRECT("'"&amp;$A110&amp;"'!U5")," ")</f>
        <v xml:space="preserve"> </v>
      </c>
      <c r="Z110" s="43" t="str" cm="1">
        <f t="array" aca="1" ref="Z110" ca="1">IFERROR(INDIRECT("'"&amp;$A110&amp;"'!U6")," ")</f>
        <v xml:space="preserve"> </v>
      </c>
      <c r="AA110" s="43" t="str" cm="1">
        <f t="array" aca="1" ref="AA110" ca="1">IFERROR(INDIRECT("'"&amp;$A110&amp;"'!U7")," ")</f>
        <v xml:space="preserve"> </v>
      </c>
      <c r="AB110" s="43" t="str" cm="1">
        <f t="array" aca="1" ref="AB110" ca="1">IFERROR(INDIRECT("'"&amp;$A110&amp;"'!U8")," ")</f>
        <v xml:space="preserve"> </v>
      </c>
      <c r="AC110" s="43" t="str" cm="1">
        <f t="array" aca="1" ref="AC110" ca="1">IFERROR(INDIRECT("'"&amp;$A110&amp;"'!s9")," ")</f>
        <v xml:space="preserve"> </v>
      </c>
      <c r="AD110" s="7" t="str" cm="1">
        <f t="array" aca="1" ref="AD110" ca="1">IFERROR(INDIRECT("'"&amp;$A110&amp;"'!F6")," ")</f>
        <v xml:space="preserve"> </v>
      </c>
      <c r="AE110" s="118" t="str" cm="1">
        <f t="array" aca="1" ref="AE110" ca="1">IFERROR(INDIRECT("'"&amp;$A110&amp;"'!L4")," ")</f>
        <v xml:space="preserve"> </v>
      </c>
    </row>
    <row r="111" spans="2:31" ht="15" customHeight="1" x14ac:dyDescent="0.3">
      <c r="B111" s="8" t="str" cm="1">
        <f t="array" aca="1" ref="B111" ca="1">IFERROR(INDIRECT("'"&amp;$A111&amp;"'!A2"),"")</f>
        <v/>
      </c>
      <c r="C111" s="8" t="str" cm="1">
        <f t="array" aca="1" ref="C111" ca="1">IFERROR(INDIRECT("'"&amp;$A111&amp;"'!B5"),"")</f>
        <v/>
      </c>
      <c r="D111" s="9" t="str" cm="1">
        <f t="array" aca="1" ref="D111" ca="1">IFERROR(INDIRECT("'"&amp;$A111&amp;"'!B4"),"")</f>
        <v/>
      </c>
      <c r="E111" s="9" t="str" cm="1">
        <f t="array" aca="1" ref="E111" ca="1">IFERROR(INDIRECT("'"&amp;$A111&amp;"'!B7")," ")</f>
        <v xml:space="preserve"> </v>
      </c>
      <c r="F111" s="122" t="str" cm="1">
        <f t="array" aca="1" ref="F111" ca="1">IFERROR(INDIRECT("'"&amp;$A111&amp;"'!D9")," ")</f>
        <v xml:space="preserve"> </v>
      </c>
      <c r="G111" s="52" t="str" cm="1">
        <f t="array" aca="1" ref="G111" ca="1">IFERROR(INDIRECT("'"&amp;$A111&amp;"'!B9")," ")</f>
        <v xml:space="preserve"> </v>
      </c>
      <c r="H111" s="144" t="str" cm="1">
        <f t="array" aca="1" ref="H111" ca="1">IFERROR(INDIRECT("'"&amp;$A111&amp;"'!D4")," ")</f>
        <v xml:space="preserve"> </v>
      </c>
      <c r="I111" s="5" t="str" cm="1">
        <f t="array" aca="1" ref="I111" ca="1">IFERROR(INDIRECT("'"&amp;$A111&amp;"'!D7")," ")</f>
        <v xml:space="preserve"> </v>
      </c>
      <c r="J111" s="5" t="str" cm="1">
        <f t="array" aca="1" ref="J111" ca="1">IFERROR(INDIRECT("'"&amp;$A111&amp;"'!D8")," ")</f>
        <v xml:space="preserve"> </v>
      </c>
      <c r="K111" s="5" t="str" cm="1">
        <f t="array" aca="1" ref="K111" ca="1">IFERROR(INDIRECT("'"&amp;$A111&amp;"'!D5")," ")</f>
        <v xml:space="preserve"> </v>
      </c>
      <c r="L111" s="54" t="str" cm="1">
        <f t="array" aca="1" ref="L111" ca="1">IFERROR(INDIRECT("'"&amp;$A111&amp;"'!Q10")," ")</f>
        <v xml:space="preserve"> </v>
      </c>
      <c r="M111" s="43" t="str" cm="1">
        <f t="array" aca="1" ref="M111" ca="1">IFERROR(INDIRECT("'"&amp;$A111&amp;"'!Q5")," ")</f>
        <v xml:space="preserve"> </v>
      </c>
      <c r="N111" s="43" t="str" cm="1">
        <f t="array" aca="1" ref="N111" ca="1">IFERROR(INDIRECT("'"&amp;$A111&amp;"'!Q6")," ")</f>
        <v xml:space="preserve"> </v>
      </c>
      <c r="O111" s="43" t="str" cm="1">
        <f t="array" aca="1" ref="O111" ca="1">IFERROR(INDIRECT("'"&amp;$A111&amp;"'!Q7")," ")</f>
        <v xml:space="preserve"> </v>
      </c>
      <c r="P111" s="43" t="str" cm="1">
        <f t="array" aca="1" ref="P111" ca="1">IFERROR(INDIRECT("'"&amp;$A111&amp;"'!S5")," ")</f>
        <v xml:space="preserve"> </v>
      </c>
      <c r="Q111" s="43" t="str" cm="1">
        <f t="array" aca="1" ref="Q111" ca="1">IFERROR(INDIRECT("'"&amp;$A111&amp;"'!S6")," ")</f>
        <v xml:space="preserve"> </v>
      </c>
      <c r="R111" s="43" t="str" cm="1">
        <f t="array" aca="1" ref="R111" ca="1">IFERROR(INDIRECT("'"&amp;$A111&amp;"'!S7")," ")</f>
        <v xml:space="preserve"> </v>
      </c>
      <c r="S111" s="43" t="str" cm="1">
        <f t="array" aca="1" ref="S111" ca="1">IFERROR(INDIRECT("'"&amp;$A111&amp;"'!S8")," ")</f>
        <v xml:space="preserve"> </v>
      </c>
      <c r="T111" s="43" t="str" cm="1">
        <f t="array" aca="1" ref="T111" ca="1">IFERROR(INDIRECT("'"&amp;$A111&amp;"'!S9")," ")</f>
        <v xml:space="preserve"> </v>
      </c>
      <c r="U111" s="43" t="str" cm="1">
        <f t="array" aca="1" ref="U111" ca="1">IFERROR(INDIRECT("'"&amp;$A111&amp;"'!S10")," ")</f>
        <v xml:space="preserve"> </v>
      </c>
      <c r="V111" s="43" t="str" cm="1">
        <f t="array" aca="1" ref="V111" ca="1">IFERROR(INDIRECT("'"&amp;$A111&amp;"'!S11")," ")</f>
        <v xml:space="preserve"> </v>
      </c>
      <c r="W111" s="43" t="str" cm="1">
        <f t="array" aca="1" ref="W111" ca="1">IFERROR(INDIRECT("'"&amp;$A111&amp;"'!W5")," ")</f>
        <v xml:space="preserve"> </v>
      </c>
      <c r="X111" s="43" t="str" cm="1">
        <f t="array" aca="1" ref="X111" ca="1">IFERROR(INDIRECT("'"&amp;$A111&amp;"'!s8")," ")</f>
        <v xml:space="preserve"> </v>
      </c>
      <c r="Y111" s="43" t="str" cm="1">
        <f t="array" aca="1" ref="Y111" ca="1">IFERROR(INDIRECT("'"&amp;$A111&amp;"'!U5")," ")</f>
        <v xml:space="preserve"> </v>
      </c>
      <c r="Z111" s="43" t="str" cm="1">
        <f t="array" aca="1" ref="Z111" ca="1">IFERROR(INDIRECT("'"&amp;$A111&amp;"'!U6")," ")</f>
        <v xml:space="preserve"> </v>
      </c>
      <c r="AA111" s="43" t="str" cm="1">
        <f t="array" aca="1" ref="AA111" ca="1">IFERROR(INDIRECT("'"&amp;$A111&amp;"'!U7")," ")</f>
        <v xml:space="preserve"> </v>
      </c>
      <c r="AB111" s="43" t="str" cm="1">
        <f t="array" aca="1" ref="AB111" ca="1">IFERROR(INDIRECT("'"&amp;$A111&amp;"'!U8")," ")</f>
        <v xml:space="preserve"> </v>
      </c>
      <c r="AC111" s="43" t="str" cm="1">
        <f t="array" aca="1" ref="AC111" ca="1">IFERROR(INDIRECT("'"&amp;$A111&amp;"'!s9")," ")</f>
        <v xml:space="preserve"> </v>
      </c>
      <c r="AD111" s="7" t="str" cm="1">
        <f t="array" aca="1" ref="AD111" ca="1">IFERROR(INDIRECT("'"&amp;$A111&amp;"'!F6")," ")</f>
        <v xml:space="preserve"> </v>
      </c>
      <c r="AE111" s="118" t="str" cm="1">
        <f t="array" aca="1" ref="AE111" ca="1">IFERROR(INDIRECT("'"&amp;$A111&amp;"'!L4")," ")</f>
        <v xml:space="preserve"> </v>
      </c>
    </row>
    <row r="112" spans="2:31" ht="15" customHeight="1" x14ac:dyDescent="0.3">
      <c r="B112" s="8" t="str" cm="1">
        <f t="array" aca="1" ref="B112" ca="1">IFERROR(INDIRECT("'"&amp;$A112&amp;"'!A2"),"")</f>
        <v/>
      </c>
      <c r="C112" s="8" t="str" cm="1">
        <f t="array" aca="1" ref="C112" ca="1">IFERROR(INDIRECT("'"&amp;$A112&amp;"'!B5"),"")</f>
        <v/>
      </c>
      <c r="D112" s="9" t="str" cm="1">
        <f t="array" aca="1" ref="D112" ca="1">IFERROR(INDIRECT("'"&amp;$A112&amp;"'!B4"),"")</f>
        <v/>
      </c>
      <c r="E112" s="9" t="str" cm="1">
        <f t="array" aca="1" ref="E112" ca="1">IFERROR(INDIRECT("'"&amp;$A112&amp;"'!B7")," ")</f>
        <v xml:space="preserve"> </v>
      </c>
      <c r="F112" s="122" t="str" cm="1">
        <f t="array" aca="1" ref="F112" ca="1">IFERROR(INDIRECT("'"&amp;$A112&amp;"'!D9")," ")</f>
        <v xml:space="preserve"> </v>
      </c>
      <c r="G112" s="52" t="str" cm="1">
        <f t="array" aca="1" ref="G112" ca="1">IFERROR(INDIRECT("'"&amp;$A112&amp;"'!B9")," ")</f>
        <v xml:space="preserve"> </v>
      </c>
      <c r="H112" s="70" t="str" cm="1">
        <f t="array" aca="1" ref="H112" ca="1">IFERROR(INDIRECT("'"&amp;$A112&amp;"'!D4")," ")</f>
        <v xml:space="preserve"> </v>
      </c>
      <c r="I112" s="5" t="str" cm="1">
        <f t="array" aca="1" ref="I112" ca="1">IFERROR(INDIRECT("'"&amp;$A112&amp;"'!D7")," ")</f>
        <v xml:space="preserve"> </v>
      </c>
      <c r="J112" s="5" t="str" cm="1">
        <f t="array" aca="1" ref="J112" ca="1">IFERROR(INDIRECT("'"&amp;$A112&amp;"'!D8")," ")</f>
        <v xml:space="preserve"> </v>
      </c>
      <c r="K112" s="5" t="str" cm="1">
        <f t="array" aca="1" ref="K112" ca="1">IFERROR(INDIRECT("'"&amp;$A112&amp;"'!D5")," ")</f>
        <v xml:space="preserve"> </v>
      </c>
      <c r="L112" s="54" t="str" cm="1">
        <f t="array" aca="1" ref="L112" ca="1">IFERROR(INDIRECT("'"&amp;$A112&amp;"'!Q10")," ")</f>
        <v xml:space="preserve"> </v>
      </c>
      <c r="M112" s="43" t="str" cm="1">
        <f t="array" aca="1" ref="M112" ca="1">IFERROR(INDIRECT("'"&amp;$A112&amp;"'!Q5")," ")</f>
        <v xml:space="preserve"> </v>
      </c>
      <c r="N112" s="43" t="str" cm="1">
        <f t="array" aca="1" ref="N112" ca="1">IFERROR(INDIRECT("'"&amp;$A112&amp;"'!Q6")," ")</f>
        <v xml:space="preserve"> </v>
      </c>
      <c r="O112" s="43" t="str" cm="1">
        <f t="array" aca="1" ref="O112" ca="1">IFERROR(INDIRECT("'"&amp;$A112&amp;"'!Q7")," ")</f>
        <v xml:space="preserve"> </v>
      </c>
      <c r="P112" s="43" t="str" cm="1">
        <f t="array" aca="1" ref="P112" ca="1">IFERROR(INDIRECT("'"&amp;$A112&amp;"'!S5")," ")</f>
        <v xml:space="preserve"> </v>
      </c>
      <c r="Q112" s="43" t="str" cm="1">
        <f t="array" aca="1" ref="Q112" ca="1">IFERROR(INDIRECT("'"&amp;$A112&amp;"'!S6")," ")</f>
        <v xml:space="preserve"> </v>
      </c>
      <c r="R112" s="43" t="str" cm="1">
        <f t="array" aca="1" ref="R112" ca="1">IFERROR(INDIRECT("'"&amp;$A112&amp;"'!S7")," ")</f>
        <v xml:space="preserve"> </v>
      </c>
      <c r="S112" s="43" t="str" cm="1">
        <f t="array" aca="1" ref="S112" ca="1">IFERROR(INDIRECT("'"&amp;$A112&amp;"'!S8")," ")</f>
        <v xml:space="preserve"> </v>
      </c>
      <c r="T112" s="43" t="str" cm="1">
        <f t="array" aca="1" ref="T112" ca="1">IFERROR(INDIRECT("'"&amp;$A112&amp;"'!S9")," ")</f>
        <v xml:space="preserve"> </v>
      </c>
      <c r="U112" s="43" t="str" cm="1">
        <f t="array" aca="1" ref="U112" ca="1">IFERROR(INDIRECT("'"&amp;$A112&amp;"'!S10")," ")</f>
        <v xml:space="preserve"> </v>
      </c>
      <c r="V112" s="43" t="str" cm="1">
        <f t="array" aca="1" ref="V112" ca="1">IFERROR(INDIRECT("'"&amp;$A112&amp;"'!S11")," ")</f>
        <v xml:space="preserve"> </v>
      </c>
      <c r="W112" s="43" t="str" cm="1">
        <f t="array" aca="1" ref="W112" ca="1">IFERROR(INDIRECT("'"&amp;$A112&amp;"'!W5")," ")</f>
        <v xml:space="preserve"> </v>
      </c>
      <c r="X112" s="43" t="str" cm="1">
        <f t="array" aca="1" ref="X112" ca="1">IFERROR(INDIRECT("'"&amp;$A112&amp;"'!s8")," ")</f>
        <v xml:space="preserve"> </v>
      </c>
      <c r="Y112" s="43" t="str" cm="1">
        <f t="array" aca="1" ref="Y112" ca="1">IFERROR(INDIRECT("'"&amp;$A112&amp;"'!U5")," ")</f>
        <v xml:space="preserve"> </v>
      </c>
      <c r="Z112" s="43" t="str" cm="1">
        <f t="array" aca="1" ref="Z112" ca="1">IFERROR(INDIRECT("'"&amp;$A112&amp;"'!U6")," ")</f>
        <v xml:space="preserve"> </v>
      </c>
      <c r="AA112" s="43" t="str" cm="1">
        <f t="array" aca="1" ref="AA112" ca="1">IFERROR(INDIRECT("'"&amp;$A112&amp;"'!U7")," ")</f>
        <v xml:space="preserve"> </v>
      </c>
      <c r="AB112" s="43" t="str" cm="1">
        <f t="array" aca="1" ref="AB112" ca="1">IFERROR(INDIRECT("'"&amp;$A112&amp;"'!U8")," ")</f>
        <v xml:space="preserve"> </v>
      </c>
      <c r="AC112" s="43" t="str" cm="1">
        <f t="array" aca="1" ref="AC112" ca="1">IFERROR(INDIRECT("'"&amp;$A112&amp;"'!s9")," ")</f>
        <v xml:space="preserve"> </v>
      </c>
      <c r="AD112" s="7" t="str" cm="1">
        <f t="array" aca="1" ref="AD112" ca="1">IFERROR(INDIRECT("'"&amp;$A112&amp;"'!F6")," ")</f>
        <v xml:space="preserve"> </v>
      </c>
      <c r="AE112" s="118" t="str" cm="1">
        <f t="array" aca="1" ref="AE112" ca="1">IFERROR(INDIRECT("'"&amp;$A112&amp;"'!L4")," ")</f>
        <v xml:space="preserve"> </v>
      </c>
    </row>
    <row r="113" spans="2:31" ht="15" customHeight="1" x14ac:dyDescent="0.3">
      <c r="B113" s="8" t="str" cm="1">
        <f t="array" aca="1" ref="B113" ca="1">IFERROR(INDIRECT("'"&amp;$A113&amp;"'!A2"),"")</f>
        <v/>
      </c>
      <c r="C113" s="8" t="str" cm="1">
        <f t="array" aca="1" ref="C113" ca="1">IFERROR(INDIRECT("'"&amp;$A113&amp;"'!B5"),"")</f>
        <v/>
      </c>
      <c r="D113" s="9" t="str" cm="1">
        <f t="array" aca="1" ref="D113" ca="1">IFERROR(INDIRECT("'"&amp;$A113&amp;"'!B4"),"")</f>
        <v/>
      </c>
      <c r="E113" s="9" t="str" cm="1">
        <f t="array" aca="1" ref="E113" ca="1">IFERROR(INDIRECT("'"&amp;$A113&amp;"'!B7")," ")</f>
        <v xml:space="preserve"> </v>
      </c>
      <c r="F113" s="122" t="str" cm="1">
        <f t="array" aca="1" ref="F113" ca="1">IFERROR(INDIRECT("'"&amp;$A113&amp;"'!D9")," ")</f>
        <v xml:space="preserve"> </v>
      </c>
      <c r="G113" s="52" t="str" cm="1">
        <f t="array" aca="1" ref="G113" ca="1">IFERROR(INDIRECT("'"&amp;$A113&amp;"'!B9")," ")</f>
        <v xml:space="preserve"> </v>
      </c>
      <c r="H113" s="144" t="str" cm="1">
        <f t="array" aca="1" ref="H113" ca="1">IFERROR(INDIRECT("'"&amp;$A113&amp;"'!D4")," ")</f>
        <v xml:space="preserve"> </v>
      </c>
      <c r="I113" s="5" t="str" cm="1">
        <f t="array" aca="1" ref="I113" ca="1">IFERROR(INDIRECT("'"&amp;$A113&amp;"'!D7")," ")</f>
        <v xml:space="preserve"> </v>
      </c>
      <c r="J113" s="5" t="str" cm="1">
        <f t="array" aca="1" ref="J113" ca="1">IFERROR(INDIRECT("'"&amp;$A113&amp;"'!D8")," ")</f>
        <v xml:space="preserve"> </v>
      </c>
      <c r="K113" s="5" t="str" cm="1">
        <f t="array" aca="1" ref="K113" ca="1">IFERROR(INDIRECT("'"&amp;$A113&amp;"'!D5")," ")</f>
        <v xml:space="preserve"> </v>
      </c>
      <c r="L113" s="54" t="str" cm="1">
        <f t="array" aca="1" ref="L113" ca="1">IFERROR(INDIRECT("'"&amp;$A113&amp;"'!Q10")," ")</f>
        <v xml:space="preserve"> </v>
      </c>
      <c r="M113" s="43" t="str" cm="1">
        <f t="array" aca="1" ref="M113" ca="1">IFERROR(INDIRECT("'"&amp;$A113&amp;"'!Q5")," ")</f>
        <v xml:space="preserve"> </v>
      </c>
      <c r="N113" s="43" t="str" cm="1">
        <f t="array" aca="1" ref="N113" ca="1">IFERROR(INDIRECT("'"&amp;$A113&amp;"'!Q6")," ")</f>
        <v xml:space="preserve"> </v>
      </c>
      <c r="O113" s="43" t="str" cm="1">
        <f t="array" aca="1" ref="O113" ca="1">IFERROR(INDIRECT("'"&amp;$A113&amp;"'!Q7")," ")</f>
        <v xml:space="preserve"> </v>
      </c>
      <c r="P113" s="43" t="str" cm="1">
        <f t="array" aca="1" ref="P113" ca="1">IFERROR(INDIRECT("'"&amp;$A113&amp;"'!S5")," ")</f>
        <v xml:space="preserve"> </v>
      </c>
      <c r="Q113" s="43" t="str" cm="1">
        <f t="array" aca="1" ref="Q113" ca="1">IFERROR(INDIRECT("'"&amp;$A113&amp;"'!S6")," ")</f>
        <v xml:space="preserve"> </v>
      </c>
      <c r="R113" s="43" t="str" cm="1">
        <f t="array" aca="1" ref="R113" ca="1">IFERROR(INDIRECT("'"&amp;$A113&amp;"'!S7")," ")</f>
        <v xml:space="preserve"> </v>
      </c>
      <c r="S113" s="43" t="str" cm="1">
        <f t="array" aca="1" ref="S113" ca="1">IFERROR(INDIRECT("'"&amp;$A113&amp;"'!S8")," ")</f>
        <v xml:space="preserve"> </v>
      </c>
      <c r="T113" s="43" t="str" cm="1">
        <f t="array" aca="1" ref="T113" ca="1">IFERROR(INDIRECT("'"&amp;$A113&amp;"'!S9")," ")</f>
        <v xml:space="preserve"> </v>
      </c>
      <c r="U113" s="43" t="str" cm="1">
        <f t="array" aca="1" ref="U113" ca="1">IFERROR(INDIRECT("'"&amp;$A113&amp;"'!S10")," ")</f>
        <v xml:space="preserve"> </v>
      </c>
      <c r="V113" s="43" t="str" cm="1">
        <f t="array" aca="1" ref="V113" ca="1">IFERROR(INDIRECT("'"&amp;$A113&amp;"'!S11")," ")</f>
        <v xml:space="preserve"> </v>
      </c>
      <c r="W113" s="43" t="str" cm="1">
        <f t="array" aca="1" ref="W113" ca="1">IFERROR(INDIRECT("'"&amp;$A113&amp;"'!W5")," ")</f>
        <v xml:space="preserve"> </v>
      </c>
      <c r="X113" s="43" t="str" cm="1">
        <f t="array" aca="1" ref="X113" ca="1">IFERROR(INDIRECT("'"&amp;$A113&amp;"'!s8")," ")</f>
        <v xml:space="preserve"> </v>
      </c>
      <c r="Y113" s="43" t="str" cm="1">
        <f t="array" aca="1" ref="Y113" ca="1">IFERROR(INDIRECT("'"&amp;$A113&amp;"'!U5")," ")</f>
        <v xml:space="preserve"> </v>
      </c>
      <c r="Z113" s="43" t="str" cm="1">
        <f t="array" aca="1" ref="Z113" ca="1">IFERROR(INDIRECT("'"&amp;$A113&amp;"'!U6")," ")</f>
        <v xml:space="preserve"> </v>
      </c>
      <c r="AA113" s="43" t="str" cm="1">
        <f t="array" aca="1" ref="AA113" ca="1">IFERROR(INDIRECT("'"&amp;$A113&amp;"'!U7")," ")</f>
        <v xml:space="preserve"> </v>
      </c>
      <c r="AB113" s="43" t="str" cm="1">
        <f t="array" aca="1" ref="AB113" ca="1">IFERROR(INDIRECT("'"&amp;$A113&amp;"'!U8")," ")</f>
        <v xml:space="preserve"> </v>
      </c>
      <c r="AC113" s="43" t="str" cm="1">
        <f t="array" aca="1" ref="AC113" ca="1">IFERROR(INDIRECT("'"&amp;$A113&amp;"'!s9")," ")</f>
        <v xml:space="preserve"> </v>
      </c>
      <c r="AD113" s="7" t="str" cm="1">
        <f t="array" aca="1" ref="AD113" ca="1">IFERROR(INDIRECT("'"&amp;$A113&amp;"'!F6")," ")</f>
        <v xml:space="preserve"> </v>
      </c>
      <c r="AE113" s="118" t="str" cm="1">
        <f t="array" aca="1" ref="AE113" ca="1">IFERROR(INDIRECT("'"&amp;$A113&amp;"'!L4")," ")</f>
        <v xml:space="preserve"> </v>
      </c>
    </row>
    <row r="114" spans="2:31" ht="15" customHeight="1" x14ac:dyDescent="0.3">
      <c r="B114" s="8" t="str" cm="1">
        <f t="array" aca="1" ref="B114" ca="1">IFERROR(INDIRECT("'"&amp;$A114&amp;"'!A2"),"")</f>
        <v/>
      </c>
      <c r="C114" s="8" t="str" cm="1">
        <f t="array" aca="1" ref="C114" ca="1">IFERROR(INDIRECT("'"&amp;$A114&amp;"'!B5"),"")</f>
        <v/>
      </c>
      <c r="D114" s="9" t="str" cm="1">
        <f t="array" aca="1" ref="D114" ca="1">IFERROR(INDIRECT("'"&amp;$A114&amp;"'!B4"),"")</f>
        <v/>
      </c>
      <c r="E114" s="9" t="str" cm="1">
        <f t="array" aca="1" ref="E114" ca="1">IFERROR(INDIRECT("'"&amp;$A114&amp;"'!B7")," ")</f>
        <v xml:space="preserve"> </v>
      </c>
      <c r="F114" s="122" t="str" cm="1">
        <f t="array" aca="1" ref="F114" ca="1">IFERROR(INDIRECT("'"&amp;$A114&amp;"'!D9")," ")</f>
        <v xml:space="preserve"> </v>
      </c>
      <c r="G114" s="52" t="str" cm="1">
        <f t="array" aca="1" ref="G114" ca="1">IFERROR(INDIRECT("'"&amp;$A114&amp;"'!B9")," ")</f>
        <v xml:space="preserve"> </v>
      </c>
      <c r="H114" s="144" t="str" cm="1">
        <f t="array" aca="1" ref="H114" ca="1">IFERROR(INDIRECT("'"&amp;$A114&amp;"'!D4")," ")</f>
        <v xml:space="preserve"> </v>
      </c>
      <c r="I114" s="5" t="str" cm="1">
        <f t="array" aca="1" ref="I114" ca="1">IFERROR(INDIRECT("'"&amp;$A114&amp;"'!D7")," ")</f>
        <v xml:space="preserve"> </v>
      </c>
      <c r="J114" s="5" t="str" cm="1">
        <f t="array" aca="1" ref="J114" ca="1">IFERROR(INDIRECT("'"&amp;$A114&amp;"'!D8")," ")</f>
        <v xml:space="preserve"> </v>
      </c>
      <c r="K114" s="5" t="str" cm="1">
        <f t="array" aca="1" ref="K114" ca="1">IFERROR(INDIRECT("'"&amp;$A114&amp;"'!D5")," ")</f>
        <v xml:space="preserve"> </v>
      </c>
      <c r="L114" s="54" t="str" cm="1">
        <f t="array" aca="1" ref="L114" ca="1">IFERROR(INDIRECT("'"&amp;$A114&amp;"'!Q10")," ")</f>
        <v xml:space="preserve"> </v>
      </c>
      <c r="M114" s="43" t="str" cm="1">
        <f t="array" aca="1" ref="M114" ca="1">IFERROR(INDIRECT("'"&amp;$A114&amp;"'!Q5")," ")</f>
        <v xml:space="preserve"> </v>
      </c>
      <c r="N114" s="43" t="str" cm="1">
        <f t="array" aca="1" ref="N114" ca="1">IFERROR(INDIRECT("'"&amp;$A114&amp;"'!Q6")," ")</f>
        <v xml:space="preserve"> </v>
      </c>
      <c r="O114" s="43" t="str" cm="1">
        <f t="array" aca="1" ref="O114" ca="1">IFERROR(INDIRECT("'"&amp;$A114&amp;"'!Q7")," ")</f>
        <v xml:space="preserve"> </v>
      </c>
      <c r="P114" s="43" t="str" cm="1">
        <f t="array" aca="1" ref="P114" ca="1">IFERROR(INDIRECT("'"&amp;$A114&amp;"'!S5")," ")</f>
        <v xml:space="preserve"> </v>
      </c>
      <c r="Q114" s="43" t="str" cm="1">
        <f t="array" aca="1" ref="Q114" ca="1">IFERROR(INDIRECT("'"&amp;$A114&amp;"'!S6")," ")</f>
        <v xml:space="preserve"> </v>
      </c>
      <c r="R114" s="43" t="str" cm="1">
        <f t="array" aca="1" ref="R114" ca="1">IFERROR(INDIRECT("'"&amp;$A114&amp;"'!S7")," ")</f>
        <v xml:space="preserve"> </v>
      </c>
      <c r="S114" s="43" t="str" cm="1">
        <f t="array" aca="1" ref="S114" ca="1">IFERROR(INDIRECT("'"&amp;$A114&amp;"'!S8")," ")</f>
        <v xml:space="preserve"> </v>
      </c>
      <c r="T114" s="43" t="str" cm="1">
        <f t="array" aca="1" ref="T114" ca="1">IFERROR(INDIRECT("'"&amp;$A114&amp;"'!S9")," ")</f>
        <v xml:space="preserve"> </v>
      </c>
      <c r="U114" s="43" t="str" cm="1">
        <f t="array" aca="1" ref="U114" ca="1">IFERROR(INDIRECT("'"&amp;$A114&amp;"'!S10")," ")</f>
        <v xml:space="preserve"> </v>
      </c>
      <c r="V114" s="43" t="str" cm="1">
        <f t="array" aca="1" ref="V114" ca="1">IFERROR(INDIRECT("'"&amp;$A114&amp;"'!S11")," ")</f>
        <v xml:space="preserve"> </v>
      </c>
      <c r="W114" s="43" t="str" cm="1">
        <f t="array" aca="1" ref="W114" ca="1">IFERROR(INDIRECT("'"&amp;$A114&amp;"'!W5")," ")</f>
        <v xml:space="preserve"> </v>
      </c>
      <c r="X114" s="43" t="str" cm="1">
        <f t="array" aca="1" ref="X114" ca="1">IFERROR(INDIRECT("'"&amp;$A114&amp;"'!s8")," ")</f>
        <v xml:space="preserve"> </v>
      </c>
      <c r="Y114" s="43" t="str" cm="1">
        <f t="array" aca="1" ref="Y114" ca="1">IFERROR(INDIRECT("'"&amp;$A114&amp;"'!U5")," ")</f>
        <v xml:space="preserve"> </v>
      </c>
      <c r="Z114" s="43" t="str" cm="1">
        <f t="array" aca="1" ref="Z114" ca="1">IFERROR(INDIRECT("'"&amp;$A114&amp;"'!U6")," ")</f>
        <v xml:space="preserve"> </v>
      </c>
      <c r="AA114" s="43" t="str" cm="1">
        <f t="array" aca="1" ref="AA114" ca="1">IFERROR(INDIRECT("'"&amp;$A114&amp;"'!U7")," ")</f>
        <v xml:space="preserve"> </v>
      </c>
      <c r="AB114" s="43" t="str" cm="1">
        <f t="array" aca="1" ref="AB114" ca="1">IFERROR(INDIRECT("'"&amp;$A114&amp;"'!U8")," ")</f>
        <v xml:space="preserve"> </v>
      </c>
      <c r="AC114" s="43" t="str" cm="1">
        <f t="array" aca="1" ref="AC114" ca="1">IFERROR(INDIRECT("'"&amp;$A114&amp;"'!s9")," ")</f>
        <v xml:space="preserve"> </v>
      </c>
      <c r="AD114" s="7" t="str" cm="1">
        <f t="array" aca="1" ref="AD114" ca="1">IFERROR(INDIRECT("'"&amp;$A114&amp;"'!F6")," ")</f>
        <v xml:space="preserve"> </v>
      </c>
      <c r="AE114" s="118" t="str" cm="1">
        <f t="array" aca="1" ref="AE114" ca="1">IFERROR(INDIRECT("'"&amp;$A114&amp;"'!L4")," ")</f>
        <v xml:space="preserve"> </v>
      </c>
    </row>
    <row r="115" spans="2:31" ht="15" customHeight="1" x14ac:dyDescent="0.3">
      <c r="B115" s="8" t="str" cm="1">
        <f t="array" aca="1" ref="B115" ca="1">IFERROR(INDIRECT("'"&amp;$A115&amp;"'!A2"),"")</f>
        <v/>
      </c>
      <c r="C115" s="8" t="str" cm="1">
        <f t="array" aca="1" ref="C115" ca="1">IFERROR(INDIRECT("'"&amp;$A115&amp;"'!B5"),"")</f>
        <v/>
      </c>
      <c r="D115" s="9" t="str" cm="1">
        <f t="array" aca="1" ref="D115" ca="1">IFERROR(INDIRECT("'"&amp;$A115&amp;"'!B4"),"")</f>
        <v/>
      </c>
      <c r="E115" s="9" t="str" cm="1">
        <f t="array" aca="1" ref="E115" ca="1">IFERROR(INDIRECT("'"&amp;$A115&amp;"'!B7")," ")</f>
        <v xml:space="preserve"> </v>
      </c>
      <c r="F115" s="122" t="str" cm="1">
        <f t="array" aca="1" ref="F115" ca="1">IFERROR(INDIRECT("'"&amp;$A115&amp;"'!D9")," ")</f>
        <v xml:space="preserve"> </v>
      </c>
      <c r="G115" s="52" t="str" cm="1">
        <f t="array" aca="1" ref="G115" ca="1">IFERROR(INDIRECT("'"&amp;$A115&amp;"'!B9")," ")</f>
        <v xml:space="preserve"> </v>
      </c>
      <c r="H115" s="144" t="str" cm="1">
        <f t="array" aca="1" ref="H115" ca="1">IFERROR(INDIRECT("'"&amp;$A115&amp;"'!D4")," ")</f>
        <v xml:space="preserve"> </v>
      </c>
      <c r="I115" s="5" t="str" cm="1">
        <f t="array" aca="1" ref="I115" ca="1">IFERROR(INDIRECT("'"&amp;$A115&amp;"'!D7")," ")</f>
        <v xml:space="preserve"> </v>
      </c>
      <c r="J115" s="5" t="str" cm="1">
        <f t="array" aca="1" ref="J115" ca="1">IFERROR(INDIRECT("'"&amp;$A115&amp;"'!D8")," ")</f>
        <v xml:space="preserve"> </v>
      </c>
      <c r="K115" s="5" t="str" cm="1">
        <f t="array" aca="1" ref="K115" ca="1">IFERROR(INDIRECT("'"&amp;$A115&amp;"'!D5")," ")</f>
        <v xml:space="preserve"> </v>
      </c>
      <c r="L115" s="54" t="str" cm="1">
        <f t="array" aca="1" ref="L115" ca="1">IFERROR(INDIRECT("'"&amp;$A115&amp;"'!Q10")," ")</f>
        <v xml:space="preserve"> </v>
      </c>
      <c r="M115" s="43" t="str" cm="1">
        <f t="array" aca="1" ref="M115" ca="1">IFERROR(INDIRECT("'"&amp;$A115&amp;"'!Q5")," ")</f>
        <v xml:space="preserve"> </v>
      </c>
      <c r="N115" s="43" t="str" cm="1">
        <f t="array" aca="1" ref="N115" ca="1">IFERROR(INDIRECT("'"&amp;$A115&amp;"'!Q6")," ")</f>
        <v xml:space="preserve"> </v>
      </c>
      <c r="O115" s="43" t="str" cm="1">
        <f t="array" aca="1" ref="O115" ca="1">IFERROR(INDIRECT("'"&amp;$A115&amp;"'!Q7")," ")</f>
        <v xml:space="preserve"> </v>
      </c>
      <c r="P115" s="43" t="str" cm="1">
        <f t="array" aca="1" ref="P115" ca="1">IFERROR(INDIRECT("'"&amp;$A115&amp;"'!S5")," ")</f>
        <v xml:space="preserve"> </v>
      </c>
      <c r="Q115" s="43" t="str" cm="1">
        <f t="array" aca="1" ref="Q115" ca="1">IFERROR(INDIRECT("'"&amp;$A115&amp;"'!S6")," ")</f>
        <v xml:space="preserve"> </v>
      </c>
      <c r="R115" s="43" t="str" cm="1">
        <f t="array" aca="1" ref="R115" ca="1">IFERROR(INDIRECT("'"&amp;$A115&amp;"'!S7")," ")</f>
        <v xml:space="preserve"> </v>
      </c>
      <c r="S115" s="43" t="str" cm="1">
        <f t="array" aca="1" ref="S115" ca="1">IFERROR(INDIRECT("'"&amp;$A115&amp;"'!S8")," ")</f>
        <v xml:space="preserve"> </v>
      </c>
      <c r="T115" s="43" t="str" cm="1">
        <f t="array" aca="1" ref="T115" ca="1">IFERROR(INDIRECT("'"&amp;$A115&amp;"'!S9")," ")</f>
        <v xml:space="preserve"> </v>
      </c>
      <c r="U115" s="43" t="str" cm="1">
        <f t="array" aca="1" ref="U115" ca="1">IFERROR(INDIRECT("'"&amp;$A115&amp;"'!S10")," ")</f>
        <v xml:space="preserve"> </v>
      </c>
      <c r="V115" s="43" t="str" cm="1">
        <f t="array" aca="1" ref="V115" ca="1">IFERROR(INDIRECT("'"&amp;$A115&amp;"'!S11")," ")</f>
        <v xml:space="preserve"> </v>
      </c>
      <c r="W115" s="43" t="str" cm="1">
        <f t="array" aca="1" ref="W115" ca="1">IFERROR(INDIRECT("'"&amp;$A115&amp;"'!W5")," ")</f>
        <v xml:space="preserve"> </v>
      </c>
      <c r="X115" s="43" t="str" cm="1">
        <f t="array" aca="1" ref="X115" ca="1">IFERROR(INDIRECT("'"&amp;$A115&amp;"'!s8")," ")</f>
        <v xml:space="preserve"> </v>
      </c>
      <c r="Y115" s="43" t="str" cm="1">
        <f t="array" aca="1" ref="Y115" ca="1">IFERROR(INDIRECT("'"&amp;$A115&amp;"'!U5")," ")</f>
        <v xml:space="preserve"> </v>
      </c>
      <c r="Z115" s="43" t="str" cm="1">
        <f t="array" aca="1" ref="Z115" ca="1">IFERROR(INDIRECT("'"&amp;$A115&amp;"'!U6")," ")</f>
        <v xml:space="preserve"> </v>
      </c>
      <c r="AA115" s="43" t="str" cm="1">
        <f t="array" aca="1" ref="AA115" ca="1">IFERROR(INDIRECT("'"&amp;$A115&amp;"'!U7")," ")</f>
        <v xml:space="preserve"> </v>
      </c>
      <c r="AB115" s="43" t="str" cm="1">
        <f t="array" aca="1" ref="AB115" ca="1">IFERROR(INDIRECT("'"&amp;$A115&amp;"'!U8")," ")</f>
        <v xml:space="preserve"> </v>
      </c>
      <c r="AC115" s="43" t="str" cm="1">
        <f t="array" aca="1" ref="AC115" ca="1">IFERROR(INDIRECT("'"&amp;$A115&amp;"'!s9")," ")</f>
        <v xml:space="preserve"> </v>
      </c>
      <c r="AD115" s="7" t="str" cm="1">
        <f t="array" aca="1" ref="AD115" ca="1">IFERROR(INDIRECT("'"&amp;$A115&amp;"'!F6")," ")</f>
        <v xml:space="preserve"> </v>
      </c>
      <c r="AE115" s="118" t="str" cm="1">
        <f t="array" aca="1" ref="AE115" ca="1">IFERROR(INDIRECT("'"&amp;$A115&amp;"'!L4")," ")</f>
        <v xml:space="preserve"> </v>
      </c>
    </row>
    <row r="116" spans="2:31" ht="15" customHeight="1" x14ac:dyDescent="0.3">
      <c r="B116" s="8" t="str" cm="1">
        <f t="array" aca="1" ref="B116" ca="1">IFERROR(INDIRECT("'"&amp;$A116&amp;"'!A2"),"")</f>
        <v/>
      </c>
      <c r="C116" s="8" t="str" cm="1">
        <f t="array" aca="1" ref="C116" ca="1">IFERROR(INDIRECT("'"&amp;$A116&amp;"'!B5"),"")</f>
        <v/>
      </c>
      <c r="D116" s="9" t="str" cm="1">
        <f t="array" aca="1" ref="D116" ca="1">IFERROR(INDIRECT("'"&amp;$A116&amp;"'!B4"),"")</f>
        <v/>
      </c>
      <c r="E116" s="9" t="str" cm="1">
        <f t="array" aca="1" ref="E116" ca="1">IFERROR(INDIRECT("'"&amp;$A116&amp;"'!B7")," ")</f>
        <v xml:space="preserve"> </v>
      </c>
      <c r="F116" s="122" t="str" cm="1">
        <f t="array" aca="1" ref="F116" ca="1">IFERROR(INDIRECT("'"&amp;$A116&amp;"'!D9")," ")</f>
        <v xml:space="preserve"> </v>
      </c>
      <c r="G116" s="52" t="str" cm="1">
        <f t="array" aca="1" ref="G116" ca="1">IFERROR(INDIRECT("'"&amp;$A116&amp;"'!B9")," ")</f>
        <v xml:space="preserve"> </v>
      </c>
      <c r="H116" s="144" t="str" cm="1">
        <f t="array" aca="1" ref="H116" ca="1">IFERROR(INDIRECT("'"&amp;$A116&amp;"'!D4")," ")</f>
        <v xml:space="preserve"> </v>
      </c>
      <c r="I116" s="5" t="str" cm="1">
        <f t="array" aca="1" ref="I116" ca="1">IFERROR(INDIRECT("'"&amp;$A116&amp;"'!D7")," ")</f>
        <v xml:space="preserve"> </v>
      </c>
      <c r="J116" s="5" t="str" cm="1">
        <f t="array" aca="1" ref="J116" ca="1">IFERROR(INDIRECT("'"&amp;$A116&amp;"'!D8")," ")</f>
        <v xml:space="preserve"> </v>
      </c>
      <c r="K116" s="5" t="str" cm="1">
        <f t="array" aca="1" ref="K116" ca="1">IFERROR(INDIRECT("'"&amp;$A116&amp;"'!D5")," ")</f>
        <v xml:space="preserve"> </v>
      </c>
      <c r="L116" s="54" t="str" cm="1">
        <f t="array" aca="1" ref="L116" ca="1">IFERROR(INDIRECT("'"&amp;$A116&amp;"'!Q10")," ")</f>
        <v xml:space="preserve"> </v>
      </c>
      <c r="M116" s="43" t="str" cm="1">
        <f t="array" aca="1" ref="M116" ca="1">IFERROR(INDIRECT("'"&amp;$A116&amp;"'!Q5")," ")</f>
        <v xml:space="preserve"> </v>
      </c>
      <c r="N116" s="43" t="str" cm="1">
        <f t="array" aca="1" ref="N116" ca="1">IFERROR(INDIRECT("'"&amp;$A116&amp;"'!Q6")," ")</f>
        <v xml:space="preserve"> </v>
      </c>
      <c r="O116" s="43" t="str" cm="1">
        <f t="array" aca="1" ref="O116" ca="1">IFERROR(INDIRECT("'"&amp;$A116&amp;"'!Q7")," ")</f>
        <v xml:space="preserve"> </v>
      </c>
      <c r="P116" s="43" t="str" cm="1">
        <f t="array" aca="1" ref="P116" ca="1">IFERROR(INDIRECT("'"&amp;$A116&amp;"'!S5")," ")</f>
        <v xml:space="preserve"> </v>
      </c>
      <c r="Q116" s="43" t="str" cm="1">
        <f t="array" aca="1" ref="Q116" ca="1">IFERROR(INDIRECT("'"&amp;$A116&amp;"'!S6")," ")</f>
        <v xml:space="preserve"> </v>
      </c>
      <c r="R116" s="43" t="str" cm="1">
        <f t="array" aca="1" ref="R116" ca="1">IFERROR(INDIRECT("'"&amp;$A116&amp;"'!S7")," ")</f>
        <v xml:space="preserve"> </v>
      </c>
      <c r="S116" s="43" t="str" cm="1">
        <f t="array" aca="1" ref="S116" ca="1">IFERROR(INDIRECT("'"&amp;$A116&amp;"'!S8")," ")</f>
        <v xml:space="preserve"> </v>
      </c>
      <c r="T116" s="43" t="str" cm="1">
        <f t="array" aca="1" ref="T116" ca="1">IFERROR(INDIRECT("'"&amp;$A116&amp;"'!S9")," ")</f>
        <v xml:space="preserve"> </v>
      </c>
      <c r="U116" s="43" t="str" cm="1">
        <f t="array" aca="1" ref="U116" ca="1">IFERROR(INDIRECT("'"&amp;$A116&amp;"'!S10")," ")</f>
        <v xml:space="preserve"> </v>
      </c>
      <c r="V116" s="43" t="str" cm="1">
        <f t="array" aca="1" ref="V116" ca="1">IFERROR(INDIRECT("'"&amp;$A116&amp;"'!S11")," ")</f>
        <v xml:space="preserve"> </v>
      </c>
      <c r="W116" s="43" t="str" cm="1">
        <f t="array" aca="1" ref="W116" ca="1">IFERROR(INDIRECT("'"&amp;$A116&amp;"'!W5")," ")</f>
        <v xml:space="preserve"> </v>
      </c>
      <c r="X116" s="43" t="str" cm="1">
        <f t="array" aca="1" ref="X116" ca="1">IFERROR(INDIRECT("'"&amp;$A116&amp;"'!s8")," ")</f>
        <v xml:space="preserve"> </v>
      </c>
      <c r="Y116" s="43" t="str" cm="1">
        <f t="array" aca="1" ref="Y116" ca="1">IFERROR(INDIRECT("'"&amp;$A116&amp;"'!U5")," ")</f>
        <v xml:space="preserve"> </v>
      </c>
      <c r="Z116" s="43" t="str" cm="1">
        <f t="array" aca="1" ref="Z116" ca="1">IFERROR(INDIRECT("'"&amp;$A116&amp;"'!U6")," ")</f>
        <v xml:space="preserve"> </v>
      </c>
      <c r="AA116" s="43" t="str" cm="1">
        <f t="array" aca="1" ref="AA116" ca="1">IFERROR(INDIRECT("'"&amp;$A116&amp;"'!U7")," ")</f>
        <v xml:space="preserve"> </v>
      </c>
      <c r="AB116" s="43" t="str" cm="1">
        <f t="array" aca="1" ref="AB116" ca="1">IFERROR(INDIRECT("'"&amp;$A116&amp;"'!U8")," ")</f>
        <v xml:space="preserve"> </v>
      </c>
      <c r="AC116" s="43" t="str" cm="1">
        <f t="array" aca="1" ref="AC116" ca="1">IFERROR(INDIRECT("'"&amp;$A116&amp;"'!s9")," ")</f>
        <v xml:space="preserve"> </v>
      </c>
      <c r="AD116" s="7" t="str" cm="1">
        <f t="array" aca="1" ref="AD116" ca="1">IFERROR(INDIRECT("'"&amp;$A116&amp;"'!F6")," ")</f>
        <v xml:space="preserve"> </v>
      </c>
      <c r="AE116" s="118" t="str" cm="1">
        <f t="array" aca="1" ref="AE116" ca="1">IFERROR(INDIRECT("'"&amp;$A116&amp;"'!L4")," ")</f>
        <v xml:space="preserve"> </v>
      </c>
    </row>
    <row r="117" spans="2:31" ht="15" customHeight="1" x14ac:dyDescent="0.3">
      <c r="B117" s="8" t="str" cm="1">
        <f t="array" aca="1" ref="B117" ca="1">IFERROR(INDIRECT("'"&amp;$A117&amp;"'!A2"),"")</f>
        <v/>
      </c>
      <c r="C117" s="8" t="str" cm="1">
        <f t="array" aca="1" ref="C117" ca="1">IFERROR(INDIRECT("'"&amp;$A117&amp;"'!B5"),"")</f>
        <v/>
      </c>
      <c r="D117" s="9" t="str" cm="1">
        <f t="array" aca="1" ref="D117" ca="1">IFERROR(INDIRECT("'"&amp;$A117&amp;"'!B4"),"")</f>
        <v/>
      </c>
      <c r="E117" s="9" t="str" cm="1">
        <f t="array" aca="1" ref="E117" ca="1">IFERROR(INDIRECT("'"&amp;$A117&amp;"'!B7")," ")</f>
        <v xml:space="preserve"> </v>
      </c>
      <c r="F117" s="122" t="str" cm="1">
        <f t="array" aca="1" ref="F117" ca="1">IFERROR(INDIRECT("'"&amp;$A117&amp;"'!D9")," ")</f>
        <v xml:space="preserve"> </v>
      </c>
      <c r="G117" s="52" t="str" cm="1">
        <f t="array" aca="1" ref="G117" ca="1">IFERROR(INDIRECT("'"&amp;$A117&amp;"'!B9")," ")</f>
        <v xml:space="preserve"> </v>
      </c>
      <c r="H117" s="144" t="str" cm="1">
        <f t="array" aca="1" ref="H117" ca="1">IFERROR(INDIRECT("'"&amp;$A117&amp;"'!D4")," ")</f>
        <v xml:space="preserve"> </v>
      </c>
      <c r="I117" s="5" t="str" cm="1">
        <f t="array" aca="1" ref="I117" ca="1">IFERROR(INDIRECT("'"&amp;$A117&amp;"'!D7")," ")</f>
        <v xml:space="preserve"> </v>
      </c>
      <c r="J117" s="5" t="str" cm="1">
        <f t="array" aca="1" ref="J117" ca="1">IFERROR(INDIRECT("'"&amp;$A117&amp;"'!D8")," ")</f>
        <v xml:space="preserve"> </v>
      </c>
      <c r="K117" s="5" t="str" cm="1">
        <f t="array" aca="1" ref="K117" ca="1">IFERROR(INDIRECT("'"&amp;$A117&amp;"'!D5")," ")</f>
        <v xml:space="preserve"> </v>
      </c>
      <c r="L117" s="54" t="str" cm="1">
        <f t="array" aca="1" ref="L117" ca="1">IFERROR(INDIRECT("'"&amp;$A117&amp;"'!Q10")," ")</f>
        <v xml:space="preserve"> </v>
      </c>
      <c r="M117" s="43" t="str" cm="1">
        <f t="array" aca="1" ref="M117" ca="1">IFERROR(INDIRECT("'"&amp;$A117&amp;"'!Q5")," ")</f>
        <v xml:space="preserve"> </v>
      </c>
      <c r="N117" s="43" t="str" cm="1">
        <f t="array" aca="1" ref="N117" ca="1">IFERROR(INDIRECT("'"&amp;$A117&amp;"'!Q6")," ")</f>
        <v xml:space="preserve"> </v>
      </c>
      <c r="O117" s="43" t="str" cm="1">
        <f t="array" aca="1" ref="O117" ca="1">IFERROR(INDIRECT("'"&amp;$A117&amp;"'!Q7")," ")</f>
        <v xml:space="preserve"> </v>
      </c>
      <c r="P117" s="43" t="str" cm="1">
        <f t="array" aca="1" ref="P117" ca="1">IFERROR(INDIRECT("'"&amp;$A117&amp;"'!S5")," ")</f>
        <v xml:space="preserve"> </v>
      </c>
      <c r="Q117" s="43" t="str" cm="1">
        <f t="array" aca="1" ref="Q117" ca="1">IFERROR(INDIRECT("'"&amp;$A117&amp;"'!S6")," ")</f>
        <v xml:space="preserve"> </v>
      </c>
      <c r="R117" s="43" t="str" cm="1">
        <f t="array" aca="1" ref="R117" ca="1">IFERROR(INDIRECT("'"&amp;$A117&amp;"'!S7")," ")</f>
        <v xml:space="preserve"> </v>
      </c>
      <c r="S117" s="43" t="str" cm="1">
        <f t="array" aca="1" ref="S117" ca="1">IFERROR(INDIRECT("'"&amp;$A117&amp;"'!S8")," ")</f>
        <v xml:space="preserve"> </v>
      </c>
      <c r="T117" s="43" t="str" cm="1">
        <f t="array" aca="1" ref="T117" ca="1">IFERROR(INDIRECT("'"&amp;$A117&amp;"'!S9")," ")</f>
        <v xml:space="preserve"> </v>
      </c>
      <c r="U117" s="43" t="str" cm="1">
        <f t="array" aca="1" ref="U117" ca="1">IFERROR(INDIRECT("'"&amp;$A117&amp;"'!S10")," ")</f>
        <v xml:space="preserve"> </v>
      </c>
      <c r="V117" s="43" t="str" cm="1">
        <f t="array" aca="1" ref="V117" ca="1">IFERROR(INDIRECT("'"&amp;$A117&amp;"'!S11")," ")</f>
        <v xml:space="preserve"> </v>
      </c>
      <c r="W117" s="43" t="str" cm="1">
        <f t="array" aca="1" ref="W117" ca="1">IFERROR(INDIRECT("'"&amp;$A117&amp;"'!W5")," ")</f>
        <v xml:space="preserve"> </v>
      </c>
      <c r="X117" s="43" t="str" cm="1">
        <f t="array" aca="1" ref="X117" ca="1">IFERROR(INDIRECT("'"&amp;$A117&amp;"'!s8")," ")</f>
        <v xml:space="preserve"> </v>
      </c>
      <c r="Y117" s="43" t="str" cm="1">
        <f t="array" aca="1" ref="Y117" ca="1">IFERROR(INDIRECT("'"&amp;$A117&amp;"'!U5")," ")</f>
        <v xml:space="preserve"> </v>
      </c>
      <c r="Z117" s="43" t="str" cm="1">
        <f t="array" aca="1" ref="Z117" ca="1">IFERROR(INDIRECT("'"&amp;$A117&amp;"'!U6")," ")</f>
        <v xml:space="preserve"> </v>
      </c>
      <c r="AA117" s="43" t="str" cm="1">
        <f t="array" aca="1" ref="AA117" ca="1">IFERROR(INDIRECT("'"&amp;$A117&amp;"'!U7")," ")</f>
        <v xml:space="preserve"> </v>
      </c>
      <c r="AB117" s="43" t="str" cm="1">
        <f t="array" aca="1" ref="AB117" ca="1">IFERROR(INDIRECT("'"&amp;$A117&amp;"'!U8")," ")</f>
        <v xml:space="preserve"> </v>
      </c>
      <c r="AC117" s="43" t="str" cm="1">
        <f t="array" aca="1" ref="AC117" ca="1">IFERROR(INDIRECT("'"&amp;$A117&amp;"'!s9")," ")</f>
        <v xml:space="preserve"> </v>
      </c>
      <c r="AD117" s="7" t="str" cm="1">
        <f t="array" aca="1" ref="AD117" ca="1">IFERROR(INDIRECT("'"&amp;$A117&amp;"'!F6")," ")</f>
        <v xml:space="preserve"> </v>
      </c>
      <c r="AE117" s="118" t="str" cm="1">
        <f t="array" aca="1" ref="AE117" ca="1">IFERROR(INDIRECT("'"&amp;$A117&amp;"'!L4")," ")</f>
        <v xml:space="preserve"> </v>
      </c>
    </row>
    <row r="118" spans="2:31" ht="15" customHeight="1" x14ac:dyDescent="0.3">
      <c r="B118" s="8" t="str" cm="1">
        <f t="array" aca="1" ref="B118" ca="1">IFERROR(INDIRECT("'"&amp;$A118&amp;"'!A2"),"")</f>
        <v/>
      </c>
      <c r="C118" s="8" t="str" cm="1">
        <f t="array" aca="1" ref="C118" ca="1">IFERROR(INDIRECT("'"&amp;$A118&amp;"'!B5"),"")</f>
        <v/>
      </c>
      <c r="D118" s="9" t="str" cm="1">
        <f t="array" aca="1" ref="D118" ca="1">IFERROR(INDIRECT("'"&amp;$A118&amp;"'!B4"),"")</f>
        <v/>
      </c>
      <c r="E118" s="9" t="str" cm="1">
        <f t="array" aca="1" ref="E118" ca="1">IFERROR(INDIRECT("'"&amp;$A118&amp;"'!B7")," ")</f>
        <v xml:space="preserve"> </v>
      </c>
      <c r="F118" s="122" t="str" cm="1">
        <f t="array" aca="1" ref="F118" ca="1">IFERROR(INDIRECT("'"&amp;$A118&amp;"'!D9")," ")</f>
        <v xml:space="preserve"> </v>
      </c>
      <c r="G118" s="52" t="str" cm="1">
        <f t="array" aca="1" ref="G118" ca="1">IFERROR(INDIRECT("'"&amp;$A118&amp;"'!B9")," ")</f>
        <v xml:space="preserve"> </v>
      </c>
      <c r="H118" s="70" t="str" cm="1">
        <f t="array" aca="1" ref="H118" ca="1">IFERROR(INDIRECT("'"&amp;$A118&amp;"'!D4")," ")</f>
        <v xml:space="preserve"> </v>
      </c>
      <c r="I118" s="5" t="str" cm="1">
        <f t="array" aca="1" ref="I118" ca="1">IFERROR(INDIRECT("'"&amp;$A118&amp;"'!D7")," ")</f>
        <v xml:space="preserve"> </v>
      </c>
      <c r="J118" s="5" t="str" cm="1">
        <f t="array" aca="1" ref="J118" ca="1">IFERROR(INDIRECT("'"&amp;$A118&amp;"'!D8")," ")</f>
        <v xml:space="preserve"> </v>
      </c>
      <c r="K118" s="5" t="str" cm="1">
        <f t="array" aca="1" ref="K118" ca="1">IFERROR(INDIRECT("'"&amp;$A118&amp;"'!D5")," ")</f>
        <v xml:space="preserve"> </v>
      </c>
      <c r="L118" s="54" t="str" cm="1">
        <f t="array" aca="1" ref="L118" ca="1">IFERROR(INDIRECT("'"&amp;$A118&amp;"'!Q10")," ")</f>
        <v xml:space="preserve"> </v>
      </c>
      <c r="M118" s="43" t="str" cm="1">
        <f t="array" aca="1" ref="M118" ca="1">IFERROR(INDIRECT("'"&amp;$A118&amp;"'!Q5")," ")</f>
        <v xml:space="preserve"> </v>
      </c>
      <c r="N118" s="43" t="str" cm="1">
        <f t="array" aca="1" ref="N118" ca="1">IFERROR(INDIRECT("'"&amp;$A118&amp;"'!Q6")," ")</f>
        <v xml:space="preserve"> </v>
      </c>
      <c r="O118" s="43" t="str" cm="1">
        <f t="array" aca="1" ref="O118" ca="1">IFERROR(INDIRECT("'"&amp;$A118&amp;"'!Q7")," ")</f>
        <v xml:space="preserve"> </v>
      </c>
      <c r="P118" s="43" t="str" cm="1">
        <f t="array" aca="1" ref="P118" ca="1">IFERROR(INDIRECT("'"&amp;$A118&amp;"'!S5")," ")</f>
        <v xml:space="preserve"> </v>
      </c>
      <c r="Q118" s="43" t="str" cm="1">
        <f t="array" aca="1" ref="Q118" ca="1">IFERROR(INDIRECT("'"&amp;$A118&amp;"'!S6")," ")</f>
        <v xml:space="preserve"> </v>
      </c>
      <c r="R118" s="43" t="str" cm="1">
        <f t="array" aca="1" ref="R118" ca="1">IFERROR(INDIRECT("'"&amp;$A118&amp;"'!S7")," ")</f>
        <v xml:space="preserve"> </v>
      </c>
      <c r="S118" s="43" t="str" cm="1">
        <f t="array" aca="1" ref="S118" ca="1">IFERROR(INDIRECT("'"&amp;$A118&amp;"'!S8")," ")</f>
        <v xml:space="preserve"> </v>
      </c>
      <c r="T118" s="43" t="str" cm="1">
        <f t="array" aca="1" ref="T118" ca="1">IFERROR(INDIRECT("'"&amp;$A118&amp;"'!S9")," ")</f>
        <v xml:space="preserve"> </v>
      </c>
      <c r="U118" s="43" t="str" cm="1">
        <f t="array" aca="1" ref="U118" ca="1">IFERROR(INDIRECT("'"&amp;$A118&amp;"'!S10")," ")</f>
        <v xml:space="preserve"> </v>
      </c>
      <c r="V118" s="43" t="str" cm="1">
        <f t="array" aca="1" ref="V118" ca="1">IFERROR(INDIRECT("'"&amp;$A118&amp;"'!S11")," ")</f>
        <v xml:space="preserve"> </v>
      </c>
      <c r="W118" s="43" t="str" cm="1">
        <f t="array" aca="1" ref="W118" ca="1">IFERROR(INDIRECT("'"&amp;$A118&amp;"'!W5")," ")</f>
        <v xml:space="preserve"> </v>
      </c>
      <c r="X118" s="43" t="str" cm="1">
        <f t="array" aca="1" ref="X118" ca="1">IFERROR(INDIRECT("'"&amp;$A118&amp;"'!s8")," ")</f>
        <v xml:space="preserve"> </v>
      </c>
      <c r="Y118" s="43" t="str" cm="1">
        <f t="array" aca="1" ref="Y118" ca="1">IFERROR(INDIRECT("'"&amp;$A118&amp;"'!U5")," ")</f>
        <v xml:space="preserve"> </v>
      </c>
      <c r="Z118" s="43" t="str" cm="1">
        <f t="array" aca="1" ref="Z118" ca="1">IFERROR(INDIRECT("'"&amp;$A118&amp;"'!U6")," ")</f>
        <v xml:space="preserve"> </v>
      </c>
      <c r="AA118" s="43" t="str" cm="1">
        <f t="array" aca="1" ref="AA118" ca="1">IFERROR(INDIRECT("'"&amp;$A118&amp;"'!U7")," ")</f>
        <v xml:space="preserve"> </v>
      </c>
      <c r="AB118" s="43" t="str" cm="1">
        <f t="array" aca="1" ref="AB118" ca="1">IFERROR(INDIRECT("'"&amp;$A118&amp;"'!U8")," ")</f>
        <v xml:space="preserve"> </v>
      </c>
      <c r="AC118" s="43" t="str" cm="1">
        <f t="array" aca="1" ref="AC118" ca="1">IFERROR(INDIRECT("'"&amp;$A118&amp;"'!s9")," ")</f>
        <v xml:space="preserve"> </v>
      </c>
      <c r="AD118" s="7" t="str" cm="1">
        <f t="array" aca="1" ref="AD118" ca="1">IFERROR(INDIRECT("'"&amp;$A118&amp;"'!F6")," ")</f>
        <v xml:space="preserve"> </v>
      </c>
      <c r="AE118" s="118" t="str" cm="1">
        <f t="array" aca="1" ref="AE118" ca="1">IFERROR(INDIRECT("'"&amp;$A118&amp;"'!L4")," ")</f>
        <v xml:space="preserve"> </v>
      </c>
    </row>
    <row r="119" spans="2:31" ht="15" customHeight="1" x14ac:dyDescent="0.3">
      <c r="B119" s="8" t="str" cm="1">
        <f t="array" aca="1" ref="B119" ca="1">IFERROR(INDIRECT("'"&amp;$A119&amp;"'!A2"),"")</f>
        <v/>
      </c>
      <c r="C119" s="8" t="str" cm="1">
        <f t="array" aca="1" ref="C119" ca="1">IFERROR(INDIRECT("'"&amp;$A119&amp;"'!B5"),"")</f>
        <v/>
      </c>
      <c r="D119" s="9" t="str" cm="1">
        <f t="array" aca="1" ref="D119" ca="1">IFERROR(INDIRECT("'"&amp;$A119&amp;"'!B4"),"")</f>
        <v/>
      </c>
      <c r="E119" s="9" t="str" cm="1">
        <f t="array" aca="1" ref="E119" ca="1">IFERROR(INDIRECT("'"&amp;$A119&amp;"'!B7")," ")</f>
        <v xml:space="preserve"> </v>
      </c>
      <c r="F119" s="122" t="str" cm="1">
        <f t="array" aca="1" ref="F119" ca="1">IFERROR(INDIRECT("'"&amp;$A119&amp;"'!D9")," ")</f>
        <v xml:space="preserve"> </v>
      </c>
      <c r="G119" s="52" t="str" cm="1">
        <f t="array" aca="1" ref="G119" ca="1">IFERROR(INDIRECT("'"&amp;$A119&amp;"'!B9")," ")</f>
        <v xml:space="preserve"> </v>
      </c>
      <c r="H119" s="144" t="str" cm="1">
        <f t="array" aca="1" ref="H119" ca="1">IFERROR(INDIRECT("'"&amp;$A119&amp;"'!D4")," ")</f>
        <v xml:space="preserve"> </v>
      </c>
      <c r="I119" s="5" t="str" cm="1">
        <f t="array" aca="1" ref="I119" ca="1">IFERROR(INDIRECT("'"&amp;$A119&amp;"'!D7")," ")</f>
        <v xml:space="preserve"> </v>
      </c>
      <c r="J119" s="5" t="str" cm="1">
        <f t="array" aca="1" ref="J119" ca="1">IFERROR(INDIRECT("'"&amp;$A119&amp;"'!D8")," ")</f>
        <v xml:space="preserve"> </v>
      </c>
      <c r="K119" s="5" t="str" cm="1">
        <f t="array" aca="1" ref="K119" ca="1">IFERROR(INDIRECT("'"&amp;$A119&amp;"'!D5")," ")</f>
        <v xml:space="preserve"> </v>
      </c>
      <c r="L119" s="54" t="str" cm="1">
        <f t="array" aca="1" ref="L119" ca="1">IFERROR(INDIRECT("'"&amp;$A119&amp;"'!Q10")," ")</f>
        <v xml:space="preserve"> </v>
      </c>
      <c r="M119" s="43" t="str" cm="1">
        <f t="array" aca="1" ref="M119" ca="1">IFERROR(INDIRECT("'"&amp;$A119&amp;"'!Q5")," ")</f>
        <v xml:space="preserve"> </v>
      </c>
      <c r="N119" s="43" t="str" cm="1">
        <f t="array" aca="1" ref="N119" ca="1">IFERROR(INDIRECT("'"&amp;$A119&amp;"'!Q6")," ")</f>
        <v xml:space="preserve"> </v>
      </c>
      <c r="O119" s="43" t="str" cm="1">
        <f t="array" aca="1" ref="O119" ca="1">IFERROR(INDIRECT("'"&amp;$A119&amp;"'!Q7")," ")</f>
        <v xml:space="preserve"> </v>
      </c>
      <c r="P119" s="43" t="str" cm="1">
        <f t="array" aca="1" ref="P119" ca="1">IFERROR(INDIRECT("'"&amp;$A119&amp;"'!S5")," ")</f>
        <v xml:space="preserve"> </v>
      </c>
      <c r="Q119" s="43" t="str" cm="1">
        <f t="array" aca="1" ref="Q119" ca="1">IFERROR(INDIRECT("'"&amp;$A119&amp;"'!S6")," ")</f>
        <v xml:space="preserve"> </v>
      </c>
      <c r="R119" s="43" t="str" cm="1">
        <f t="array" aca="1" ref="R119" ca="1">IFERROR(INDIRECT("'"&amp;$A119&amp;"'!S7")," ")</f>
        <v xml:space="preserve"> </v>
      </c>
      <c r="S119" s="43" t="str" cm="1">
        <f t="array" aca="1" ref="S119" ca="1">IFERROR(INDIRECT("'"&amp;$A119&amp;"'!S8")," ")</f>
        <v xml:space="preserve"> </v>
      </c>
      <c r="T119" s="43" t="str" cm="1">
        <f t="array" aca="1" ref="T119" ca="1">IFERROR(INDIRECT("'"&amp;$A119&amp;"'!S9")," ")</f>
        <v xml:space="preserve"> </v>
      </c>
      <c r="U119" s="43" t="str" cm="1">
        <f t="array" aca="1" ref="U119" ca="1">IFERROR(INDIRECT("'"&amp;$A119&amp;"'!S10")," ")</f>
        <v xml:space="preserve"> </v>
      </c>
      <c r="V119" s="43" t="str" cm="1">
        <f t="array" aca="1" ref="V119" ca="1">IFERROR(INDIRECT("'"&amp;$A119&amp;"'!S11")," ")</f>
        <v xml:space="preserve"> </v>
      </c>
      <c r="W119" s="43" t="str" cm="1">
        <f t="array" aca="1" ref="W119" ca="1">IFERROR(INDIRECT("'"&amp;$A119&amp;"'!W5")," ")</f>
        <v xml:space="preserve"> </v>
      </c>
      <c r="X119" s="43" t="str" cm="1">
        <f t="array" aca="1" ref="X119" ca="1">IFERROR(INDIRECT("'"&amp;$A119&amp;"'!s8")," ")</f>
        <v xml:space="preserve"> </v>
      </c>
      <c r="Y119" s="43" t="str" cm="1">
        <f t="array" aca="1" ref="Y119" ca="1">IFERROR(INDIRECT("'"&amp;$A119&amp;"'!U5")," ")</f>
        <v xml:space="preserve"> </v>
      </c>
      <c r="Z119" s="43" t="str" cm="1">
        <f t="array" aca="1" ref="Z119" ca="1">IFERROR(INDIRECT("'"&amp;$A119&amp;"'!U6")," ")</f>
        <v xml:space="preserve"> </v>
      </c>
      <c r="AA119" s="43" t="str" cm="1">
        <f t="array" aca="1" ref="AA119" ca="1">IFERROR(INDIRECT("'"&amp;$A119&amp;"'!U7")," ")</f>
        <v xml:space="preserve"> </v>
      </c>
      <c r="AB119" s="43" t="str" cm="1">
        <f t="array" aca="1" ref="AB119" ca="1">IFERROR(INDIRECT("'"&amp;$A119&amp;"'!U8")," ")</f>
        <v xml:space="preserve"> </v>
      </c>
      <c r="AC119" s="43" t="str" cm="1">
        <f t="array" aca="1" ref="AC119" ca="1">IFERROR(INDIRECT("'"&amp;$A119&amp;"'!s9")," ")</f>
        <v xml:space="preserve"> </v>
      </c>
      <c r="AD119" s="7" t="str" cm="1">
        <f t="array" aca="1" ref="AD119" ca="1">IFERROR(INDIRECT("'"&amp;$A119&amp;"'!F6")," ")</f>
        <v xml:space="preserve"> </v>
      </c>
      <c r="AE119" s="118" t="str" cm="1">
        <f t="array" aca="1" ref="AE119" ca="1">IFERROR(INDIRECT("'"&amp;$A119&amp;"'!L4")," ")</f>
        <v xml:space="preserve"> </v>
      </c>
    </row>
    <row r="120" spans="2:31" ht="15" customHeight="1" x14ac:dyDescent="0.3">
      <c r="B120" s="8" t="str" cm="1">
        <f t="array" aca="1" ref="B120" ca="1">IFERROR(INDIRECT("'"&amp;$A120&amp;"'!A2"),"")</f>
        <v/>
      </c>
      <c r="C120" s="8" t="str" cm="1">
        <f t="array" aca="1" ref="C120" ca="1">IFERROR(INDIRECT("'"&amp;$A120&amp;"'!B5"),"")</f>
        <v/>
      </c>
      <c r="D120" s="9" t="str" cm="1">
        <f t="array" aca="1" ref="D120" ca="1">IFERROR(INDIRECT("'"&amp;$A120&amp;"'!B4"),"")</f>
        <v/>
      </c>
      <c r="E120" s="9" t="str" cm="1">
        <f t="array" aca="1" ref="E120" ca="1">IFERROR(INDIRECT("'"&amp;$A120&amp;"'!B7")," ")</f>
        <v xml:space="preserve"> </v>
      </c>
      <c r="F120" s="122" t="str" cm="1">
        <f t="array" aca="1" ref="F120" ca="1">IFERROR(INDIRECT("'"&amp;$A120&amp;"'!D9")," ")</f>
        <v xml:space="preserve"> </v>
      </c>
      <c r="G120" s="52" t="str" cm="1">
        <f t="array" aca="1" ref="G120" ca="1">IFERROR(INDIRECT("'"&amp;$A120&amp;"'!B9")," ")</f>
        <v xml:space="preserve"> </v>
      </c>
      <c r="H120" s="144" t="str" cm="1">
        <f t="array" aca="1" ref="H120" ca="1">IFERROR(INDIRECT("'"&amp;$A120&amp;"'!D4")," ")</f>
        <v xml:space="preserve"> </v>
      </c>
      <c r="I120" s="5" t="str" cm="1">
        <f t="array" aca="1" ref="I120" ca="1">IFERROR(INDIRECT("'"&amp;$A120&amp;"'!D7")," ")</f>
        <v xml:space="preserve"> </v>
      </c>
      <c r="J120" s="5" t="str" cm="1">
        <f t="array" aca="1" ref="J120" ca="1">IFERROR(INDIRECT("'"&amp;$A120&amp;"'!D8")," ")</f>
        <v xml:space="preserve"> </v>
      </c>
      <c r="K120" s="5" t="str" cm="1">
        <f t="array" aca="1" ref="K120" ca="1">IFERROR(INDIRECT("'"&amp;$A120&amp;"'!D5")," ")</f>
        <v xml:space="preserve"> </v>
      </c>
      <c r="L120" s="54" t="str" cm="1">
        <f t="array" aca="1" ref="L120" ca="1">IFERROR(INDIRECT("'"&amp;$A120&amp;"'!Q10")," ")</f>
        <v xml:space="preserve"> </v>
      </c>
      <c r="M120" s="43" t="str" cm="1">
        <f t="array" aca="1" ref="M120" ca="1">IFERROR(INDIRECT("'"&amp;$A120&amp;"'!Q5")," ")</f>
        <v xml:space="preserve"> </v>
      </c>
      <c r="N120" s="43" t="str" cm="1">
        <f t="array" aca="1" ref="N120" ca="1">IFERROR(INDIRECT("'"&amp;$A120&amp;"'!Q6")," ")</f>
        <v xml:space="preserve"> </v>
      </c>
      <c r="O120" s="43" t="str" cm="1">
        <f t="array" aca="1" ref="O120" ca="1">IFERROR(INDIRECT("'"&amp;$A120&amp;"'!Q7")," ")</f>
        <v xml:space="preserve"> </v>
      </c>
      <c r="P120" s="43" t="str" cm="1">
        <f t="array" aca="1" ref="P120" ca="1">IFERROR(INDIRECT("'"&amp;$A120&amp;"'!S5")," ")</f>
        <v xml:space="preserve"> </v>
      </c>
      <c r="Q120" s="43" t="str" cm="1">
        <f t="array" aca="1" ref="Q120" ca="1">IFERROR(INDIRECT("'"&amp;$A120&amp;"'!S6")," ")</f>
        <v xml:space="preserve"> </v>
      </c>
      <c r="R120" s="43" t="str" cm="1">
        <f t="array" aca="1" ref="R120" ca="1">IFERROR(INDIRECT("'"&amp;$A120&amp;"'!S7")," ")</f>
        <v xml:space="preserve"> </v>
      </c>
      <c r="S120" s="43" t="str" cm="1">
        <f t="array" aca="1" ref="S120" ca="1">IFERROR(INDIRECT("'"&amp;$A120&amp;"'!S8")," ")</f>
        <v xml:space="preserve"> </v>
      </c>
      <c r="T120" s="43" t="str" cm="1">
        <f t="array" aca="1" ref="T120" ca="1">IFERROR(INDIRECT("'"&amp;$A120&amp;"'!S9")," ")</f>
        <v xml:space="preserve"> </v>
      </c>
      <c r="U120" s="43" t="str" cm="1">
        <f t="array" aca="1" ref="U120" ca="1">IFERROR(INDIRECT("'"&amp;$A120&amp;"'!S10")," ")</f>
        <v xml:space="preserve"> </v>
      </c>
      <c r="V120" s="43" t="str" cm="1">
        <f t="array" aca="1" ref="V120" ca="1">IFERROR(INDIRECT("'"&amp;$A120&amp;"'!S11")," ")</f>
        <v xml:space="preserve"> </v>
      </c>
      <c r="W120" s="43" t="str" cm="1">
        <f t="array" aca="1" ref="W120" ca="1">IFERROR(INDIRECT("'"&amp;$A120&amp;"'!W5")," ")</f>
        <v xml:space="preserve"> </v>
      </c>
      <c r="X120" s="43" t="str" cm="1">
        <f t="array" aca="1" ref="X120" ca="1">IFERROR(INDIRECT("'"&amp;$A120&amp;"'!s8")," ")</f>
        <v xml:space="preserve"> </v>
      </c>
      <c r="Y120" s="43" t="str" cm="1">
        <f t="array" aca="1" ref="Y120" ca="1">IFERROR(INDIRECT("'"&amp;$A120&amp;"'!U5")," ")</f>
        <v xml:space="preserve"> </v>
      </c>
      <c r="Z120" s="43" t="str" cm="1">
        <f t="array" aca="1" ref="Z120" ca="1">IFERROR(INDIRECT("'"&amp;$A120&amp;"'!U6")," ")</f>
        <v xml:space="preserve"> </v>
      </c>
      <c r="AA120" s="43" t="str" cm="1">
        <f t="array" aca="1" ref="AA120" ca="1">IFERROR(INDIRECT("'"&amp;$A120&amp;"'!U7")," ")</f>
        <v xml:space="preserve"> </v>
      </c>
      <c r="AB120" s="43" t="str" cm="1">
        <f t="array" aca="1" ref="AB120" ca="1">IFERROR(INDIRECT("'"&amp;$A120&amp;"'!U8")," ")</f>
        <v xml:space="preserve"> </v>
      </c>
      <c r="AC120" s="43" t="str" cm="1">
        <f t="array" aca="1" ref="AC120" ca="1">IFERROR(INDIRECT("'"&amp;$A120&amp;"'!s9")," ")</f>
        <v xml:space="preserve"> </v>
      </c>
      <c r="AD120" s="7" t="str" cm="1">
        <f t="array" aca="1" ref="AD120" ca="1">IFERROR(INDIRECT("'"&amp;$A120&amp;"'!F6")," ")</f>
        <v xml:space="preserve"> </v>
      </c>
      <c r="AE120" s="118" t="str" cm="1">
        <f t="array" aca="1" ref="AE120" ca="1">IFERROR(INDIRECT("'"&amp;$A120&amp;"'!L4")," ")</f>
        <v xml:space="preserve"> </v>
      </c>
    </row>
    <row r="121" spans="2:31" ht="15" customHeight="1" x14ac:dyDescent="0.3">
      <c r="B121" s="8" t="str" cm="1">
        <f t="array" aca="1" ref="B121" ca="1">IFERROR(INDIRECT("'"&amp;$A121&amp;"'!A2"),"")</f>
        <v/>
      </c>
      <c r="C121" s="8" t="str" cm="1">
        <f t="array" aca="1" ref="C121" ca="1">IFERROR(INDIRECT("'"&amp;$A121&amp;"'!B5"),"")</f>
        <v/>
      </c>
      <c r="D121" s="9" t="str" cm="1">
        <f t="array" aca="1" ref="D121" ca="1">IFERROR(INDIRECT("'"&amp;$A121&amp;"'!B4"),"")</f>
        <v/>
      </c>
      <c r="E121" s="9" t="str" cm="1">
        <f t="array" aca="1" ref="E121" ca="1">IFERROR(INDIRECT("'"&amp;$A121&amp;"'!B7")," ")</f>
        <v xml:space="preserve"> </v>
      </c>
      <c r="F121" s="122" t="str" cm="1">
        <f t="array" aca="1" ref="F121" ca="1">IFERROR(INDIRECT("'"&amp;$A121&amp;"'!D9")," ")</f>
        <v xml:space="preserve"> </v>
      </c>
      <c r="G121" s="52" t="str" cm="1">
        <f t="array" aca="1" ref="G121" ca="1">IFERROR(INDIRECT("'"&amp;$A121&amp;"'!B9")," ")</f>
        <v xml:space="preserve"> </v>
      </c>
      <c r="H121" s="144" t="str" cm="1">
        <f t="array" aca="1" ref="H121" ca="1">IFERROR(INDIRECT("'"&amp;$A121&amp;"'!D4")," ")</f>
        <v xml:space="preserve"> </v>
      </c>
      <c r="I121" s="5" t="str" cm="1">
        <f t="array" aca="1" ref="I121" ca="1">IFERROR(INDIRECT("'"&amp;$A121&amp;"'!D7")," ")</f>
        <v xml:space="preserve"> </v>
      </c>
      <c r="J121" s="5" t="str" cm="1">
        <f t="array" aca="1" ref="J121" ca="1">IFERROR(INDIRECT("'"&amp;$A121&amp;"'!D8")," ")</f>
        <v xml:space="preserve"> </v>
      </c>
      <c r="K121" s="5" t="str" cm="1">
        <f t="array" aca="1" ref="K121" ca="1">IFERROR(INDIRECT("'"&amp;$A121&amp;"'!D5")," ")</f>
        <v xml:space="preserve"> </v>
      </c>
      <c r="L121" s="54" t="str" cm="1">
        <f t="array" aca="1" ref="L121" ca="1">IFERROR(INDIRECT("'"&amp;$A121&amp;"'!Q10")," ")</f>
        <v xml:space="preserve"> </v>
      </c>
      <c r="M121" s="43" t="str" cm="1">
        <f t="array" aca="1" ref="M121" ca="1">IFERROR(INDIRECT("'"&amp;$A121&amp;"'!Q5")," ")</f>
        <v xml:space="preserve"> </v>
      </c>
      <c r="N121" s="43" t="str" cm="1">
        <f t="array" aca="1" ref="N121" ca="1">IFERROR(INDIRECT("'"&amp;$A121&amp;"'!Q6")," ")</f>
        <v xml:space="preserve"> </v>
      </c>
      <c r="O121" s="43" t="str" cm="1">
        <f t="array" aca="1" ref="O121" ca="1">IFERROR(INDIRECT("'"&amp;$A121&amp;"'!Q7")," ")</f>
        <v xml:space="preserve"> </v>
      </c>
      <c r="P121" s="43" t="str" cm="1">
        <f t="array" aca="1" ref="P121" ca="1">IFERROR(INDIRECT("'"&amp;$A121&amp;"'!S5")," ")</f>
        <v xml:space="preserve"> </v>
      </c>
      <c r="Q121" s="43" t="str" cm="1">
        <f t="array" aca="1" ref="Q121" ca="1">IFERROR(INDIRECT("'"&amp;$A121&amp;"'!S6")," ")</f>
        <v xml:space="preserve"> </v>
      </c>
      <c r="R121" s="43" t="str" cm="1">
        <f t="array" aca="1" ref="R121" ca="1">IFERROR(INDIRECT("'"&amp;$A121&amp;"'!S7")," ")</f>
        <v xml:space="preserve"> </v>
      </c>
      <c r="S121" s="43" t="str" cm="1">
        <f t="array" aca="1" ref="S121" ca="1">IFERROR(INDIRECT("'"&amp;$A121&amp;"'!S8")," ")</f>
        <v xml:space="preserve"> </v>
      </c>
      <c r="T121" s="43" t="str" cm="1">
        <f t="array" aca="1" ref="T121" ca="1">IFERROR(INDIRECT("'"&amp;$A121&amp;"'!S9")," ")</f>
        <v xml:space="preserve"> </v>
      </c>
      <c r="U121" s="43" t="str" cm="1">
        <f t="array" aca="1" ref="U121" ca="1">IFERROR(INDIRECT("'"&amp;$A121&amp;"'!S10")," ")</f>
        <v xml:space="preserve"> </v>
      </c>
      <c r="V121" s="43" t="str" cm="1">
        <f t="array" aca="1" ref="V121" ca="1">IFERROR(INDIRECT("'"&amp;$A121&amp;"'!S11")," ")</f>
        <v xml:space="preserve"> </v>
      </c>
      <c r="W121" s="43" t="str" cm="1">
        <f t="array" aca="1" ref="W121" ca="1">IFERROR(INDIRECT("'"&amp;$A121&amp;"'!W5")," ")</f>
        <v xml:space="preserve"> </v>
      </c>
      <c r="X121" s="43" t="str" cm="1">
        <f t="array" aca="1" ref="X121" ca="1">IFERROR(INDIRECT("'"&amp;$A121&amp;"'!s8")," ")</f>
        <v xml:space="preserve"> </v>
      </c>
      <c r="Y121" s="43" t="str" cm="1">
        <f t="array" aca="1" ref="Y121" ca="1">IFERROR(INDIRECT("'"&amp;$A121&amp;"'!U5")," ")</f>
        <v xml:space="preserve"> </v>
      </c>
      <c r="Z121" s="43" t="str" cm="1">
        <f t="array" aca="1" ref="Z121" ca="1">IFERROR(INDIRECT("'"&amp;$A121&amp;"'!U6")," ")</f>
        <v xml:space="preserve"> </v>
      </c>
      <c r="AA121" s="43" t="str" cm="1">
        <f t="array" aca="1" ref="AA121" ca="1">IFERROR(INDIRECT("'"&amp;$A121&amp;"'!U7")," ")</f>
        <v xml:space="preserve"> </v>
      </c>
      <c r="AB121" s="43" t="str" cm="1">
        <f t="array" aca="1" ref="AB121" ca="1">IFERROR(INDIRECT("'"&amp;$A121&amp;"'!U8")," ")</f>
        <v xml:space="preserve"> </v>
      </c>
      <c r="AC121" s="43" t="str" cm="1">
        <f t="array" aca="1" ref="AC121" ca="1">IFERROR(INDIRECT("'"&amp;$A121&amp;"'!s9")," ")</f>
        <v xml:space="preserve"> </v>
      </c>
      <c r="AD121" s="7" t="str" cm="1">
        <f t="array" aca="1" ref="AD121" ca="1">IFERROR(INDIRECT("'"&amp;$A121&amp;"'!F6")," ")</f>
        <v xml:space="preserve"> </v>
      </c>
      <c r="AE121" s="118" t="str" cm="1">
        <f t="array" aca="1" ref="AE121" ca="1">IFERROR(INDIRECT("'"&amp;$A121&amp;"'!L4")," ")</f>
        <v xml:space="preserve"> </v>
      </c>
    </row>
    <row r="122" spans="2:31" ht="15" customHeight="1" x14ac:dyDescent="0.3">
      <c r="B122" s="8" t="str" cm="1">
        <f t="array" aca="1" ref="B122" ca="1">IFERROR(INDIRECT("'"&amp;$A122&amp;"'!A2"),"")</f>
        <v/>
      </c>
      <c r="C122" s="8" t="str" cm="1">
        <f t="array" aca="1" ref="C122" ca="1">IFERROR(INDIRECT("'"&amp;$A122&amp;"'!B5"),"")</f>
        <v/>
      </c>
      <c r="D122" s="9" t="str" cm="1">
        <f t="array" aca="1" ref="D122" ca="1">IFERROR(INDIRECT("'"&amp;$A122&amp;"'!B4"),"")</f>
        <v/>
      </c>
      <c r="E122" s="9" t="str" cm="1">
        <f t="array" aca="1" ref="E122" ca="1">IFERROR(INDIRECT("'"&amp;$A122&amp;"'!B7")," ")</f>
        <v xml:space="preserve"> </v>
      </c>
      <c r="F122" s="122" t="str" cm="1">
        <f t="array" aca="1" ref="F122" ca="1">IFERROR(INDIRECT("'"&amp;$A122&amp;"'!D9")," ")</f>
        <v xml:space="preserve"> </v>
      </c>
      <c r="G122" s="52" t="str" cm="1">
        <f t="array" aca="1" ref="G122" ca="1">IFERROR(INDIRECT("'"&amp;$A122&amp;"'!B9")," ")</f>
        <v xml:space="preserve"> </v>
      </c>
      <c r="H122" s="144" t="str" cm="1">
        <f t="array" aca="1" ref="H122" ca="1">IFERROR(INDIRECT("'"&amp;$A122&amp;"'!D4")," ")</f>
        <v xml:space="preserve"> </v>
      </c>
      <c r="I122" s="5" t="str" cm="1">
        <f t="array" aca="1" ref="I122" ca="1">IFERROR(INDIRECT("'"&amp;$A122&amp;"'!D7")," ")</f>
        <v xml:space="preserve"> </v>
      </c>
      <c r="J122" s="5" t="str" cm="1">
        <f t="array" aca="1" ref="J122" ca="1">IFERROR(INDIRECT("'"&amp;$A122&amp;"'!D8")," ")</f>
        <v xml:space="preserve"> </v>
      </c>
      <c r="K122" s="5" t="str" cm="1">
        <f t="array" aca="1" ref="K122" ca="1">IFERROR(INDIRECT("'"&amp;$A122&amp;"'!D5")," ")</f>
        <v xml:space="preserve"> </v>
      </c>
      <c r="L122" s="54" t="str" cm="1">
        <f t="array" aca="1" ref="L122" ca="1">IFERROR(INDIRECT("'"&amp;$A122&amp;"'!Q10")," ")</f>
        <v xml:space="preserve"> </v>
      </c>
      <c r="M122" s="43" t="str" cm="1">
        <f t="array" aca="1" ref="M122" ca="1">IFERROR(INDIRECT("'"&amp;$A122&amp;"'!Q5")," ")</f>
        <v xml:space="preserve"> </v>
      </c>
      <c r="N122" s="43" t="str" cm="1">
        <f t="array" aca="1" ref="N122" ca="1">IFERROR(INDIRECT("'"&amp;$A122&amp;"'!Q6")," ")</f>
        <v xml:space="preserve"> </v>
      </c>
      <c r="O122" s="43" t="str" cm="1">
        <f t="array" aca="1" ref="O122" ca="1">IFERROR(INDIRECT("'"&amp;$A122&amp;"'!Q7")," ")</f>
        <v xml:space="preserve"> </v>
      </c>
      <c r="P122" s="43" t="str" cm="1">
        <f t="array" aca="1" ref="P122" ca="1">IFERROR(INDIRECT("'"&amp;$A122&amp;"'!S5")," ")</f>
        <v xml:space="preserve"> </v>
      </c>
      <c r="Q122" s="43" t="str" cm="1">
        <f t="array" aca="1" ref="Q122" ca="1">IFERROR(INDIRECT("'"&amp;$A122&amp;"'!S6")," ")</f>
        <v xml:space="preserve"> </v>
      </c>
      <c r="R122" s="43" t="str" cm="1">
        <f t="array" aca="1" ref="R122" ca="1">IFERROR(INDIRECT("'"&amp;$A122&amp;"'!S7")," ")</f>
        <v xml:space="preserve"> </v>
      </c>
      <c r="S122" s="43" t="str" cm="1">
        <f t="array" aca="1" ref="S122" ca="1">IFERROR(INDIRECT("'"&amp;$A122&amp;"'!S8")," ")</f>
        <v xml:space="preserve"> </v>
      </c>
      <c r="T122" s="43" t="str" cm="1">
        <f t="array" aca="1" ref="T122" ca="1">IFERROR(INDIRECT("'"&amp;$A122&amp;"'!S9")," ")</f>
        <v xml:space="preserve"> </v>
      </c>
      <c r="U122" s="43" t="str" cm="1">
        <f t="array" aca="1" ref="U122" ca="1">IFERROR(INDIRECT("'"&amp;$A122&amp;"'!S10")," ")</f>
        <v xml:space="preserve"> </v>
      </c>
      <c r="V122" s="43" t="str" cm="1">
        <f t="array" aca="1" ref="V122" ca="1">IFERROR(INDIRECT("'"&amp;$A122&amp;"'!S11")," ")</f>
        <v xml:space="preserve"> </v>
      </c>
      <c r="W122" s="43" t="str" cm="1">
        <f t="array" aca="1" ref="W122" ca="1">IFERROR(INDIRECT("'"&amp;$A122&amp;"'!W5")," ")</f>
        <v xml:space="preserve"> </v>
      </c>
      <c r="X122" s="43" t="str" cm="1">
        <f t="array" aca="1" ref="X122" ca="1">IFERROR(INDIRECT("'"&amp;$A122&amp;"'!s8")," ")</f>
        <v xml:space="preserve"> </v>
      </c>
      <c r="Y122" s="43" t="str" cm="1">
        <f t="array" aca="1" ref="Y122" ca="1">IFERROR(INDIRECT("'"&amp;$A122&amp;"'!U5")," ")</f>
        <v xml:space="preserve"> </v>
      </c>
      <c r="Z122" s="43" t="str" cm="1">
        <f t="array" aca="1" ref="Z122" ca="1">IFERROR(INDIRECT("'"&amp;$A122&amp;"'!U6")," ")</f>
        <v xml:space="preserve"> </v>
      </c>
      <c r="AA122" s="43" t="str" cm="1">
        <f t="array" aca="1" ref="AA122" ca="1">IFERROR(INDIRECT("'"&amp;$A122&amp;"'!U7")," ")</f>
        <v xml:space="preserve"> </v>
      </c>
      <c r="AB122" s="43" t="str" cm="1">
        <f t="array" aca="1" ref="AB122" ca="1">IFERROR(INDIRECT("'"&amp;$A122&amp;"'!U8")," ")</f>
        <v xml:space="preserve"> </v>
      </c>
      <c r="AC122" s="43" t="str" cm="1">
        <f t="array" aca="1" ref="AC122" ca="1">IFERROR(INDIRECT("'"&amp;$A122&amp;"'!s9")," ")</f>
        <v xml:space="preserve"> </v>
      </c>
      <c r="AD122" s="7" t="str" cm="1">
        <f t="array" aca="1" ref="AD122" ca="1">IFERROR(INDIRECT("'"&amp;$A122&amp;"'!F6")," ")</f>
        <v xml:space="preserve"> </v>
      </c>
      <c r="AE122" s="118" t="str" cm="1">
        <f t="array" aca="1" ref="AE122" ca="1">IFERROR(INDIRECT("'"&amp;$A122&amp;"'!L4")," ")</f>
        <v xml:space="preserve"> </v>
      </c>
    </row>
    <row r="123" spans="2:31" ht="15" customHeight="1" x14ac:dyDescent="0.3">
      <c r="B123" s="8" t="str" cm="1">
        <f t="array" aca="1" ref="B123" ca="1">IFERROR(INDIRECT("'"&amp;$A123&amp;"'!A2"),"")</f>
        <v/>
      </c>
      <c r="C123" s="8" t="str" cm="1">
        <f t="array" aca="1" ref="C123" ca="1">IFERROR(INDIRECT("'"&amp;$A123&amp;"'!B5"),"")</f>
        <v/>
      </c>
      <c r="D123" s="9" t="str" cm="1">
        <f t="array" aca="1" ref="D123" ca="1">IFERROR(INDIRECT("'"&amp;$A123&amp;"'!B4"),"")</f>
        <v/>
      </c>
      <c r="E123" s="9" t="str" cm="1">
        <f t="array" aca="1" ref="E123" ca="1">IFERROR(INDIRECT("'"&amp;$A123&amp;"'!B7")," ")</f>
        <v xml:space="preserve"> </v>
      </c>
      <c r="F123" s="122" t="str" cm="1">
        <f t="array" aca="1" ref="F123" ca="1">IFERROR(INDIRECT("'"&amp;$A123&amp;"'!D9")," ")</f>
        <v xml:space="preserve"> </v>
      </c>
      <c r="G123" s="52" t="str" cm="1">
        <f t="array" aca="1" ref="G123" ca="1">IFERROR(INDIRECT("'"&amp;$A123&amp;"'!B9")," ")</f>
        <v xml:space="preserve"> </v>
      </c>
      <c r="H123" s="144" t="str" cm="1">
        <f t="array" aca="1" ref="H123" ca="1">IFERROR(INDIRECT("'"&amp;$A123&amp;"'!D4")," ")</f>
        <v xml:space="preserve"> </v>
      </c>
      <c r="I123" s="5" t="str" cm="1">
        <f t="array" aca="1" ref="I123" ca="1">IFERROR(INDIRECT("'"&amp;$A123&amp;"'!D7")," ")</f>
        <v xml:space="preserve"> </v>
      </c>
      <c r="J123" s="5" t="str" cm="1">
        <f t="array" aca="1" ref="J123" ca="1">IFERROR(INDIRECT("'"&amp;$A123&amp;"'!D8")," ")</f>
        <v xml:space="preserve"> </v>
      </c>
      <c r="K123" s="5" t="str" cm="1">
        <f t="array" aca="1" ref="K123" ca="1">IFERROR(INDIRECT("'"&amp;$A123&amp;"'!D5")," ")</f>
        <v xml:space="preserve"> </v>
      </c>
      <c r="L123" s="54" t="str" cm="1">
        <f t="array" aca="1" ref="L123" ca="1">IFERROR(INDIRECT("'"&amp;$A123&amp;"'!Q10")," ")</f>
        <v xml:space="preserve"> </v>
      </c>
      <c r="M123" s="43" t="str" cm="1">
        <f t="array" aca="1" ref="M123" ca="1">IFERROR(INDIRECT("'"&amp;$A123&amp;"'!Q5")," ")</f>
        <v xml:space="preserve"> </v>
      </c>
      <c r="N123" s="43" t="str" cm="1">
        <f t="array" aca="1" ref="N123" ca="1">IFERROR(INDIRECT("'"&amp;$A123&amp;"'!Q6")," ")</f>
        <v xml:space="preserve"> </v>
      </c>
      <c r="O123" s="43" t="str" cm="1">
        <f t="array" aca="1" ref="O123" ca="1">IFERROR(INDIRECT("'"&amp;$A123&amp;"'!Q7")," ")</f>
        <v xml:space="preserve"> </v>
      </c>
      <c r="P123" s="43" t="str" cm="1">
        <f t="array" aca="1" ref="P123" ca="1">IFERROR(INDIRECT("'"&amp;$A123&amp;"'!S5")," ")</f>
        <v xml:space="preserve"> </v>
      </c>
      <c r="Q123" s="43" t="str" cm="1">
        <f t="array" aca="1" ref="Q123" ca="1">IFERROR(INDIRECT("'"&amp;$A123&amp;"'!S6")," ")</f>
        <v xml:space="preserve"> </v>
      </c>
      <c r="R123" s="43" t="str" cm="1">
        <f t="array" aca="1" ref="R123" ca="1">IFERROR(INDIRECT("'"&amp;$A123&amp;"'!S7")," ")</f>
        <v xml:space="preserve"> </v>
      </c>
      <c r="S123" s="43" t="str" cm="1">
        <f t="array" aca="1" ref="S123" ca="1">IFERROR(INDIRECT("'"&amp;$A123&amp;"'!S8")," ")</f>
        <v xml:space="preserve"> </v>
      </c>
      <c r="T123" s="43" t="str" cm="1">
        <f t="array" aca="1" ref="T123" ca="1">IFERROR(INDIRECT("'"&amp;$A123&amp;"'!S9")," ")</f>
        <v xml:space="preserve"> </v>
      </c>
      <c r="U123" s="43" t="str" cm="1">
        <f t="array" aca="1" ref="U123" ca="1">IFERROR(INDIRECT("'"&amp;$A123&amp;"'!S10")," ")</f>
        <v xml:space="preserve"> </v>
      </c>
      <c r="V123" s="43" t="str" cm="1">
        <f t="array" aca="1" ref="V123" ca="1">IFERROR(INDIRECT("'"&amp;$A123&amp;"'!S11")," ")</f>
        <v xml:space="preserve"> </v>
      </c>
      <c r="W123" s="43" t="str" cm="1">
        <f t="array" aca="1" ref="W123" ca="1">IFERROR(INDIRECT("'"&amp;$A123&amp;"'!W5")," ")</f>
        <v xml:space="preserve"> </v>
      </c>
      <c r="X123" s="43" t="str" cm="1">
        <f t="array" aca="1" ref="X123" ca="1">IFERROR(INDIRECT("'"&amp;$A123&amp;"'!s8")," ")</f>
        <v xml:space="preserve"> </v>
      </c>
      <c r="Y123" s="43" t="str" cm="1">
        <f t="array" aca="1" ref="Y123" ca="1">IFERROR(INDIRECT("'"&amp;$A123&amp;"'!U5")," ")</f>
        <v xml:space="preserve"> </v>
      </c>
      <c r="Z123" s="43" t="str" cm="1">
        <f t="array" aca="1" ref="Z123" ca="1">IFERROR(INDIRECT("'"&amp;$A123&amp;"'!U6")," ")</f>
        <v xml:space="preserve"> </v>
      </c>
      <c r="AA123" s="43" t="str" cm="1">
        <f t="array" aca="1" ref="AA123" ca="1">IFERROR(INDIRECT("'"&amp;$A123&amp;"'!U7")," ")</f>
        <v xml:space="preserve"> </v>
      </c>
      <c r="AB123" s="43" t="str" cm="1">
        <f t="array" aca="1" ref="AB123" ca="1">IFERROR(INDIRECT("'"&amp;$A123&amp;"'!U8")," ")</f>
        <v xml:space="preserve"> </v>
      </c>
      <c r="AC123" s="43" t="str" cm="1">
        <f t="array" aca="1" ref="AC123" ca="1">IFERROR(INDIRECT("'"&amp;$A123&amp;"'!s9")," ")</f>
        <v xml:space="preserve"> </v>
      </c>
      <c r="AD123" s="7" t="str" cm="1">
        <f t="array" aca="1" ref="AD123" ca="1">IFERROR(INDIRECT("'"&amp;$A123&amp;"'!F6")," ")</f>
        <v xml:space="preserve"> </v>
      </c>
      <c r="AE123" s="118" t="str" cm="1">
        <f t="array" aca="1" ref="AE123" ca="1">IFERROR(INDIRECT("'"&amp;$A123&amp;"'!L4")," ")</f>
        <v xml:space="preserve"> </v>
      </c>
    </row>
    <row r="124" spans="2:31" ht="15" customHeight="1" x14ac:dyDescent="0.3">
      <c r="B124" s="8" t="str" cm="1">
        <f t="array" aca="1" ref="B124" ca="1">IFERROR(INDIRECT("'"&amp;$A124&amp;"'!A2"),"")</f>
        <v/>
      </c>
      <c r="C124" s="8" t="str" cm="1">
        <f t="array" aca="1" ref="C124" ca="1">IFERROR(INDIRECT("'"&amp;$A124&amp;"'!B5"),"")</f>
        <v/>
      </c>
      <c r="D124" s="9" t="str" cm="1">
        <f t="array" aca="1" ref="D124" ca="1">IFERROR(INDIRECT("'"&amp;$A124&amp;"'!B4"),"")</f>
        <v/>
      </c>
      <c r="E124" s="9" t="str" cm="1">
        <f t="array" aca="1" ref="E124" ca="1">IFERROR(INDIRECT("'"&amp;$A124&amp;"'!B7")," ")</f>
        <v xml:space="preserve"> </v>
      </c>
      <c r="F124" s="122" t="str" cm="1">
        <f t="array" aca="1" ref="F124" ca="1">IFERROR(INDIRECT("'"&amp;$A124&amp;"'!D9")," ")</f>
        <v xml:space="preserve"> </v>
      </c>
      <c r="G124" s="52" t="str" cm="1">
        <f t="array" aca="1" ref="G124" ca="1">IFERROR(INDIRECT("'"&amp;$A124&amp;"'!B9")," ")</f>
        <v xml:space="preserve"> </v>
      </c>
      <c r="H124" s="70" t="str" cm="1">
        <f t="array" aca="1" ref="H124" ca="1">IFERROR(INDIRECT("'"&amp;$A124&amp;"'!D4")," ")</f>
        <v xml:space="preserve"> </v>
      </c>
      <c r="I124" s="5" t="str" cm="1">
        <f t="array" aca="1" ref="I124" ca="1">IFERROR(INDIRECT("'"&amp;$A124&amp;"'!D7")," ")</f>
        <v xml:space="preserve"> </v>
      </c>
      <c r="J124" s="5" t="str" cm="1">
        <f t="array" aca="1" ref="J124" ca="1">IFERROR(INDIRECT("'"&amp;$A124&amp;"'!D8")," ")</f>
        <v xml:space="preserve"> </v>
      </c>
      <c r="K124" s="5" t="str" cm="1">
        <f t="array" aca="1" ref="K124" ca="1">IFERROR(INDIRECT("'"&amp;$A124&amp;"'!D5")," ")</f>
        <v xml:space="preserve"> </v>
      </c>
      <c r="L124" s="54" t="str" cm="1">
        <f t="array" aca="1" ref="L124" ca="1">IFERROR(INDIRECT("'"&amp;$A124&amp;"'!Q10")," ")</f>
        <v xml:space="preserve"> </v>
      </c>
      <c r="M124" s="43" t="str" cm="1">
        <f t="array" aca="1" ref="M124" ca="1">IFERROR(INDIRECT("'"&amp;$A124&amp;"'!Q5")," ")</f>
        <v xml:space="preserve"> </v>
      </c>
      <c r="N124" s="43" t="str" cm="1">
        <f t="array" aca="1" ref="N124" ca="1">IFERROR(INDIRECT("'"&amp;$A124&amp;"'!Q6")," ")</f>
        <v xml:space="preserve"> </v>
      </c>
      <c r="O124" s="43" t="str" cm="1">
        <f t="array" aca="1" ref="O124" ca="1">IFERROR(INDIRECT("'"&amp;$A124&amp;"'!Q7")," ")</f>
        <v xml:space="preserve"> </v>
      </c>
      <c r="P124" s="43" t="str" cm="1">
        <f t="array" aca="1" ref="P124" ca="1">IFERROR(INDIRECT("'"&amp;$A124&amp;"'!S5")," ")</f>
        <v xml:space="preserve"> </v>
      </c>
      <c r="Q124" s="43" t="str" cm="1">
        <f t="array" aca="1" ref="Q124" ca="1">IFERROR(INDIRECT("'"&amp;$A124&amp;"'!S6")," ")</f>
        <v xml:space="preserve"> </v>
      </c>
      <c r="R124" s="43" t="str" cm="1">
        <f t="array" aca="1" ref="R124" ca="1">IFERROR(INDIRECT("'"&amp;$A124&amp;"'!S7")," ")</f>
        <v xml:space="preserve"> </v>
      </c>
      <c r="S124" s="43" t="str" cm="1">
        <f t="array" aca="1" ref="S124" ca="1">IFERROR(INDIRECT("'"&amp;$A124&amp;"'!S8")," ")</f>
        <v xml:space="preserve"> </v>
      </c>
      <c r="T124" s="43" t="str" cm="1">
        <f t="array" aca="1" ref="T124" ca="1">IFERROR(INDIRECT("'"&amp;$A124&amp;"'!S9")," ")</f>
        <v xml:space="preserve"> </v>
      </c>
      <c r="U124" s="43" t="str" cm="1">
        <f t="array" aca="1" ref="U124" ca="1">IFERROR(INDIRECT("'"&amp;$A124&amp;"'!S10")," ")</f>
        <v xml:space="preserve"> </v>
      </c>
      <c r="V124" s="43" t="str" cm="1">
        <f t="array" aca="1" ref="V124" ca="1">IFERROR(INDIRECT("'"&amp;$A124&amp;"'!S11")," ")</f>
        <v xml:space="preserve"> </v>
      </c>
      <c r="W124" s="43" t="str" cm="1">
        <f t="array" aca="1" ref="W124" ca="1">IFERROR(INDIRECT("'"&amp;$A124&amp;"'!W5")," ")</f>
        <v xml:space="preserve"> </v>
      </c>
      <c r="X124" s="43" t="str" cm="1">
        <f t="array" aca="1" ref="X124" ca="1">IFERROR(INDIRECT("'"&amp;$A124&amp;"'!s8")," ")</f>
        <v xml:space="preserve"> </v>
      </c>
      <c r="Y124" s="43" t="str" cm="1">
        <f t="array" aca="1" ref="Y124" ca="1">IFERROR(INDIRECT("'"&amp;$A124&amp;"'!U5")," ")</f>
        <v xml:space="preserve"> </v>
      </c>
      <c r="Z124" s="43" t="str" cm="1">
        <f t="array" aca="1" ref="Z124" ca="1">IFERROR(INDIRECT("'"&amp;$A124&amp;"'!U6")," ")</f>
        <v xml:space="preserve"> </v>
      </c>
      <c r="AA124" s="43" t="str" cm="1">
        <f t="array" aca="1" ref="AA124" ca="1">IFERROR(INDIRECT("'"&amp;$A124&amp;"'!U7")," ")</f>
        <v xml:space="preserve"> </v>
      </c>
      <c r="AB124" s="43" t="str" cm="1">
        <f t="array" aca="1" ref="AB124" ca="1">IFERROR(INDIRECT("'"&amp;$A124&amp;"'!U8")," ")</f>
        <v xml:space="preserve"> </v>
      </c>
      <c r="AC124" s="43" t="str" cm="1">
        <f t="array" aca="1" ref="AC124" ca="1">IFERROR(INDIRECT("'"&amp;$A124&amp;"'!s9")," ")</f>
        <v xml:space="preserve"> </v>
      </c>
      <c r="AD124" s="7" t="str" cm="1">
        <f t="array" aca="1" ref="AD124" ca="1">IFERROR(INDIRECT("'"&amp;$A124&amp;"'!F6")," ")</f>
        <v xml:space="preserve"> </v>
      </c>
      <c r="AE124" s="118" t="str" cm="1">
        <f t="array" aca="1" ref="AE124" ca="1">IFERROR(INDIRECT("'"&amp;$A124&amp;"'!L4")," ")</f>
        <v xml:space="preserve"> </v>
      </c>
    </row>
    <row r="125" spans="2:31" ht="15" customHeight="1" x14ac:dyDescent="0.3">
      <c r="B125" s="8" t="str" cm="1">
        <f t="array" aca="1" ref="B125" ca="1">IFERROR(INDIRECT("'"&amp;$A125&amp;"'!A2"),"")</f>
        <v/>
      </c>
      <c r="C125" s="8" t="str" cm="1">
        <f t="array" aca="1" ref="C125" ca="1">IFERROR(INDIRECT("'"&amp;$A125&amp;"'!B5"),"")</f>
        <v/>
      </c>
      <c r="D125" s="9" t="str" cm="1">
        <f t="array" aca="1" ref="D125" ca="1">IFERROR(INDIRECT("'"&amp;$A125&amp;"'!B4"),"")</f>
        <v/>
      </c>
      <c r="E125" s="9" t="str" cm="1">
        <f t="array" aca="1" ref="E125" ca="1">IFERROR(INDIRECT("'"&amp;$A125&amp;"'!B7")," ")</f>
        <v xml:space="preserve"> </v>
      </c>
      <c r="F125" s="122" t="str" cm="1">
        <f t="array" aca="1" ref="F125" ca="1">IFERROR(INDIRECT("'"&amp;$A125&amp;"'!D9")," ")</f>
        <v xml:space="preserve"> </v>
      </c>
      <c r="G125" s="52" t="str" cm="1">
        <f t="array" aca="1" ref="G125" ca="1">IFERROR(INDIRECT("'"&amp;$A125&amp;"'!B9")," ")</f>
        <v xml:space="preserve"> </v>
      </c>
      <c r="H125" s="144" t="str" cm="1">
        <f t="array" aca="1" ref="H125" ca="1">IFERROR(INDIRECT("'"&amp;$A125&amp;"'!D4")," ")</f>
        <v xml:space="preserve"> </v>
      </c>
      <c r="I125" s="5" t="str" cm="1">
        <f t="array" aca="1" ref="I125" ca="1">IFERROR(INDIRECT("'"&amp;$A125&amp;"'!D7")," ")</f>
        <v xml:space="preserve"> </v>
      </c>
      <c r="J125" s="5" t="str" cm="1">
        <f t="array" aca="1" ref="J125" ca="1">IFERROR(INDIRECT("'"&amp;$A125&amp;"'!D8")," ")</f>
        <v xml:space="preserve"> </v>
      </c>
      <c r="K125" s="5" t="str" cm="1">
        <f t="array" aca="1" ref="K125" ca="1">IFERROR(INDIRECT("'"&amp;$A125&amp;"'!D5")," ")</f>
        <v xml:space="preserve"> </v>
      </c>
      <c r="L125" s="54" t="str" cm="1">
        <f t="array" aca="1" ref="L125" ca="1">IFERROR(INDIRECT("'"&amp;$A125&amp;"'!Q10")," ")</f>
        <v xml:space="preserve"> </v>
      </c>
      <c r="M125" s="43" t="str" cm="1">
        <f t="array" aca="1" ref="M125" ca="1">IFERROR(INDIRECT("'"&amp;$A125&amp;"'!Q5")," ")</f>
        <v xml:space="preserve"> </v>
      </c>
      <c r="N125" s="43" t="str" cm="1">
        <f t="array" aca="1" ref="N125" ca="1">IFERROR(INDIRECT("'"&amp;$A125&amp;"'!Q6")," ")</f>
        <v xml:space="preserve"> </v>
      </c>
      <c r="O125" s="43" t="str" cm="1">
        <f t="array" aca="1" ref="O125" ca="1">IFERROR(INDIRECT("'"&amp;$A125&amp;"'!Q7")," ")</f>
        <v xml:space="preserve"> </v>
      </c>
      <c r="P125" s="43" t="str" cm="1">
        <f t="array" aca="1" ref="P125" ca="1">IFERROR(INDIRECT("'"&amp;$A125&amp;"'!S5")," ")</f>
        <v xml:space="preserve"> </v>
      </c>
      <c r="Q125" s="43" t="str" cm="1">
        <f t="array" aca="1" ref="Q125" ca="1">IFERROR(INDIRECT("'"&amp;$A125&amp;"'!S6")," ")</f>
        <v xml:space="preserve"> </v>
      </c>
      <c r="R125" s="43" t="str" cm="1">
        <f t="array" aca="1" ref="R125" ca="1">IFERROR(INDIRECT("'"&amp;$A125&amp;"'!S7")," ")</f>
        <v xml:space="preserve"> </v>
      </c>
      <c r="S125" s="43" t="str" cm="1">
        <f t="array" aca="1" ref="S125" ca="1">IFERROR(INDIRECT("'"&amp;$A125&amp;"'!S8")," ")</f>
        <v xml:space="preserve"> </v>
      </c>
      <c r="T125" s="43" t="str" cm="1">
        <f t="array" aca="1" ref="T125" ca="1">IFERROR(INDIRECT("'"&amp;$A125&amp;"'!S9")," ")</f>
        <v xml:space="preserve"> </v>
      </c>
      <c r="U125" s="43" t="str" cm="1">
        <f t="array" aca="1" ref="U125" ca="1">IFERROR(INDIRECT("'"&amp;$A125&amp;"'!S10")," ")</f>
        <v xml:space="preserve"> </v>
      </c>
      <c r="V125" s="43" t="str" cm="1">
        <f t="array" aca="1" ref="V125" ca="1">IFERROR(INDIRECT("'"&amp;$A125&amp;"'!S11")," ")</f>
        <v xml:space="preserve"> </v>
      </c>
      <c r="W125" s="43" t="str" cm="1">
        <f t="array" aca="1" ref="W125" ca="1">IFERROR(INDIRECT("'"&amp;$A125&amp;"'!W5")," ")</f>
        <v xml:space="preserve"> </v>
      </c>
      <c r="X125" s="43" t="str" cm="1">
        <f t="array" aca="1" ref="X125" ca="1">IFERROR(INDIRECT("'"&amp;$A125&amp;"'!s8")," ")</f>
        <v xml:space="preserve"> </v>
      </c>
      <c r="Y125" s="43" t="str" cm="1">
        <f t="array" aca="1" ref="Y125" ca="1">IFERROR(INDIRECT("'"&amp;$A125&amp;"'!U5")," ")</f>
        <v xml:space="preserve"> </v>
      </c>
      <c r="Z125" s="43" t="str" cm="1">
        <f t="array" aca="1" ref="Z125" ca="1">IFERROR(INDIRECT("'"&amp;$A125&amp;"'!U6")," ")</f>
        <v xml:space="preserve"> </v>
      </c>
      <c r="AA125" s="43" t="str" cm="1">
        <f t="array" aca="1" ref="AA125" ca="1">IFERROR(INDIRECT("'"&amp;$A125&amp;"'!U7")," ")</f>
        <v xml:space="preserve"> </v>
      </c>
      <c r="AB125" s="43" t="str" cm="1">
        <f t="array" aca="1" ref="AB125" ca="1">IFERROR(INDIRECT("'"&amp;$A125&amp;"'!U8")," ")</f>
        <v xml:space="preserve"> </v>
      </c>
      <c r="AC125" s="43" t="str" cm="1">
        <f t="array" aca="1" ref="AC125" ca="1">IFERROR(INDIRECT("'"&amp;$A125&amp;"'!s9")," ")</f>
        <v xml:space="preserve"> </v>
      </c>
      <c r="AD125" s="7" t="str" cm="1">
        <f t="array" aca="1" ref="AD125" ca="1">IFERROR(INDIRECT("'"&amp;$A125&amp;"'!F6")," ")</f>
        <v xml:space="preserve"> </v>
      </c>
      <c r="AE125" s="118" t="str" cm="1">
        <f t="array" aca="1" ref="AE125" ca="1">IFERROR(INDIRECT("'"&amp;$A125&amp;"'!L4")," ")</f>
        <v xml:space="preserve"> </v>
      </c>
    </row>
    <row r="126" spans="2:31" ht="15" customHeight="1" x14ac:dyDescent="0.3">
      <c r="B126" s="8" t="str" cm="1">
        <f t="array" aca="1" ref="B126" ca="1">IFERROR(INDIRECT("'"&amp;$A126&amp;"'!A2"),"")</f>
        <v/>
      </c>
      <c r="C126" s="8" t="str" cm="1">
        <f t="array" aca="1" ref="C126" ca="1">IFERROR(INDIRECT("'"&amp;$A126&amp;"'!B5"),"")</f>
        <v/>
      </c>
      <c r="D126" s="9" t="str" cm="1">
        <f t="array" aca="1" ref="D126" ca="1">IFERROR(INDIRECT("'"&amp;$A126&amp;"'!B4"),"")</f>
        <v/>
      </c>
      <c r="E126" s="9" t="str" cm="1">
        <f t="array" aca="1" ref="E126" ca="1">IFERROR(INDIRECT("'"&amp;$A126&amp;"'!B7")," ")</f>
        <v xml:space="preserve"> </v>
      </c>
      <c r="F126" s="122" t="str" cm="1">
        <f t="array" aca="1" ref="F126" ca="1">IFERROR(INDIRECT("'"&amp;$A126&amp;"'!D9")," ")</f>
        <v xml:space="preserve"> </v>
      </c>
      <c r="G126" s="52" t="str" cm="1">
        <f t="array" aca="1" ref="G126" ca="1">IFERROR(INDIRECT("'"&amp;$A126&amp;"'!B9")," ")</f>
        <v xml:space="preserve"> </v>
      </c>
      <c r="H126" s="144" t="str" cm="1">
        <f t="array" aca="1" ref="H126" ca="1">IFERROR(INDIRECT("'"&amp;$A126&amp;"'!D4")," ")</f>
        <v xml:space="preserve"> </v>
      </c>
      <c r="I126" s="5" t="str" cm="1">
        <f t="array" aca="1" ref="I126" ca="1">IFERROR(INDIRECT("'"&amp;$A126&amp;"'!D7")," ")</f>
        <v xml:space="preserve"> </v>
      </c>
      <c r="J126" s="5" t="str" cm="1">
        <f t="array" aca="1" ref="J126" ca="1">IFERROR(INDIRECT("'"&amp;$A126&amp;"'!D8")," ")</f>
        <v xml:space="preserve"> </v>
      </c>
      <c r="K126" s="5" t="str" cm="1">
        <f t="array" aca="1" ref="K126" ca="1">IFERROR(INDIRECT("'"&amp;$A126&amp;"'!D5")," ")</f>
        <v xml:space="preserve"> </v>
      </c>
      <c r="L126" s="54" t="str" cm="1">
        <f t="array" aca="1" ref="L126" ca="1">IFERROR(INDIRECT("'"&amp;$A126&amp;"'!Q10")," ")</f>
        <v xml:space="preserve"> </v>
      </c>
      <c r="M126" s="43" t="str" cm="1">
        <f t="array" aca="1" ref="M126" ca="1">IFERROR(INDIRECT("'"&amp;$A126&amp;"'!Q5")," ")</f>
        <v xml:space="preserve"> </v>
      </c>
      <c r="N126" s="43" t="str" cm="1">
        <f t="array" aca="1" ref="N126" ca="1">IFERROR(INDIRECT("'"&amp;$A126&amp;"'!Q6")," ")</f>
        <v xml:space="preserve"> </v>
      </c>
      <c r="O126" s="43" t="str" cm="1">
        <f t="array" aca="1" ref="O126" ca="1">IFERROR(INDIRECT("'"&amp;$A126&amp;"'!Q7")," ")</f>
        <v xml:space="preserve"> </v>
      </c>
      <c r="P126" s="43" t="str" cm="1">
        <f t="array" aca="1" ref="P126" ca="1">IFERROR(INDIRECT("'"&amp;$A126&amp;"'!S5")," ")</f>
        <v xml:space="preserve"> </v>
      </c>
      <c r="Q126" s="43" t="str" cm="1">
        <f t="array" aca="1" ref="Q126" ca="1">IFERROR(INDIRECT("'"&amp;$A126&amp;"'!S6")," ")</f>
        <v xml:space="preserve"> </v>
      </c>
      <c r="R126" s="43" t="str" cm="1">
        <f t="array" aca="1" ref="R126" ca="1">IFERROR(INDIRECT("'"&amp;$A126&amp;"'!S7")," ")</f>
        <v xml:space="preserve"> </v>
      </c>
      <c r="S126" s="43" t="str" cm="1">
        <f t="array" aca="1" ref="S126" ca="1">IFERROR(INDIRECT("'"&amp;$A126&amp;"'!S8")," ")</f>
        <v xml:space="preserve"> </v>
      </c>
      <c r="T126" s="43" t="str" cm="1">
        <f t="array" aca="1" ref="T126" ca="1">IFERROR(INDIRECT("'"&amp;$A126&amp;"'!S9")," ")</f>
        <v xml:space="preserve"> </v>
      </c>
      <c r="U126" s="43" t="str" cm="1">
        <f t="array" aca="1" ref="U126" ca="1">IFERROR(INDIRECT("'"&amp;$A126&amp;"'!S10")," ")</f>
        <v xml:space="preserve"> </v>
      </c>
      <c r="V126" s="43" t="str" cm="1">
        <f t="array" aca="1" ref="V126" ca="1">IFERROR(INDIRECT("'"&amp;$A126&amp;"'!S11")," ")</f>
        <v xml:space="preserve"> </v>
      </c>
      <c r="W126" s="43" t="str" cm="1">
        <f t="array" aca="1" ref="W126" ca="1">IFERROR(INDIRECT("'"&amp;$A126&amp;"'!W5")," ")</f>
        <v xml:space="preserve"> </v>
      </c>
      <c r="X126" s="43" t="str" cm="1">
        <f t="array" aca="1" ref="X126" ca="1">IFERROR(INDIRECT("'"&amp;$A126&amp;"'!s8")," ")</f>
        <v xml:space="preserve"> </v>
      </c>
      <c r="Y126" s="43" t="str" cm="1">
        <f t="array" aca="1" ref="Y126" ca="1">IFERROR(INDIRECT("'"&amp;$A126&amp;"'!U5")," ")</f>
        <v xml:space="preserve"> </v>
      </c>
      <c r="Z126" s="43" t="str" cm="1">
        <f t="array" aca="1" ref="Z126" ca="1">IFERROR(INDIRECT("'"&amp;$A126&amp;"'!U6")," ")</f>
        <v xml:space="preserve"> </v>
      </c>
      <c r="AA126" s="43" t="str" cm="1">
        <f t="array" aca="1" ref="AA126" ca="1">IFERROR(INDIRECT("'"&amp;$A126&amp;"'!U7")," ")</f>
        <v xml:space="preserve"> </v>
      </c>
      <c r="AB126" s="43" t="str" cm="1">
        <f t="array" aca="1" ref="AB126" ca="1">IFERROR(INDIRECT("'"&amp;$A126&amp;"'!U8")," ")</f>
        <v xml:space="preserve"> </v>
      </c>
      <c r="AC126" s="43" t="str" cm="1">
        <f t="array" aca="1" ref="AC126" ca="1">IFERROR(INDIRECT("'"&amp;$A126&amp;"'!s9")," ")</f>
        <v xml:space="preserve"> </v>
      </c>
      <c r="AD126" s="7" t="str" cm="1">
        <f t="array" aca="1" ref="AD126" ca="1">IFERROR(INDIRECT("'"&amp;$A126&amp;"'!F6")," ")</f>
        <v xml:space="preserve"> </v>
      </c>
      <c r="AE126" s="118" t="str" cm="1">
        <f t="array" aca="1" ref="AE126" ca="1">IFERROR(INDIRECT("'"&amp;$A126&amp;"'!L4")," ")</f>
        <v xml:space="preserve"> </v>
      </c>
    </row>
    <row r="127" spans="2:31" ht="15" customHeight="1" x14ac:dyDescent="0.3">
      <c r="B127" s="8" t="str" cm="1">
        <f t="array" aca="1" ref="B127" ca="1">IFERROR(INDIRECT("'"&amp;$A127&amp;"'!A2"),"")</f>
        <v/>
      </c>
      <c r="C127" s="8" t="str" cm="1">
        <f t="array" aca="1" ref="C127" ca="1">IFERROR(INDIRECT("'"&amp;$A127&amp;"'!B5"),"")</f>
        <v/>
      </c>
      <c r="D127" s="9" t="str" cm="1">
        <f t="array" aca="1" ref="D127" ca="1">IFERROR(INDIRECT("'"&amp;$A127&amp;"'!B4"),"")</f>
        <v/>
      </c>
      <c r="E127" s="9" t="str" cm="1">
        <f t="array" aca="1" ref="E127" ca="1">IFERROR(INDIRECT("'"&amp;$A127&amp;"'!B7")," ")</f>
        <v xml:space="preserve"> </v>
      </c>
      <c r="F127" s="122" t="str" cm="1">
        <f t="array" aca="1" ref="F127" ca="1">IFERROR(INDIRECT("'"&amp;$A127&amp;"'!D9")," ")</f>
        <v xml:space="preserve"> </v>
      </c>
      <c r="G127" s="52" t="str" cm="1">
        <f t="array" aca="1" ref="G127" ca="1">IFERROR(INDIRECT("'"&amp;$A127&amp;"'!B9")," ")</f>
        <v xml:space="preserve"> </v>
      </c>
      <c r="H127" s="144" t="str" cm="1">
        <f t="array" aca="1" ref="H127" ca="1">IFERROR(INDIRECT("'"&amp;$A127&amp;"'!D4")," ")</f>
        <v xml:space="preserve"> </v>
      </c>
      <c r="I127" s="5" t="str" cm="1">
        <f t="array" aca="1" ref="I127" ca="1">IFERROR(INDIRECT("'"&amp;$A127&amp;"'!D7")," ")</f>
        <v xml:space="preserve"> </v>
      </c>
      <c r="J127" s="5" t="str" cm="1">
        <f t="array" aca="1" ref="J127" ca="1">IFERROR(INDIRECT("'"&amp;$A127&amp;"'!D8")," ")</f>
        <v xml:space="preserve"> </v>
      </c>
      <c r="K127" s="5" t="str" cm="1">
        <f t="array" aca="1" ref="K127" ca="1">IFERROR(INDIRECT("'"&amp;$A127&amp;"'!D5")," ")</f>
        <v xml:space="preserve"> </v>
      </c>
      <c r="L127" s="54" t="str" cm="1">
        <f t="array" aca="1" ref="L127" ca="1">IFERROR(INDIRECT("'"&amp;$A127&amp;"'!Q10")," ")</f>
        <v xml:space="preserve"> </v>
      </c>
      <c r="M127" s="43" t="str" cm="1">
        <f t="array" aca="1" ref="M127" ca="1">IFERROR(INDIRECT("'"&amp;$A127&amp;"'!Q5")," ")</f>
        <v xml:space="preserve"> </v>
      </c>
      <c r="N127" s="43" t="str" cm="1">
        <f t="array" aca="1" ref="N127" ca="1">IFERROR(INDIRECT("'"&amp;$A127&amp;"'!Q6")," ")</f>
        <v xml:space="preserve"> </v>
      </c>
      <c r="O127" s="43" t="str" cm="1">
        <f t="array" aca="1" ref="O127" ca="1">IFERROR(INDIRECT("'"&amp;$A127&amp;"'!Q7")," ")</f>
        <v xml:space="preserve"> </v>
      </c>
      <c r="P127" s="43" t="str" cm="1">
        <f t="array" aca="1" ref="P127" ca="1">IFERROR(INDIRECT("'"&amp;$A127&amp;"'!S5")," ")</f>
        <v xml:space="preserve"> </v>
      </c>
      <c r="Q127" s="43" t="str" cm="1">
        <f t="array" aca="1" ref="Q127" ca="1">IFERROR(INDIRECT("'"&amp;$A127&amp;"'!S6")," ")</f>
        <v xml:space="preserve"> </v>
      </c>
      <c r="R127" s="43" t="str" cm="1">
        <f t="array" aca="1" ref="R127" ca="1">IFERROR(INDIRECT("'"&amp;$A127&amp;"'!S7")," ")</f>
        <v xml:space="preserve"> </v>
      </c>
      <c r="S127" s="43" t="str" cm="1">
        <f t="array" aca="1" ref="S127" ca="1">IFERROR(INDIRECT("'"&amp;$A127&amp;"'!S8")," ")</f>
        <v xml:space="preserve"> </v>
      </c>
      <c r="T127" s="43" t="str" cm="1">
        <f t="array" aca="1" ref="T127" ca="1">IFERROR(INDIRECT("'"&amp;$A127&amp;"'!S9")," ")</f>
        <v xml:space="preserve"> </v>
      </c>
      <c r="U127" s="43" t="str" cm="1">
        <f t="array" aca="1" ref="U127" ca="1">IFERROR(INDIRECT("'"&amp;$A127&amp;"'!S10")," ")</f>
        <v xml:space="preserve"> </v>
      </c>
      <c r="V127" s="43" t="str" cm="1">
        <f t="array" aca="1" ref="V127" ca="1">IFERROR(INDIRECT("'"&amp;$A127&amp;"'!S11")," ")</f>
        <v xml:space="preserve"> </v>
      </c>
      <c r="W127" s="43" t="str" cm="1">
        <f t="array" aca="1" ref="W127" ca="1">IFERROR(INDIRECT("'"&amp;$A127&amp;"'!W5")," ")</f>
        <v xml:space="preserve"> </v>
      </c>
      <c r="X127" s="43" t="str" cm="1">
        <f t="array" aca="1" ref="X127" ca="1">IFERROR(INDIRECT("'"&amp;$A127&amp;"'!s8")," ")</f>
        <v xml:space="preserve"> </v>
      </c>
      <c r="Y127" s="43" t="str" cm="1">
        <f t="array" aca="1" ref="Y127" ca="1">IFERROR(INDIRECT("'"&amp;$A127&amp;"'!U5")," ")</f>
        <v xml:space="preserve"> </v>
      </c>
      <c r="Z127" s="43" t="str" cm="1">
        <f t="array" aca="1" ref="Z127" ca="1">IFERROR(INDIRECT("'"&amp;$A127&amp;"'!U6")," ")</f>
        <v xml:space="preserve"> </v>
      </c>
      <c r="AA127" s="43" t="str" cm="1">
        <f t="array" aca="1" ref="AA127" ca="1">IFERROR(INDIRECT("'"&amp;$A127&amp;"'!U7")," ")</f>
        <v xml:space="preserve"> </v>
      </c>
      <c r="AB127" s="43" t="str" cm="1">
        <f t="array" aca="1" ref="AB127" ca="1">IFERROR(INDIRECT("'"&amp;$A127&amp;"'!U8")," ")</f>
        <v xml:space="preserve"> </v>
      </c>
      <c r="AC127" s="43" t="str" cm="1">
        <f t="array" aca="1" ref="AC127" ca="1">IFERROR(INDIRECT("'"&amp;$A127&amp;"'!s9")," ")</f>
        <v xml:space="preserve"> </v>
      </c>
      <c r="AD127" s="7" t="str" cm="1">
        <f t="array" aca="1" ref="AD127" ca="1">IFERROR(INDIRECT("'"&amp;$A127&amp;"'!F6")," ")</f>
        <v xml:space="preserve"> </v>
      </c>
      <c r="AE127" s="118" t="str" cm="1">
        <f t="array" aca="1" ref="AE127" ca="1">IFERROR(INDIRECT("'"&amp;$A127&amp;"'!L4")," ")</f>
        <v xml:space="preserve"> </v>
      </c>
    </row>
    <row r="128" spans="2:31" ht="15" customHeight="1" x14ac:dyDescent="0.3">
      <c r="B128" s="8" t="str" cm="1">
        <f t="array" aca="1" ref="B128" ca="1">IFERROR(INDIRECT("'"&amp;$A128&amp;"'!A2"),"")</f>
        <v/>
      </c>
      <c r="C128" s="8" t="str" cm="1">
        <f t="array" aca="1" ref="C128" ca="1">IFERROR(INDIRECT("'"&amp;$A128&amp;"'!B5"),"")</f>
        <v/>
      </c>
      <c r="D128" s="9" t="str" cm="1">
        <f t="array" aca="1" ref="D128" ca="1">IFERROR(INDIRECT("'"&amp;$A128&amp;"'!B4"),"")</f>
        <v/>
      </c>
      <c r="E128" s="9" t="str" cm="1">
        <f t="array" aca="1" ref="E128" ca="1">IFERROR(INDIRECT("'"&amp;$A128&amp;"'!B7")," ")</f>
        <v xml:space="preserve"> </v>
      </c>
      <c r="F128" s="122" t="str" cm="1">
        <f t="array" aca="1" ref="F128" ca="1">IFERROR(INDIRECT("'"&amp;$A128&amp;"'!D9")," ")</f>
        <v xml:space="preserve"> </v>
      </c>
      <c r="G128" s="52" t="str" cm="1">
        <f t="array" aca="1" ref="G128" ca="1">IFERROR(INDIRECT("'"&amp;$A128&amp;"'!B9")," ")</f>
        <v xml:space="preserve"> </v>
      </c>
      <c r="H128" s="144" t="str" cm="1">
        <f t="array" aca="1" ref="H128" ca="1">IFERROR(INDIRECT("'"&amp;$A128&amp;"'!D4")," ")</f>
        <v xml:space="preserve"> </v>
      </c>
      <c r="I128" s="5" t="str" cm="1">
        <f t="array" aca="1" ref="I128" ca="1">IFERROR(INDIRECT("'"&amp;$A128&amp;"'!D7")," ")</f>
        <v xml:space="preserve"> </v>
      </c>
      <c r="J128" s="5" t="str" cm="1">
        <f t="array" aca="1" ref="J128" ca="1">IFERROR(INDIRECT("'"&amp;$A128&amp;"'!D8")," ")</f>
        <v xml:space="preserve"> </v>
      </c>
      <c r="K128" s="5" t="str" cm="1">
        <f t="array" aca="1" ref="K128" ca="1">IFERROR(INDIRECT("'"&amp;$A128&amp;"'!D5")," ")</f>
        <v xml:space="preserve"> </v>
      </c>
      <c r="L128" s="54" t="str" cm="1">
        <f t="array" aca="1" ref="L128" ca="1">IFERROR(INDIRECT("'"&amp;$A128&amp;"'!Q10")," ")</f>
        <v xml:space="preserve"> </v>
      </c>
      <c r="M128" s="43" t="str" cm="1">
        <f t="array" aca="1" ref="M128" ca="1">IFERROR(INDIRECT("'"&amp;$A128&amp;"'!Q5")," ")</f>
        <v xml:space="preserve"> </v>
      </c>
      <c r="N128" s="43" t="str" cm="1">
        <f t="array" aca="1" ref="N128" ca="1">IFERROR(INDIRECT("'"&amp;$A128&amp;"'!Q6")," ")</f>
        <v xml:space="preserve"> </v>
      </c>
      <c r="O128" s="43" t="str" cm="1">
        <f t="array" aca="1" ref="O128" ca="1">IFERROR(INDIRECT("'"&amp;$A128&amp;"'!Q7")," ")</f>
        <v xml:space="preserve"> </v>
      </c>
      <c r="P128" s="43" t="str" cm="1">
        <f t="array" aca="1" ref="P128" ca="1">IFERROR(INDIRECT("'"&amp;$A128&amp;"'!S5")," ")</f>
        <v xml:space="preserve"> </v>
      </c>
      <c r="Q128" s="43" t="str" cm="1">
        <f t="array" aca="1" ref="Q128" ca="1">IFERROR(INDIRECT("'"&amp;$A128&amp;"'!S6")," ")</f>
        <v xml:space="preserve"> </v>
      </c>
      <c r="R128" s="43" t="str" cm="1">
        <f t="array" aca="1" ref="R128" ca="1">IFERROR(INDIRECT("'"&amp;$A128&amp;"'!S7")," ")</f>
        <v xml:space="preserve"> </v>
      </c>
      <c r="S128" s="43" t="str" cm="1">
        <f t="array" aca="1" ref="S128" ca="1">IFERROR(INDIRECT("'"&amp;$A128&amp;"'!S8")," ")</f>
        <v xml:space="preserve"> </v>
      </c>
      <c r="T128" s="43" t="str" cm="1">
        <f t="array" aca="1" ref="T128" ca="1">IFERROR(INDIRECT("'"&amp;$A128&amp;"'!S9")," ")</f>
        <v xml:space="preserve"> </v>
      </c>
      <c r="U128" s="43" t="str" cm="1">
        <f t="array" aca="1" ref="U128" ca="1">IFERROR(INDIRECT("'"&amp;$A128&amp;"'!S10")," ")</f>
        <v xml:space="preserve"> </v>
      </c>
      <c r="V128" s="43" t="str" cm="1">
        <f t="array" aca="1" ref="V128" ca="1">IFERROR(INDIRECT("'"&amp;$A128&amp;"'!S11")," ")</f>
        <v xml:space="preserve"> </v>
      </c>
      <c r="W128" s="43" t="str" cm="1">
        <f t="array" aca="1" ref="W128" ca="1">IFERROR(INDIRECT("'"&amp;$A128&amp;"'!W5")," ")</f>
        <v xml:space="preserve"> </v>
      </c>
      <c r="X128" s="43" t="str" cm="1">
        <f t="array" aca="1" ref="X128" ca="1">IFERROR(INDIRECT("'"&amp;$A128&amp;"'!s8")," ")</f>
        <v xml:space="preserve"> </v>
      </c>
      <c r="Y128" s="43" t="str" cm="1">
        <f t="array" aca="1" ref="Y128" ca="1">IFERROR(INDIRECT("'"&amp;$A128&amp;"'!U5")," ")</f>
        <v xml:space="preserve"> </v>
      </c>
      <c r="Z128" s="43" t="str" cm="1">
        <f t="array" aca="1" ref="Z128" ca="1">IFERROR(INDIRECT("'"&amp;$A128&amp;"'!U6")," ")</f>
        <v xml:space="preserve"> </v>
      </c>
      <c r="AA128" s="43" t="str" cm="1">
        <f t="array" aca="1" ref="AA128" ca="1">IFERROR(INDIRECT("'"&amp;$A128&amp;"'!U7")," ")</f>
        <v xml:space="preserve"> </v>
      </c>
      <c r="AB128" s="43" t="str" cm="1">
        <f t="array" aca="1" ref="AB128" ca="1">IFERROR(INDIRECT("'"&amp;$A128&amp;"'!U8")," ")</f>
        <v xml:space="preserve"> </v>
      </c>
      <c r="AC128" s="43" t="str" cm="1">
        <f t="array" aca="1" ref="AC128" ca="1">IFERROR(INDIRECT("'"&amp;$A128&amp;"'!s9")," ")</f>
        <v xml:space="preserve"> </v>
      </c>
      <c r="AD128" s="7" t="str" cm="1">
        <f t="array" aca="1" ref="AD128" ca="1">IFERROR(INDIRECT("'"&amp;$A128&amp;"'!F6")," ")</f>
        <v xml:space="preserve"> </v>
      </c>
      <c r="AE128" s="118" t="str" cm="1">
        <f t="array" aca="1" ref="AE128" ca="1">IFERROR(INDIRECT("'"&amp;$A128&amp;"'!L4")," ")</f>
        <v xml:space="preserve"> </v>
      </c>
    </row>
    <row r="129" spans="1:31" ht="15" customHeight="1" x14ac:dyDescent="0.3">
      <c r="B129" s="8" t="str" cm="1">
        <f t="array" aca="1" ref="B129" ca="1">IFERROR(INDIRECT("'"&amp;$A129&amp;"'!A2"),"")</f>
        <v/>
      </c>
      <c r="C129" s="8" t="str" cm="1">
        <f t="array" aca="1" ref="C129" ca="1">IFERROR(INDIRECT("'"&amp;$A129&amp;"'!B5"),"")</f>
        <v/>
      </c>
      <c r="D129" s="9" t="str" cm="1">
        <f t="array" aca="1" ref="D129" ca="1">IFERROR(INDIRECT("'"&amp;$A129&amp;"'!B4"),"")</f>
        <v/>
      </c>
      <c r="E129" s="9" t="str" cm="1">
        <f t="array" aca="1" ref="E129" ca="1">IFERROR(INDIRECT("'"&amp;$A129&amp;"'!B7")," ")</f>
        <v xml:space="preserve"> </v>
      </c>
      <c r="F129" s="122" t="str" cm="1">
        <f t="array" aca="1" ref="F129" ca="1">IFERROR(INDIRECT("'"&amp;$A129&amp;"'!D9")," ")</f>
        <v xml:space="preserve"> </v>
      </c>
      <c r="G129" s="52" t="str" cm="1">
        <f t="array" aca="1" ref="G129" ca="1">IFERROR(INDIRECT("'"&amp;$A129&amp;"'!B9")," ")</f>
        <v xml:space="preserve"> </v>
      </c>
      <c r="H129" s="144" t="str" cm="1">
        <f t="array" aca="1" ref="H129" ca="1">IFERROR(INDIRECT("'"&amp;$A129&amp;"'!D4")," ")</f>
        <v xml:space="preserve"> </v>
      </c>
      <c r="I129" s="5" t="str" cm="1">
        <f t="array" aca="1" ref="I129" ca="1">IFERROR(INDIRECT("'"&amp;$A129&amp;"'!D7")," ")</f>
        <v xml:space="preserve"> </v>
      </c>
      <c r="J129" s="5" t="str" cm="1">
        <f t="array" aca="1" ref="J129" ca="1">IFERROR(INDIRECT("'"&amp;$A129&amp;"'!D8")," ")</f>
        <v xml:space="preserve"> </v>
      </c>
      <c r="K129" s="5" t="str" cm="1">
        <f t="array" aca="1" ref="K129" ca="1">IFERROR(INDIRECT("'"&amp;$A129&amp;"'!D5")," ")</f>
        <v xml:space="preserve"> </v>
      </c>
      <c r="L129" s="54" t="str" cm="1">
        <f t="array" aca="1" ref="L129" ca="1">IFERROR(INDIRECT("'"&amp;$A129&amp;"'!Q10")," ")</f>
        <v xml:space="preserve"> </v>
      </c>
      <c r="M129" s="43" t="str" cm="1">
        <f t="array" aca="1" ref="M129" ca="1">IFERROR(INDIRECT("'"&amp;$A129&amp;"'!Q5")," ")</f>
        <v xml:space="preserve"> </v>
      </c>
      <c r="N129" s="43" t="str" cm="1">
        <f t="array" aca="1" ref="N129" ca="1">IFERROR(INDIRECT("'"&amp;$A129&amp;"'!Q6")," ")</f>
        <v xml:space="preserve"> </v>
      </c>
      <c r="O129" s="43" t="str" cm="1">
        <f t="array" aca="1" ref="O129" ca="1">IFERROR(INDIRECT("'"&amp;$A129&amp;"'!Q7")," ")</f>
        <v xml:space="preserve"> </v>
      </c>
      <c r="P129" s="43" t="str" cm="1">
        <f t="array" aca="1" ref="P129" ca="1">IFERROR(INDIRECT("'"&amp;$A129&amp;"'!S5")," ")</f>
        <v xml:space="preserve"> </v>
      </c>
      <c r="Q129" s="43" t="str" cm="1">
        <f t="array" aca="1" ref="Q129" ca="1">IFERROR(INDIRECT("'"&amp;$A129&amp;"'!S6")," ")</f>
        <v xml:space="preserve"> </v>
      </c>
      <c r="R129" s="43" t="str" cm="1">
        <f t="array" aca="1" ref="R129" ca="1">IFERROR(INDIRECT("'"&amp;$A129&amp;"'!S7")," ")</f>
        <v xml:space="preserve"> </v>
      </c>
      <c r="S129" s="43" t="str" cm="1">
        <f t="array" aca="1" ref="S129" ca="1">IFERROR(INDIRECT("'"&amp;$A129&amp;"'!S8")," ")</f>
        <v xml:space="preserve"> </v>
      </c>
      <c r="T129" s="43" t="str" cm="1">
        <f t="array" aca="1" ref="T129" ca="1">IFERROR(INDIRECT("'"&amp;$A129&amp;"'!S9")," ")</f>
        <v xml:space="preserve"> </v>
      </c>
      <c r="U129" s="43" t="str" cm="1">
        <f t="array" aca="1" ref="U129" ca="1">IFERROR(INDIRECT("'"&amp;$A129&amp;"'!S10")," ")</f>
        <v xml:space="preserve"> </v>
      </c>
      <c r="V129" s="43" t="str" cm="1">
        <f t="array" aca="1" ref="V129" ca="1">IFERROR(INDIRECT("'"&amp;$A129&amp;"'!S11")," ")</f>
        <v xml:space="preserve"> </v>
      </c>
      <c r="W129" s="43" t="str" cm="1">
        <f t="array" aca="1" ref="W129" ca="1">IFERROR(INDIRECT("'"&amp;$A129&amp;"'!W5")," ")</f>
        <v xml:space="preserve"> </v>
      </c>
      <c r="X129" s="43" t="str" cm="1">
        <f t="array" aca="1" ref="X129" ca="1">IFERROR(INDIRECT("'"&amp;$A129&amp;"'!s8")," ")</f>
        <v xml:space="preserve"> </v>
      </c>
      <c r="Y129" s="43" t="str" cm="1">
        <f t="array" aca="1" ref="Y129" ca="1">IFERROR(INDIRECT("'"&amp;$A129&amp;"'!U5")," ")</f>
        <v xml:space="preserve"> </v>
      </c>
      <c r="Z129" s="43" t="str" cm="1">
        <f t="array" aca="1" ref="Z129" ca="1">IFERROR(INDIRECT("'"&amp;$A129&amp;"'!U6")," ")</f>
        <v xml:space="preserve"> </v>
      </c>
      <c r="AA129" s="43" t="str" cm="1">
        <f t="array" aca="1" ref="AA129" ca="1">IFERROR(INDIRECT("'"&amp;$A129&amp;"'!U7")," ")</f>
        <v xml:space="preserve"> </v>
      </c>
      <c r="AB129" s="43" t="str" cm="1">
        <f t="array" aca="1" ref="AB129" ca="1">IFERROR(INDIRECT("'"&amp;$A129&amp;"'!U8")," ")</f>
        <v xml:space="preserve"> </v>
      </c>
      <c r="AC129" s="43" t="str" cm="1">
        <f t="array" aca="1" ref="AC129" ca="1">IFERROR(INDIRECT("'"&amp;$A129&amp;"'!s9")," ")</f>
        <v xml:space="preserve"> </v>
      </c>
      <c r="AD129" s="7" t="str" cm="1">
        <f t="array" aca="1" ref="AD129" ca="1">IFERROR(INDIRECT("'"&amp;$A129&amp;"'!F6")," ")</f>
        <v xml:space="preserve"> </v>
      </c>
      <c r="AE129" s="118" t="str" cm="1">
        <f t="array" aca="1" ref="AE129" ca="1">IFERROR(INDIRECT("'"&amp;$A129&amp;"'!L4")," ")</f>
        <v xml:space="preserve"> </v>
      </c>
    </row>
    <row r="130" spans="1:31" ht="15" customHeight="1" x14ac:dyDescent="0.3">
      <c r="B130" s="8" t="str" cm="1">
        <f t="array" aca="1" ref="B130" ca="1">IFERROR(INDIRECT("'"&amp;$A130&amp;"'!A2"),"")</f>
        <v/>
      </c>
      <c r="C130" s="8" t="str" cm="1">
        <f t="array" aca="1" ref="C130" ca="1">IFERROR(INDIRECT("'"&amp;$A130&amp;"'!B5"),"")</f>
        <v/>
      </c>
      <c r="D130" s="9" t="str" cm="1">
        <f t="array" aca="1" ref="D130" ca="1">IFERROR(INDIRECT("'"&amp;$A130&amp;"'!B4"),"")</f>
        <v/>
      </c>
      <c r="E130" s="9" t="str" cm="1">
        <f t="array" aca="1" ref="E130" ca="1">IFERROR(INDIRECT("'"&amp;$A130&amp;"'!B7")," ")</f>
        <v xml:space="preserve"> </v>
      </c>
      <c r="F130" s="122" t="str" cm="1">
        <f t="array" aca="1" ref="F130" ca="1">IFERROR(INDIRECT("'"&amp;$A130&amp;"'!D9")," ")</f>
        <v xml:space="preserve"> </v>
      </c>
      <c r="G130" s="52" t="str" cm="1">
        <f t="array" aca="1" ref="G130" ca="1">IFERROR(INDIRECT("'"&amp;$A130&amp;"'!B9")," ")</f>
        <v xml:space="preserve"> </v>
      </c>
      <c r="H130" s="70" t="str" cm="1">
        <f t="array" aca="1" ref="H130" ca="1">IFERROR(INDIRECT("'"&amp;$A130&amp;"'!D4")," ")</f>
        <v xml:space="preserve"> </v>
      </c>
      <c r="I130" s="5" t="str" cm="1">
        <f t="array" aca="1" ref="I130" ca="1">IFERROR(INDIRECT("'"&amp;$A130&amp;"'!D7")," ")</f>
        <v xml:space="preserve"> </v>
      </c>
      <c r="J130" s="5" t="str" cm="1">
        <f t="array" aca="1" ref="J130" ca="1">IFERROR(INDIRECT("'"&amp;$A130&amp;"'!D8")," ")</f>
        <v xml:space="preserve"> </v>
      </c>
      <c r="K130" s="5" t="str" cm="1">
        <f t="array" aca="1" ref="K130" ca="1">IFERROR(INDIRECT("'"&amp;$A130&amp;"'!D5")," ")</f>
        <v xml:space="preserve"> </v>
      </c>
      <c r="L130" s="54" t="str" cm="1">
        <f t="array" aca="1" ref="L130" ca="1">IFERROR(INDIRECT("'"&amp;$A130&amp;"'!Q10")," ")</f>
        <v xml:space="preserve"> </v>
      </c>
      <c r="M130" s="43" t="str" cm="1">
        <f t="array" aca="1" ref="M130" ca="1">IFERROR(INDIRECT("'"&amp;$A130&amp;"'!Q5")," ")</f>
        <v xml:space="preserve"> </v>
      </c>
      <c r="N130" s="43" t="str" cm="1">
        <f t="array" aca="1" ref="N130" ca="1">IFERROR(INDIRECT("'"&amp;$A130&amp;"'!Q6")," ")</f>
        <v xml:space="preserve"> </v>
      </c>
      <c r="O130" s="43" t="str" cm="1">
        <f t="array" aca="1" ref="O130" ca="1">IFERROR(INDIRECT("'"&amp;$A130&amp;"'!Q7")," ")</f>
        <v xml:space="preserve"> </v>
      </c>
      <c r="P130" s="43" t="str" cm="1">
        <f t="array" aca="1" ref="P130" ca="1">IFERROR(INDIRECT("'"&amp;$A130&amp;"'!S5")," ")</f>
        <v xml:space="preserve"> </v>
      </c>
      <c r="Q130" s="43" t="str" cm="1">
        <f t="array" aca="1" ref="Q130" ca="1">IFERROR(INDIRECT("'"&amp;$A130&amp;"'!S6")," ")</f>
        <v xml:space="preserve"> </v>
      </c>
      <c r="R130" s="43" t="str" cm="1">
        <f t="array" aca="1" ref="R130" ca="1">IFERROR(INDIRECT("'"&amp;$A130&amp;"'!S7")," ")</f>
        <v xml:space="preserve"> </v>
      </c>
      <c r="S130" s="43" t="str" cm="1">
        <f t="array" aca="1" ref="S130" ca="1">IFERROR(INDIRECT("'"&amp;$A130&amp;"'!S8")," ")</f>
        <v xml:space="preserve"> </v>
      </c>
      <c r="T130" s="43" t="str" cm="1">
        <f t="array" aca="1" ref="T130" ca="1">IFERROR(INDIRECT("'"&amp;$A130&amp;"'!S9")," ")</f>
        <v xml:space="preserve"> </v>
      </c>
      <c r="U130" s="43" t="str" cm="1">
        <f t="array" aca="1" ref="U130" ca="1">IFERROR(INDIRECT("'"&amp;$A130&amp;"'!S10")," ")</f>
        <v xml:space="preserve"> </v>
      </c>
      <c r="V130" s="43" t="str" cm="1">
        <f t="array" aca="1" ref="V130" ca="1">IFERROR(INDIRECT("'"&amp;$A130&amp;"'!S11")," ")</f>
        <v xml:space="preserve"> </v>
      </c>
      <c r="W130" s="43" t="str" cm="1">
        <f t="array" aca="1" ref="W130" ca="1">IFERROR(INDIRECT("'"&amp;$A130&amp;"'!W5")," ")</f>
        <v xml:space="preserve"> </v>
      </c>
      <c r="X130" s="43" t="str" cm="1">
        <f t="array" aca="1" ref="X130" ca="1">IFERROR(INDIRECT("'"&amp;$A130&amp;"'!s8")," ")</f>
        <v xml:space="preserve"> </v>
      </c>
      <c r="Y130" s="43" t="str" cm="1">
        <f t="array" aca="1" ref="Y130" ca="1">IFERROR(INDIRECT("'"&amp;$A130&amp;"'!U5")," ")</f>
        <v xml:space="preserve"> </v>
      </c>
      <c r="Z130" s="43" t="str" cm="1">
        <f t="array" aca="1" ref="Z130" ca="1">IFERROR(INDIRECT("'"&amp;$A130&amp;"'!U6")," ")</f>
        <v xml:space="preserve"> </v>
      </c>
      <c r="AA130" s="43" t="str" cm="1">
        <f t="array" aca="1" ref="AA130" ca="1">IFERROR(INDIRECT("'"&amp;$A130&amp;"'!U7")," ")</f>
        <v xml:space="preserve"> </v>
      </c>
      <c r="AB130" s="43" t="str" cm="1">
        <f t="array" aca="1" ref="AB130" ca="1">IFERROR(INDIRECT("'"&amp;$A130&amp;"'!U8")," ")</f>
        <v xml:space="preserve"> </v>
      </c>
      <c r="AC130" s="43" t="str" cm="1">
        <f t="array" aca="1" ref="AC130" ca="1">IFERROR(INDIRECT("'"&amp;$A130&amp;"'!s9")," ")</f>
        <v xml:space="preserve"> </v>
      </c>
      <c r="AD130" s="7" t="str" cm="1">
        <f t="array" aca="1" ref="AD130" ca="1">IFERROR(INDIRECT("'"&amp;$A130&amp;"'!F6")," ")</f>
        <v xml:space="preserve"> </v>
      </c>
      <c r="AE130" s="118" t="str" cm="1">
        <f t="array" aca="1" ref="AE130" ca="1">IFERROR(INDIRECT("'"&amp;$A130&amp;"'!L4")," ")</f>
        <v xml:space="preserve"> </v>
      </c>
    </row>
    <row r="131" spans="1:31" ht="15" customHeight="1" x14ac:dyDescent="0.3">
      <c r="B131" s="8" t="str" cm="1">
        <f t="array" aca="1" ref="B131" ca="1">IFERROR(INDIRECT("'"&amp;$A131&amp;"'!A2"),"")</f>
        <v/>
      </c>
      <c r="C131" s="8" t="str" cm="1">
        <f t="array" aca="1" ref="C131" ca="1">IFERROR(INDIRECT("'"&amp;$A131&amp;"'!B5"),"")</f>
        <v/>
      </c>
      <c r="D131" s="9" t="str" cm="1">
        <f t="array" aca="1" ref="D131" ca="1">IFERROR(INDIRECT("'"&amp;$A131&amp;"'!B4"),"")</f>
        <v/>
      </c>
      <c r="E131" s="9" t="str" cm="1">
        <f t="array" aca="1" ref="E131" ca="1">IFERROR(INDIRECT("'"&amp;$A131&amp;"'!B7")," ")</f>
        <v xml:space="preserve"> </v>
      </c>
      <c r="F131" s="122" t="str" cm="1">
        <f t="array" aca="1" ref="F131" ca="1">IFERROR(INDIRECT("'"&amp;$A131&amp;"'!D9")," ")</f>
        <v xml:space="preserve"> </v>
      </c>
      <c r="G131" s="52" t="str" cm="1">
        <f t="array" aca="1" ref="G131" ca="1">IFERROR(INDIRECT("'"&amp;$A131&amp;"'!B9")," ")</f>
        <v xml:space="preserve"> </v>
      </c>
      <c r="H131" s="144" t="str" cm="1">
        <f t="array" aca="1" ref="H131" ca="1">IFERROR(INDIRECT("'"&amp;$A131&amp;"'!D4")," ")</f>
        <v xml:space="preserve"> </v>
      </c>
      <c r="I131" s="5" t="str" cm="1">
        <f t="array" aca="1" ref="I131" ca="1">IFERROR(INDIRECT("'"&amp;$A131&amp;"'!D7")," ")</f>
        <v xml:space="preserve"> </v>
      </c>
      <c r="J131" s="5" t="str" cm="1">
        <f t="array" aca="1" ref="J131" ca="1">IFERROR(INDIRECT("'"&amp;$A131&amp;"'!D8")," ")</f>
        <v xml:space="preserve"> </v>
      </c>
      <c r="K131" s="5" t="str" cm="1">
        <f t="array" aca="1" ref="K131" ca="1">IFERROR(INDIRECT("'"&amp;$A131&amp;"'!D5")," ")</f>
        <v xml:space="preserve"> </v>
      </c>
      <c r="L131" s="54" t="str" cm="1">
        <f t="array" aca="1" ref="L131" ca="1">IFERROR(INDIRECT("'"&amp;$A131&amp;"'!Q10")," ")</f>
        <v xml:space="preserve"> </v>
      </c>
      <c r="M131" s="43" t="str" cm="1">
        <f t="array" aca="1" ref="M131" ca="1">IFERROR(INDIRECT("'"&amp;$A131&amp;"'!Q5")," ")</f>
        <v xml:space="preserve"> </v>
      </c>
      <c r="N131" s="43" t="str" cm="1">
        <f t="array" aca="1" ref="N131" ca="1">IFERROR(INDIRECT("'"&amp;$A131&amp;"'!Q6")," ")</f>
        <v xml:space="preserve"> </v>
      </c>
      <c r="O131" s="43" t="str" cm="1">
        <f t="array" aca="1" ref="O131" ca="1">IFERROR(INDIRECT("'"&amp;$A131&amp;"'!Q7")," ")</f>
        <v xml:space="preserve"> </v>
      </c>
      <c r="P131" s="43" t="str" cm="1">
        <f t="array" aca="1" ref="P131" ca="1">IFERROR(INDIRECT("'"&amp;$A131&amp;"'!S5")," ")</f>
        <v xml:space="preserve"> </v>
      </c>
      <c r="Q131" s="43" t="str" cm="1">
        <f t="array" aca="1" ref="Q131" ca="1">IFERROR(INDIRECT("'"&amp;$A131&amp;"'!S6")," ")</f>
        <v xml:space="preserve"> </v>
      </c>
      <c r="R131" s="43" t="str" cm="1">
        <f t="array" aca="1" ref="R131" ca="1">IFERROR(INDIRECT("'"&amp;$A131&amp;"'!S7")," ")</f>
        <v xml:space="preserve"> </v>
      </c>
      <c r="S131" s="43" t="str" cm="1">
        <f t="array" aca="1" ref="S131" ca="1">IFERROR(INDIRECT("'"&amp;$A131&amp;"'!S8")," ")</f>
        <v xml:space="preserve"> </v>
      </c>
      <c r="T131" s="43" t="str" cm="1">
        <f t="array" aca="1" ref="T131" ca="1">IFERROR(INDIRECT("'"&amp;$A131&amp;"'!S9")," ")</f>
        <v xml:space="preserve"> </v>
      </c>
      <c r="U131" s="43" t="str" cm="1">
        <f t="array" aca="1" ref="U131" ca="1">IFERROR(INDIRECT("'"&amp;$A131&amp;"'!S10")," ")</f>
        <v xml:space="preserve"> </v>
      </c>
      <c r="V131" s="43" t="str" cm="1">
        <f t="array" aca="1" ref="V131" ca="1">IFERROR(INDIRECT("'"&amp;$A131&amp;"'!S11")," ")</f>
        <v xml:space="preserve"> </v>
      </c>
      <c r="W131" s="43" t="str" cm="1">
        <f t="array" aca="1" ref="W131" ca="1">IFERROR(INDIRECT("'"&amp;$A131&amp;"'!W5")," ")</f>
        <v xml:space="preserve"> </v>
      </c>
      <c r="X131" s="43" t="str" cm="1">
        <f t="array" aca="1" ref="X131" ca="1">IFERROR(INDIRECT("'"&amp;$A131&amp;"'!s8")," ")</f>
        <v xml:space="preserve"> </v>
      </c>
      <c r="Y131" s="43" t="str" cm="1">
        <f t="array" aca="1" ref="Y131" ca="1">IFERROR(INDIRECT("'"&amp;$A131&amp;"'!U5")," ")</f>
        <v xml:space="preserve"> </v>
      </c>
      <c r="Z131" s="43" t="str" cm="1">
        <f t="array" aca="1" ref="Z131" ca="1">IFERROR(INDIRECT("'"&amp;$A131&amp;"'!U6")," ")</f>
        <v xml:space="preserve"> </v>
      </c>
      <c r="AA131" s="43" t="str" cm="1">
        <f t="array" aca="1" ref="AA131" ca="1">IFERROR(INDIRECT("'"&amp;$A131&amp;"'!U7")," ")</f>
        <v xml:space="preserve"> </v>
      </c>
      <c r="AB131" s="43" t="str" cm="1">
        <f t="array" aca="1" ref="AB131" ca="1">IFERROR(INDIRECT("'"&amp;$A131&amp;"'!U8")," ")</f>
        <v xml:space="preserve"> </v>
      </c>
      <c r="AC131" s="43" t="str" cm="1">
        <f t="array" aca="1" ref="AC131" ca="1">IFERROR(INDIRECT("'"&amp;$A131&amp;"'!s9")," ")</f>
        <v xml:space="preserve"> </v>
      </c>
      <c r="AD131" s="7" t="str" cm="1">
        <f t="array" aca="1" ref="AD131" ca="1">IFERROR(INDIRECT("'"&amp;$A131&amp;"'!F6")," ")</f>
        <v xml:space="preserve"> </v>
      </c>
      <c r="AE131" s="118" t="str" cm="1">
        <f t="array" aca="1" ref="AE131" ca="1">IFERROR(INDIRECT("'"&amp;$A131&amp;"'!L4")," ")</f>
        <v xml:space="preserve"> </v>
      </c>
    </row>
    <row r="132" spans="1:31" ht="15" customHeight="1" x14ac:dyDescent="0.3">
      <c r="B132" s="8" t="str" cm="1">
        <f t="array" aca="1" ref="B132" ca="1">IFERROR(INDIRECT("'"&amp;$A132&amp;"'!A2"),"")</f>
        <v/>
      </c>
      <c r="C132" s="8" t="str" cm="1">
        <f t="array" aca="1" ref="C132" ca="1">IFERROR(INDIRECT("'"&amp;$A132&amp;"'!B5"),"")</f>
        <v/>
      </c>
      <c r="D132" s="9" t="str" cm="1">
        <f t="array" aca="1" ref="D132" ca="1">IFERROR(INDIRECT("'"&amp;$A132&amp;"'!B4"),"")</f>
        <v/>
      </c>
      <c r="E132" s="9" t="str" cm="1">
        <f t="array" aca="1" ref="E132" ca="1">IFERROR(INDIRECT("'"&amp;$A132&amp;"'!B7")," ")</f>
        <v xml:space="preserve"> </v>
      </c>
      <c r="F132" s="122" t="str" cm="1">
        <f t="array" aca="1" ref="F132" ca="1">IFERROR(INDIRECT("'"&amp;$A132&amp;"'!D9")," ")</f>
        <v xml:space="preserve"> </v>
      </c>
      <c r="G132" s="52" t="str" cm="1">
        <f t="array" aca="1" ref="G132" ca="1">IFERROR(INDIRECT("'"&amp;$A132&amp;"'!B9")," ")</f>
        <v xml:space="preserve"> </v>
      </c>
      <c r="H132" s="144" t="str" cm="1">
        <f t="array" aca="1" ref="H132" ca="1">IFERROR(INDIRECT("'"&amp;$A132&amp;"'!D4")," ")</f>
        <v xml:space="preserve"> </v>
      </c>
      <c r="I132" s="5" t="str" cm="1">
        <f t="array" aca="1" ref="I132" ca="1">IFERROR(INDIRECT("'"&amp;$A132&amp;"'!D7")," ")</f>
        <v xml:space="preserve"> </v>
      </c>
      <c r="J132" s="5" t="str" cm="1">
        <f t="array" aca="1" ref="J132" ca="1">IFERROR(INDIRECT("'"&amp;$A132&amp;"'!D8")," ")</f>
        <v xml:space="preserve"> </v>
      </c>
      <c r="K132" s="5" t="str" cm="1">
        <f t="array" aca="1" ref="K132" ca="1">IFERROR(INDIRECT("'"&amp;$A132&amp;"'!D5")," ")</f>
        <v xml:space="preserve"> </v>
      </c>
      <c r="L132" s="54" t="str" cm="1">
        <f t="array" aca="1" ref="L132" ca="1">IFERROR(INDIRECT("'"&amp;$A132&amp;"'!Q10")," ")</f>
        <v xml:space="preserve"> </v>
      </c>
      <c r="M132" s="43" t="str" cm="1">
        <f t="array" aca="1" ref="M132" ca="1">IFERROR(INDIRECT("'"&amp;$A132&amp;"'!Q5")," ")</f>
        <v xml:space="preserve"> </v>
      </c>
      <c r="N132" s="43" t="str" cm="1">
        <f t="array" aca="1" ref="N132" ca="1">IFERROR(INDIRECT("'"&amp;$A132&amp;"'!Q6")," ")</f>
        <v xml:space="preserve"> </v>
      </c>
      <c r="O132" s="43" t="str" cm="1">
        <f t="array" aca="1" ref="O132" ca="1">IFERROR(INDIRECT("'"&amp;$A132&amp;"'!Q7")," ")</f>
        <v xml:space="preserve"> </v>
      </c>
      <c r="P132" s="43" t="str" cm="1">
        <f t="array" aca="1" ref="P132" ca="1">IFERROR(INDIRECT("'"&amp;$A132&amp;"'!S5")," ")</f>
        <v xml:space="preserve"> </v>
      </c>
      <c r="Q132" s="43" t="str" cm="1">
        <f t="array" aca="1" ref="Q132" ca="1">IFERROR(INDIRECT("'"&amp;$A132&amp;"'!S6")," ")</f>
        <v xml:space="preserve"> </v>
      </c>
      <c r="R132" s="43" t="str" cm="1">
        <f t="array" aca="1" ref="R132" ca="1">IFERROR(INDIRECT("'"&amp;$A132&amp;"'!S7")," ")</f>
        <v xml:space="preserve"> </v>
      </c>
      <c r="S132" s="43" t="str" cm="1">
        <f t="array" aca="1" ref="S132" ca="1">IFERROR(INDIRECT("'"&amp;$A132&amp;"'!S8")," ")</f>
        <v xml:space="preserve"> </v>
      </c>
      <c r="T132" s="43" t="str" cm="1">
        <f t="array" aca="1" ref="T132" ca="1">IFERROR(INDIRECT("'"&amp;$A132&amp;"'!S9")," ")</f>
        <v xml:space="preserve"> </v>
      </c>
      <c r="U132" s="43" t="str" cm="1">
        <f t="array" aca="1" ref="U132" ca="1">IFERROR(INDIRECT("'"&amp;$A132&amp;"'!S10")," ")</f>
        <v xml:space="preserve"> </v>
      </c>
      <c r="V132" s="43" t="str" cm="1">
        <f t="array" aca="1" ref="V132" ca="1">IFERROR(INDIRECT("'"&amp;$A132&amp;"'!S11")," ")</f>
        <v xml:space="preserve"> </v>
      </c>
      <c r="W132" s="43" t="str" cm="1">
        <f t="array" aca="1" ref="W132" ca="1">IFERROR(INDIRECT("'"&amp;$A132&amp;"'!W5")," ")</f>
        <v xml:space="preserve"> </v>
      </c>
      <c r="X132" s="43" t="str" cm="1">
        <f t="array" aca="1" ref="X132" ca="1">IFERROR(INDIRECT("'"&amp;$A132&amp;"'!s8")," ")</f>
        <v xml:space="preserve"> </v>
      </c>
      <c r="Y132" s="43" t="str" cm="1">
        <f t="array" aca="1" ref="Y132" ca="1">IFERROR(INDIRECT("'"&amp;$A132&amp;"'!U5")," ")</f>
        <v xml:space="preserve"> </v>
      </c>
      <c r="Z132" s="43" t="str" cm="1">
        <f t="array" aca="1" ref="Z132" ca="1">IFERROR(INDIRECT("'"&amp;$A132&amp;"'!U6")," ")</f>
        <v xml:space="preserve"> </v>
      </c>
      <c r="AA132" s="43" t="str" cm="1">
        <f t="array" aca="1" ref="AA132" ca="1">IFERROR(INDIRECT("'"&amp;$A132&amp;"'!U7")," ")</f>
        <v xml:space="preserve"> </v>
      </c>
      <c r="AB132" s="43" t="str" cm="1">
        <f t="array" aca="1" ref="AB132" ca="1">IFERROR(INDIRECT("'"&amp;$A132&amp;"'!U8")," ")</f>
        <v xml:space="preserve"> </v>
      </c>
      <c r="AC132" s="43" t="str" cm="1">
        <f t="array" aca="1" ref="AC132" ca="1">IFERROR(INDIRECT("'"&amp;$A132&amp;"'!s9")," ")</f>
        <v xml:space="preserve"> </v>
      </c>
      <c r="AD132" s="7" t="str" cm="1">
        <f t="array" aca="1" ref="AD132" ca="1">IFERROR(INDIRECT("'"&amp;$A132&amp;"'!F6")," ")</f>
        <v xml:space="preserve"> </v>
      </c>
      <c r="AE132" s="118" t="str" cm="1">
        <f t="array" aca="1" ref="AE132" ca="1">IFERROR(INDIRECT("'"&amp;$A132&amp;"'!L4")," ")</f>
        <v xml:space="preserve"> </v>
      </c>
    </row>
    <row r="133" spans="1:31" ht="15" customHeight="1" x14ac:dyDescent="0.3">
      <c r="A133" s="140">
        <v>941468</v>
      </c>
      <c r="B133" s="3" t="str" cm="1">
        <f t="array" aca="1" ref="B133" ca="1">IFERROR(INDIRECT("'"&amp;$A133&amp;"'!A2"),"")</f>
        <v/>
      </c>
      <c r="C133" s="3" t="str" cm="1">
        <f t="array" aca="1" ref="C133" ca="1">IFERROR(INDIRECT("'"&amp;$A133&amp;"'!B5"),"")</f>
        <v/>
      </c>
      <c r="D133" s="9" t="str" cm="1">
        <f t="array" aca="1" ref="D133" ca="1">IFERROR(INDIRECT("'"&amp;$A133&amp;"'!B4"),"")</f>
        <v/>
      </c>
      <c r="E133" s="9" t="str" cm="1">
        <f t="array" aca="1" ref="E133" ca="1">IFERROR(INDIRECT("'"&amp;$A133&amp;"'!B7")," ")</f>
        <v xml:space="preserve"> </v>
      </c>
      <c r="F133" s="122" t="str" cm="1">
        <f t="array" aca="1" ref="F133" ca="1">IFERROR(INDIRECT("'"&amp;$A133&amp;"'!D9")," ")</f>
        <v xml:space="preserve"> </v>
      </c>
      <c r="G133" s="52" t="str" cm="1">
        <f t="array" aca="1" ref="G133" ca="1">IFERROR(INDIRECT("'"&amp;$A133&amp;"'!B9")," ")</f>
        <v xml:space="preserve"> </v>
      </c>
      <c r="H133" s="144" t="str" cm="1">
        <f t="array" aca="1" ref="H133" ca="1">IFERROR(INDIRECT("'"&amp;$A133&amp;"'!D4")," ")</f>
        <v xml:space="preserve"> </v>
      </c>
      <c r="I133" s="5" t="str" cm="1">
        <f t="array" aca="1" ref="I133" ca="1">IFERROR(INDIRECT("'"&amp;$A133&amp;"'!D7")," ")</f>
        <v xml:space="preserve"> </v>
      </c>
      <c r="J133" s="5" t="str" cm="1">
        <f t="array" aca="1" ref="J133" ca="1">IFERROR(INDIRECT("'"&amp;$A133&amp;"'!D8")," ")</f>
        <v xml:space="preserve"> </v>
      </c>
      <c r="K133" s="5" t="str" cm="1">
        <f t="array" aca="1" ref="K133" ca="1">IFERROR(INDIRECT("'"&amp;$A133&amp;"'!D5")," ")</f>
        <v xml:space="preserve"> </v>
      </c>
      <c r="L133" s="54" t="str" cm="1">
        <f t="array" aca="1" ref="L133" ca="1">IFERROR(INDIRECT("'"&amp;$A133&amp;"'!Q10")," ")</f>
        <v xml:space="preserve"> </v>
      </c>
      <c r="M133" s="43" t="str" cm="1">
        <f t="array" aca="1" ref="M133" ca="1">IFERROR(INDIRECT("'"&amp;$A133&amp;"'!Q5")," ")</f>
        <v xml:space="preserve"> </v>
      </c>
      <c r="N133" s="43" t="str" cm="1">
        <f t="array" aca="1" ref="N133" ca="1">IFERROR(INDIRECT("'"&amp;$A133&amp;"'!Q6")," ")</f>
        <v xml:space="preserve"> </v>
      </c>
      <c r="O133" s="43" t="str" cm="1">
        <f t="array" aca="1" ref="O133" ca="1">IFERROR(INDIRECT("'"&amp;$A133&amp;"'!Q7")," ")</f>
        <v xml:space="preserve"> </v>
      </c>
      <c r="P133" s="43" t="str" cm="1">
        <f t="array" aca="1" ref="P133" ca="1">IFERROR(INDIRECT("'"&amp;$A133&amp;"'!S5")," ")</f>
        <v xml:space="preserve"> </v>
      </c>
      <c r="Q133" s="43" t="str" cm="1">
        <f t="array" aca="1" ref="Q133" ca="1">IFERROR(INDIRECT("'"&amp;$A133&amp;"'!S6")," ")</f>
        <v xml:space="preserve"> </v>
      </c>
      <c r="R133" s="43" t="str" cm="1">
        <f t="array" aca="1" ref="R133" ca="1">IFERROR(INDIRECT("'"&amp;$A133&amp;"'!S7")," ")</f>
        <v xml:space="preserve"> </v>
      </c>
      <c r="S133" s="43" t="str" cm="1">
        <f t="array" aca="1" ref="S133" ca="1">IFERROR(INDIRECT("'"&amp;$A133&amp;"'!S8")," ")</f>
        <v xml:space="preserve"> </v>
      </c>
      <c r="T133" s="43" t="str" cm="1">
        <f t="array" aca="1" ref="T133" ca="1">IFERROR(INDIRECT("'"&amp;$A133&amp;"'!S9")," ")</f>
        <v xml:space="preserve"> </v>
      </c>
      <c r="U133" s="43" t="str" cm="1">
        <f t="array" aca="1" ref="U133" ca="1">IFERROR(INDIRECT("'"&amp;$A133&amp;"'!S10")," ")</f>
        <v xml:space="preserve"> </v>
      </c>
      <c r="V133" s="43" t="str" cm="1">
        <f t="array" aca="1" ref="V133" ca="1">IFERROR(INDIRECT("'"&amp;$A133&amp;"'!S11")," ")</f>
        <v xml:space="preserve"> </v>
      </c>
      <c r="W133" s="43" t="str" cm="1">
        <f t="array" aca="1" ref="W133" ca="1">IFERROR(INDIRECT("'"&amp;$A133&amp;"'!W5")," ")</f>
        <v xml:space="preserve"> </v>
      </c>
      <c r="X133" s="43" t="str" cm="1">
        <f t="array" aca="1" ref="X133" ca="1">IFERROR(INDIRECT("'"&amp;$A133&amp;"'!s8")," ")</f>
        <v xml:space="preserve"> </v>
      </c>
      <c r="Y133" s="43" t="str" cm="1">
        <f t="array" aca="1" ref="Y133" ca="1">IFERROR(INDIRECT("'"&amp;$A133&amp;"'!U5")," ")</f>
        <v xml:space="preserve"> </v>
      </c>
      <c r="Z133" s="43" t="str" cm="1">
        <f t="array" aca="1" ref="Z133" ca="1">IFERROR(INDIRECT("'"&amp;$A133&amp;"'!U6")," ")</f>
        <v xml:space="preserve"> </v>
      </c>
      <c r="AA133" s="43" t="str" cm="1">
        <f t="array" aca="1" ref="AA133" ca="1">IFERROR(INDIRECT("'"&amp;$A133&amp;"'!U7")," ")</f>
        <v xml:space="preserve"> </v>
      </c>
      <c r="AB133" s="43" t="str" cm="1">
        <f t="array" aca="1" ref="AB133" ca="1">IFERROR(INDIRECT("'"&amp;$A133&amp;"'!U8")," ")</f>
        <v xml:space="preserve"> </v>
      </c>
      <c r="AC133" s="43" t="str" cm="1">
        <f t="array" aca="1" ref="AC133" ca="1">IFERROR(INDIRECT("'"&amp;$A133&amp;"'!s9")," ")</f>
        <v xml:space="preserve"> </v>
      </c>
      <c r="AD133" s="7" t="str" cm="1">
        <f t="array" aca="1" ref="AD133" ca="1">IFERROR(INDIRECT("'"&amp;$A133&amp;"'!F6")," ")</f>
        <v xml:space="preserve"> </v>
      </c>
      <c r="AE133" s="118" t="str" cm="1">
        <f t="array" aca="1" ref="AE133" ca="1">IFERROR(INDIRECT("'"&amp;$A133&amp;"'!L4")," ")</f>
        <v xml:space="preserve"> </v>
      </c>
    </row>
    <row r="134" spans="1:31" ht="15" customHeight="1" x14ac:dyDescent="0.3">
      <c r="A134" s="140">
        <v>941467</v>
      </c>
      <c r="B134" s="3" t="str" cm="1">
        <f t="array" aca="1" ref="B134" ca="1">IFERROR(INDIRECT("'"&amp;$A134&amp;"'!A2"),"")</f>
        <v/>
      </c>
      <c r="C134" s="3" t="str" cm="1">
        <f t="array" aca="1" ref="C134" ca="1">IFERROR(INDIRECT("'"&amp;$A134&amp;"'!B5"),"")</f>
        <v/>
      </c>
      <c r="D134" s="9" t="str" cm="1">
        <f t="array" aca="1" ref="D134" ca="1">IFERROR(INDIRECT("'"&amp;$A134&amp;"'!B4"),"")</f>
        <v/>
      </c>
      <c r="E134" s="9" t="str" cm="1">
        <f t="array" aca="1" ref="E134" ca="1">IFERROR(INDIRECT("'"&amp;$A134&amp;"'!B7")," ")</f>
        <v xml:space="preserve"> </v>
      </c>
      <c r="F134" s="122" t="str" cm="1">
        <f t="array" aca="1" ref="F134" ca="1">IFERROR(INDIRECT("'"&amp;$A134&amp;"'!D9")," ")</f>
        <v xml:space="preserve"> </v>
      </c>
      <c r="G134" s="52" t="str" cm="1">
        <f t="array" aca="1" ref="G134" ca="1">IFERROR(INDIRECT("'"&amp;$A134&amp;"'!B9")," ")</f>
        <v xml:space="preserve"> </v>
      </c>
      <c r="H134" s="144" t="str" cm="1">
        <f t="array" aca="1" ref="H134" ca="1">IFERROR(INDIRECT("'"&amp;$A134&amp;"'!D4")," ")</f>
        <v xml:space="preserve"> </v>
      </c>
      <c r="I134" s="5" t="str" cm="1">
        <f t="array" aca="1" ref="I134" ca="1">IFERROR(INDIRECT("'"&amp;$A134&amp;"'!D7")," ")</f>
        <v xml:space="preserve"> </v>
      </c>
      <c r="J134" s="5" t="str" cm="1">
        <f t="array" aca="1" ref="J134" ca="1">IFERROR(INDIRECT("'"&amp;$A134&amp;"'!D8")," ")</f>
        <v xml:space="preserve"> </v>
      </c>
      <c r="K134" s="5" t="str" cm="1">
        <f t="array" aca="1" ref="K134" ca="1">IFERROR(INDIRECT("'"&amp;$A134&amp;"'!D5")," ")</f>
        <v xml:space="preserve"> </v>
      </c>
      <c r="L134" s="54" t="str" cm="1">
        <f t="array" aca="1" ref="L134" ca="1">IFERROR(INDIRECT("'"&amp;$A134&amp;"'!Q10")," ")</f>
        <v xml:space="preserve"> </v>
      </c>
      <c r="M134" s="43" t="str" cm="1">
        <f t="array" aca="1" ref="M134" ca="1">IFERROR(INDIRECT("'"&amp;$A134&amp;"'!Q5")," ")</f>
        <v xml:space="preserve"> </v>
      </c>
      <c r="N134" s="43" t="str" cm="1">
        <f t="array" aca="1" ref="N134" ca="1">IFERROR(INDIRECT("'"&amp;$A134&amp;"'!Q6")," ")</f>
        <v xml:space="preserve"> </v>
      </c>
      <c r="O134" s="43" t="str" cm="1">
        <f t="array" aca="1" ref="O134" ca="1">IFERROR(INDIRECT("'"&amp;$A134&amp;"'!Q7")," ")</f>
        <v xml:space="preserve"> </v>
      </c>
      <c r="P134" s="43" t="str" cm="1">
        <f t="array" aca="1" ref="P134" ca="1">IFERROR(INDIRECT("'"&amp;$A134&amp;"'!S5")," ")</f>
        <v xml:space="preserve"> </v>
      </c>
      <c r="Q134" s="43" t="str" cm="1">
        <f t="array" aca="1" ref="Q134" ca="1">IFERROR(INDIRECT("'"&amp;$A134&amp;"'!S6")," ")</f>
        <v xml:space="preserve"> </v>
      </c>
      <c r="R134" s="43" t="str" cm="1">
        <f t="array" aca="1" ref="R134" ca="1">IFERROR(INDIRECT("'"&amp;$A134&amp;"'!S7")," ")</f>
        <v xml:space="preserve"> </v>
      </c>
      <c r="S134" s="43" t="str" cm="1">
        <f t="array" aca="1" ref="S134" ca="1">IFERROR(INDIRECT("'"&amp;$A134&amp;"'!S8")," ")</f>
        <v xml:space="preserve"> </v>
      </c>
      <c r="T134" s="43" t="str" cm="1">
        <f t="array" aca="1" ref="T134" ca="1">IFERROR(INDIRECT("'"&amp;$A134&amp;"'!S9")," ")</f>
        <v xml:space="preserve"> </v>
      </c>
      <c r="U134" s="43" t="str" cm="1">
        <f t="array" aca="1" ref="U134" ca="1">IFERROR(INDIRECT("'"&amp;$A134&amp;"'!S10")," ")</f>
        <v xml:space="preserve"> </v>
      </c>
      <c r="V134" s="43" t="str" cm="1">
        <f t="array" aca="1" ref="V134" ca="1">IFERROR(INDIRECT("'"&amp;$A134&amp;"'!S11")," ")</f>
        <v xml:space="preserve"> </v>
      </c>
      <c r="W134" s="43" t="str" cm="1">
        <f t="array" aca="1" ref="W134" ca="1">IFERROR(INDIRECT("'"&amp;$A134&amp;"'!W5")," ")</f>
        <v xml:space="preserve"> </v>
      </c>
      <c r="X134" s="43" t="str" cm="1">
        <f t="array" aca="1" ref="X134" ca="1">IFERROR(INDIRECT("'"&amp;$A134&amp;"'!s8")," ")</f>
        <v xml:space="preserve"> </v>
      </c>
      <c r="Y134" s="43" t="str" cm="1">
        <f t="array" aca="1" ref="Y134" ca="1">IFERROR(INDIRECT("'"&amp;$A134&amp;"'!U5")," ")</f>
        <v xml:space="preserve"> </v>
      </c>
      <c r="Z134" s="43" t="str" cm="1">
        <f t="array" aca="1" ref="Z134" ca="1">IFERROR(INDIRECT("'"&amp;$A134&amp;"'!U6")," ")</f>
        <v xml:space="preserve"> </v>
      </c>
      <c r="AA134" s="43" t="str" cm="1">
        <f t="array" aca="1" ref="AA134" ca="1">IFERROR(INDIRECT("'"&amp;$A134&amp;"'!U7")," ")</f>
        <v xml:space="preserve"> </v>
      </c>
      <c r="AB134" s="43" t="str" cm="1">
        <f t="array" aca="1" ref="AB134" ca="1">IFERROR(INDIRECT("'"&amp;$A134&amp;"'!U8")," ")</f>
        <v xml:space="preserve"> </v>
      </c>
      <c r="AC134" s="43" t="str" cm="1">
        <f t="array" aca="1" ref="AC134" ca="1">IFERROR(INDIRECT("'"&amp;$A134&amp;"'!s9")," ")</f>
        <v xml:space="preserve"> </v>
      </c>
      <c r="AD134" s="7" t="str" cm="1">
        <f t="array" aca="1" ref="AD134" ca="1">IFERROR(INDIRECT("'"&amp;$A134&amp;"'!F6")," ")</f>
        <v xml:space="preserve"> </v>
      </c>
      <c r="AE134" s="118" t="str" cm="1">
        <f t="array" aca="1" ref="AE134" ca="1">IFERROR(INDIRECT("'"&amp;$A134&amp;"'!L4")," ")</f>
        <v xml:space="preserve"> </v>
      </c>
    </row>
  </sheetData>
  <autoFilter ref="A2:AE134" xr:uid="{0A767211-FFA0-4607-84BD-679657BD5EBD}">
    <sortState xmlns:xlrd2="http://schemas.microsoft.com/office/spreadsheetml/2017/richdata2" ref="A3:AE134">
      <sortCondition ref="H2:H134"/>
    </sortState>
  </autoFilter>
  <conditionalFormatting sqref="A2">
    <cfRule type="expression" dxfId="6" priority="399">
      <formula>#REF!="Hypercare"</formula>
    </cfRule>
    <cfRule type="expression" dxfId="5" priority="400">
      <formula>#REF!="Geannuleerd"</formula>
    </cfRule>
    <cfRule type="expression" dxfId="4" priority="401">
      <formula>#REF!="Afgerond"</formula>
    </cfRule>
  </conditionalFormatting>
  <conditionalFormatting sqref="M8:AC9 M12:AC14 M18:AC20 M24:AC26 M30:AC32 M36:AC38 M42:AC44 M48:AC50 M54:AC56 M60:AC62 M66:AC68 M72:AC74 M78:AC80 M84:AC86 M90:AC92 M96:AC98 M102:AC104 M108:AC110 M114:AC116 M120:AC122 M126:AC128 M132:AC134 M3:AC4">
    <cfRule type="containsText" dxfId="3" priority="434" operator="containsText" text="x">
      <formula>NOT(ISERROR(SEARCH("x",M3)))</formula>
    </cfRule>
  </conditionalFormatting>
  <conditionalFormatting sqref="M6:AC6 M10:AC10 M16:AC16 M22:AC22 M28:AC28 M34:AC34 M40:AC40 M46:AC46 M52:AC52 M58:AC58 M64:AC64 M70:AC70 M76:AC76 M82:AC82 M88:AC88 M94:AC94 M100:AC100 M106:AC106 M112:AC112 M118:AC118 M124:AC124 M130:AC130">
    <cfRule type="containsText" dxfId="2" priority="12" operator="containsText" text="x">
      <formula>NOT(ISERROR(SEARCH("x",M6)))</formula>
    </cfRule>
  </conditionalFormatting>
  <conditionalFormatting sqref="M7:AC7 M11:AC11 M17:AC17 M23:AC23 M29:AC29 M35:AC35 M41:AC41 M47:AC47 M53:AC53 M59:AC59 M65:AC65 M71:AC71 M77:AC77 M83:AC83 M89:AC89 M95:AC95 M101:AC101 M107:AC107 M113:AC113 M119:AC119 M125:AC125 M131:AC131">
    <cfRule type="containsText" dxfId="1" priority="8" operator="containsText" text="x">
      <formula>NOT(ISERROR(SEARCH("x",M7)))</formula>
    </cfRule>
  </conditionalFormatting>
  <conditionalFormatting sqref="M5:AC5 M15:AC15 M21:AC21 M27:AC27 M33:AC33 M39:AC39 M45:AC45 M51:AC51 M57:AC57 M63:AC63 M69:AC69 M75:AC75 M81:AC81 M87:AC87 M93:AC93 M99:AC99 M105:AC105 M111:AC111 M117:AC117 M123:AC123 M129:AC129">
    <cfRule type="containsText" dxfId="0" priority="16" operator="containsText" text="x">
      <formula>NOT(ISERROR(SEARCH("x",M5)))</formula>
    </cfRule>
  </conditionalFormatting>
  <conditionalFormatting sqref="M10:AC10 M6:AC6 M16:AC16 M22:AC22 M28:AC28 M34:AC34 M40:AC40 M46:AC46 M52:AC52 M58:AC58 M64:AC64 M70:AC70 M76:AC76 M82:AC82 M88:AC88 M94:AC94 M100:AC100 M106:AC106 M112:AC112 M118:AC118 M124:AC124 M130:AC130"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max"/>
        <color rgb="FFFCFCFF"/>
        <color rgb="FF63BE7B"/>
      </colorScale>
    </cfRule>
    <cfRule type="colorScale" priority="11">
      <colorScale>
        <cfvo type="min"/>
        <cfvo type="max"/>
        <color rgb="FFFFEF9C"/>
        <color rgb="FF63BE7B"/>
      </colorScale>
    </cfRule>
  </conditionalFormatting>
  <conditionalFormatting sqref="M11:AC11 M7:AC7 M17:AC17 M23:AC23 M29:AC29 M35:AC35 M41:AC41 M47:AC47 M53:AC53 M59:AC59 M65:AC65 M71:AC71 M77:AC77 M83:AC83 M89:AC89 M95:AC95 M101:AC101 M107:AC107 M113:AC113 M119:AC119 M125:AC125 M131:AC131"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</conditionalFormatting>
  <conditionalFormatting sqref="M12:AC14 M8:AC9 M4:AC4 M18:AC20 M24:AC26 M30:AC32 M36:AC38 M42:AC44 M48:AC50 M54:AC56 M60:AC62 M66:AC68 M72:AC74 M78:AC80 M84:AC86 M90:AC92 M96:AC98 M102:AC104 M108:AC110 M114:AC116 M120:AC122 M126:AC128 M132:AC134">
    <cfRule type="colorScale" priority="37">
      <colorScale>
        <cfvo type="min"/>
        <cfvo type="max"/>
        <color rgb="FFFFEF9C"/>
        <color rgb="FF63BE7B"/>
      </colorScale>
    </cfRule>
    <cfRule type="colorScale" priority="38">
      <colorScale>
        <cfvo type="min"/>
        <cfvo type="max"/>
        <color rgb="FFFCFCFF"/>
        <color rgb="FF63BE7B"/>
      </colorScale>
    </cfRule>
    <cfRule type="colorScale" priority="39">
      <colorScale>
        <cfvo type="min"/>
        <cfvo type="max"/>
        <color rgb="FFFFEF9C"/>
        <color rgb="FF63BE7B"/>
      </colorScale>
    </cfRule>
  </conditionalFormatting>
  <conditionalFormatting sqref="M15:AC15 M5:AC5 M21:AC21 M27:AC27 M33:AC33 M39:AC39 M45:AC45 M51:AC51 M57:AC57 M63:AC63 M69:AC69 M75:AC75 M81:AC81 M87:AC87 M93:AC93 M99:AC99 M105:AC105 M111:AC111 M117:AC117 M123:AC123 M129:AC129">
    <cfRule type="colorScale" priority="13">
      <colorScale>
        <cfvo type="min"/>
        <cfvo type="max"/>
        <color rgb="FFFFEF9C"/>
        <color rgb="FF63BE7B"/>
      </colorScale>
    </cfRule>
    <cfRule type="colorScale" priority="14">
      <colorScale>
        <cfvo type="min"/>
        <cfvo type="max"/>
        <color rgb="FFFCFCFF"/>
        <color rgb="FF63BE7B"/>
      </colorScale>
    </cfRule>
    <cfRule type="colorScale" priority="15">
      <colorScale>
        <cfvo type="min"/>
        <cfvo type="max"/>
        <color rgb="FFFFEF9C"/>
        <color rgb="FF63BE7B"/>
      </colorScale>
    </cfRule>
  </conditionalFormatting>
  <conditionalFormatting sqref="M3:AC3">
    <cfRule type="colorScale" priority="445">
      <colorScale>
        <cfvo type="min"/>
        <cfvo type="max"/>
        <color rgb="FFFFEF9C"/>
        <color rgb="FF63BE7B"/>
      </colorScale>
    </cfRule>
    <cfRule type="colorScale" priority="446">
      <colorScale>
        <cfvo type="min"/>
        <cfvo type="max"/>
        <color rgb="FFFCFCFF"/>
        <color rgb="FF63BE7B"/>
      </colorScale>
    </cfRule>
    <cfRule type="colorScale" priority="447">
      <colorScale>
        <cfvo type="min"/>
        <cfvo type="max"/>
        <color rgb="FFFFEF9C"/>
        <color rgb="FF63BE7B"/>
      </colorScale>
    </cfRule>
  </conditionalFormatting>
  <hyperlinks>
    <hyperlink ref="A133" location="'941468'!A1" display="941468" xr:uid="{168E1600-331F-49B1-B56E-DAF57BC83618}"/>
    <hyperlink ref="A134" location="'941467'!A1" display="941467" xr:uid="{48C7CACA-CA65-453B-BCA2-532FE871DCDE}"/>
    <hyperlink ref="A4" location="Hegeman!A1" display="Hegeman" xr:uid="{ED0BED6E-A944-41F6-AEAC-EF33369E49AE}"/>
    <hyperlink ref="A5" location="'941478'!A1" display="941478" xr:uid="{AF38E054-B282-4F74-9846-4385B9C13A68}"/>
    <hyperlink ref="A6" location="'941485'!A1" display="941485" xr:uid="{B68EF1EA-39E0-4758-B116-33D43086425D}"/>
    <hyperlink ref="A7" location="'941479'!A1" display="941479" xr:uid="{2A6C54BC-D37C-4AC1-9E8E-95D08E3088A4}"/>
    <hyperlink ref="A3" location="'941480'!A1" display="941480" xr:uid="{367F5BFF-5A28-40A7-A217-90163A37A78A}"/>
    <hyperlink ref="A8" location="'941490'!A1" display="941490" xr:uid="{FA49022A-5329-4D16-9339-70D5618518F6}"/>
    <hyperlink ref="A9" location="'941497'!A1" display="941497" xr:uid="{9EBA0E76-3358-48C1-8EC5-4452811BC95E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B201-54F2-4A40-A623-F701FFE3701E}">
  <dimension ref="A1:W145"/>
  <sheetViews>
    <sheetView zoomScale="70" zoomScaleNormal="70" workbookViewId="0">
      <selection activeCell="A20" sqref="A20:F20"/>
    </sheetView>
  </sheetViews>
  <sheetFormatPr defaultRowHeight="14.4" x14ac:dyDescent="0.3"/>
  <cols>
    <col min="1" max="1" width="46.5546875" bestFit="1" customWidth="1"/>
    <col min="2" max="2" width="18.33203125" bestFit="1" customWidth="1"/>
    <col min="3" max="3" width="12.6640625" bestFit="1" customWidth="1"/>
    <col min="5" max="5" width="8.88671875" bestFit="1" customWidth="1"/>
    <col min="6" max="6" width="20.33203125" customWidth="1"/>
    <col min="9" max="9" width="18.88671875" bestFit="1" customWidth="1"/>
    <col min="13" max="14" width="9.109375" style="38"/>
    <col min="17" max="17" width="16.5546875" customWidth="1"/>
    <col min="19" max="19" width="10.109375" customWidth="1"/>
    <col min="20" max="20" width="12.33203125" customWidth="1"/>
    <col min="21" max="21" width="9.33203125" customWidth="1"/>
  </cols>
  <sheetData>
    <row r="1" spans="1:23" ht="23.4" x14ac:dyDescent="0.3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128"/>
      <c r="N1" s="128"/>
      <c r="O1" s="61"/>
      <c r="P1" s="61"/>
      <c r="Q1" s="21"/>
      <c r="R1" s="19"/>
      <c r="S1" s="19"/>
      <c r="T1" s="19"/>
      <c r="U1" s="19"/>
      <c r="V1" s="19"/>
      <c r="W1" s="19"/>
    </row>
    <row r="2" spans="1:23" ht="24" thickBot="1" x14ac:dyDescent="0.5">
      <c r="A2" s="87" t="s">
        <v>223</v>
      </c>
      <c r="B2" s="87"/>
      <c r="C2" s="87"/>
      <c r="D2" s="87"/>
      <c r="E2" s="87"/>
      <c r="F2" s="87"/>
      <c r="G2" s="62" t="s">
        <v>26</v>
      </c>
      <c r="H2" s="22"/>
      <c r="I2" s="22"/>
      <c r="J2" s="23"/>
      <c r="K2" s="22"/>
      <c r="L2" s="22"/>
      <c r="M2" s="129"/>
      <c r="N2" s="129"/>
      <c r="O2" s="22"/>
      <c r="P2" s="24" t="s">
        <v>27</v>
      </c>
      <c r="Q2" s="24"/>
      <c r="R2" s="34"/>
      <c r="S2" s="34"/>
      <c r="T2" s="34"/>
      <c r="U2" s="34"/>
      <c r="V2" s="34"/>
      <c r="W2" s="34"/>
    </row>
    <row r="3" spans="1:23" ht="24" thickBot="1" x14ac:dyDescent="0.5">
      <c r="A3" s="88"/>
      <c r="B3" s="88"/>
      <c r="C3" s="88"/>
      <c r="D3" s="88"/>
      <c r="E3" s="88"/>
      <c r="F3" s="88"/>
      <c r="G3" s="88"/>
      <c r="H3" s="22"/>
      <c r="I3" s="22"/>
      <c r="J3" s="23"/>
      <c r="K3" s="22"/>
      <c r="L3" s="22" t="s">
        <v>28</v>
      </c>
      <c r="M3" s="129"/>
      <c r="N3" s="129"/>
      <c r="O3" s="22"/>
      <c r="P3" s="156" t="s">
        <v>29</v>
      </c>
      <c r="Q3" s="157"/>
      <c r="R3" s="154" t="s">
        <v>30</v>
      </c>
      <c r="S3" s="155"/>
      <c r="T3" s="154" t="s">
        <v>31</v>
      </c>
      <c r="U3" s="155"/>
      <c r="V3" s="154" t="s">
        <v>32</v>
      </c>
      <c r="W3" s="155"/>
    </row>
    <row r="4" spans="1:23" x14ac:dyDescent="0.3">
      <c r="A4" s="45" t="s">
        <v>33</v>
      </c>
      <c r="B4" s="69" t="s">
        <v>200</v>
      </c>
      <c r="C4" s="123" t="s">
        <v>34</v>
      </c>
      <c r="D4" s="46">
        <v>46388</v>
      </c>
      <c r="E4" s="26" t="s">
        <v>35</v>
      </c>
      <c r="F4" s="72"/>
      <c r="G4" s="124" t="s">
        <v>36</v>
      </c>
      <c r="H4" s="22"/>
      <c r="I4" s="22"/>
      <c r="J4" s="23"/>
      <c r="K4" s="26"/>
      <c r="L4" s="158"/>
      <c r="M4" s="158"/>
      <c r="N4" s="158"/>
      <c r="O4" s="26"/>
      <c r="P4" s="89"/>
      <c r="Q4" s="90"/>
      <c r="R4" s="91"/>
      <c r="S4" s="92"/>
      <c r="T4" s="91"/>
      <c r="U4" s="92"/>
      <c r="V4" s="91"/>
      <c r="W4" s="92"/>
    </row>
    <row r="5" spans="1:23" ht="23.25" customHeight="1" x14ac:dyDescent="0.45">
      <c r="A5" s="27" t="s">
        <v>38</v>
      </c>
      <c r="B5" s="59" t="s">
        <v>201</v>
      </c>
      <c r="C5" s="123" t="s">
        <v>39</v>
      </c>
      <c r="D5" s="60" t="s">
        <v>198</v>
      </c>
      <c r="E5" s="26" t="s">
        <v>40</v>
      </c>
      <c r="F5">
        <v>941497</v>
      </c>
      <c r="G5" s="125"/>
      <c r="H5" s="22" t="s">
        <v>41</v>
      </c>
      <c r="I5" s="22"/>
      <c r="J5" s="23"/>
      <c r="K5" s="26"/>
      <c r="L5" s="158"/>
      <c r="M5" s="158"/>
      <c r="N5" s="158"/>
      <c r="O5" s="26"/>
      <c r="P5" s="93" t="s">
        <v>42</v>
      </c>
      <c r="Q5" s="94">
        <f>I13</f>
        <v>0</v>
      </c>
      <c r="R5" s="95" t="s">
        <v>43</v>
      </c>
      <c r="S5" s="96">
        <f>I34</f>
        <v>0</v>
      </c>
      <c r="T5" s="95" t="s">
        <v>44</v>
      </c>
      <c r="U5" s="96">
        <f>I82</f>
        <v>0</v>
      </c>
      <c r="V5" s="95" t="s">
        <v>45</v>
      </c>
      <c r="W5" s="96">
        <f>I72</f>
        <v>0</v>
      </c>
    </row>
    <row r="6" spans="1:23" ht="23.25" customHeight="1" x14ac:dyDescent="0.45">
      <c r="A6" s="30" t="s">
        <v>46</v>
      </c>
      <c r="B6" s="59"/>
      <c r="C6" s="30" t="s">
        <v>47</v>
      </c>
      <c r="D6" s="71"/>
      <c r="E6" s="26" t="s">
        <v>48</v>
      </c>
      <c r="F6" s="59">
        <v>75</v>
      </c>
      <c r="G6" s="125"/>
      <c r="H6" s="22"/>
      <c r="I6" s="28"/>
      <c r="J6" s="29"/>
      <c r="K6" s="26"/>
      <c r="L6" s="158"/>
      <c r="M6" s="158"/>
      <c r="N6" s="158"/>
      <c r="O6" s="25"/>
      <c r="P6" s="93" t="s">
        <v>49</v>
      </c>
      <c r="Q6" s="94">
        <f>I26</f>
        <v>0</v>
      </c>
      <c r="R6" s="97" t="str">
        <f>A38</f>
        <v>Salarisadministratie</v>
      </c>
      <c r="S6" s="96">
        <f>I38</f>
        <v>0</v>
      </c>
      <c r="T6" s="97" t="s">
        <v>50</v>
      </c>
      <c r="U6" s="96">
        <f>I87</f>
        <v>0</v>
      </c>
      <c r="V6" s="97"/>
      <c r="W6" s="96"/>
    </row>
    <row r="7" spans="1:23" ht="23.25" customHeight="1" x14ac:dyDescent="0.45">
      <c r="A7" s="25" t="s">
        <v>51</v>
      </c>
      <c r="B7" s="59" t="s">
        <v>202</v>
      </c>
      <c r="C7" s="30" t="s">
        <v>52</v>
      </c>
      <c r="D7" s="59"/>
      <c r="E7" s="25"/>
      <c r="F7" s="119"/>
      <c r="G7" s="125"/>
      <c r="H7" s="22"/>
      <c r="I7" s="31"/>
      <c r="J7" s="32"/>
      <c r="K7" s="26"/>
      <c r="L7" s="158"/>
      <c r="M7" s="158"/>
      <c r="N7" s="158"/>
      <c r="O7" s="25"/>
      <c r="P7" s="93" t="s">
        <v>53</v>
      </c>
      <c r="Q7" s="94">
        <f>AVERAGE(S5:S11)</f>
        <v>0</v>
      </c>
      <c r="R7" s="97" t="str">
        <f>A47</f>
        <v>Loonheffingen en fonds</v>
      </c>
      <c r="S7" s="96">
        <f>I47</f>
        <v>0</v>
      </c>
      <c r="T7" s="97" t="s">
        <v>54</v>
      </c>
      <c r="U7" s="96">
        <f>I93</f>
        <v>0</v>
      </c>
      <c r="V7" s="97"/>
      <c r="W7" s="96"/>
    </row>
    <row r="8" spans="1:23" x14ac:dyDescent="0.3">
      <c r="A8" s="25"/>
      <c r="B8" s="59"/>
      <c r="C8" s="30" t="s">
        <v>55</v>
      </c>
      <c r="D8" s="59" t="s">
        <v>56</v>
      </c>
      <c r="E8" s="25"/>
      <c r="F8" s="71"/>
      <c r="G8" s="126"/>
      <c r="H8" s="71"/>
      <c r="I8" s="31"/>
      <c r="J8" s="32"/>
      <c r="K8" s="26"/>
      <c r="L8" s="158"/>
      <c r="M8" s="158"/>
      <c r="N8" s="158"/>
      <c r="O8" s="25"/>
      <c r="P8" s="93" t="s">
        <v>57</v>
      </c>
      <c r="Q8" s="94">
        <f>AVERAGE(U5:U11)</f>
        <v>0</v>
      </c>
      <c r="R8" s="97" t="str">
        <f>A50</f>
        <v>Instellingen</v>
      </c>
      <c r="S8" s="96">
        <f>I50</f>
        <v>0</v>
      </c>
      <c r="T8" s="97" t="s">
        <v>58</v>
      </c>
      <c r="U8" s="96">
        <f>I99</f>
        <v>0</v>
      </c>
      <c r="V8" s="97"/>
      <c r="W8" s="96"/>
    </row>
    <row r="9" spans="1:23" ht="15" thickBot="1" x14ac:dyDescent="0.35">
      <c r="A9" s="25" t="s">
        <v>59</v>
      </c>
      <c r="B9" s="59" t="s">
        <v>203</v>
      </c>
      <c r="C9" s="30" t="s">
        <v>60</v>
      </c>
      <c r="D9" s="59" t="s">
        <v>204</v>
      </c>
      <c r="E9" s="25"/>
      <c r="F9" s="71"/>
      <c r="G9" s="126"/>
      <c r="H9" s="71"/>
      <c r="I9" s="31"/>
      <c r="J9" s="32"/>
      <c r="K9" s="26"/>
      <c r="L9" s="158"/>
      <c r="M9" s="158"/>
      <c r="N9" s="158"/>
      <c r="O9" s="25"/>
      <c r="P9" s="98" t="s">
        <v>61</v>
      </c>
      <c r="Q9" s="99">
        <f>I109</f>
        <v>0</v>
      </c>
      <c r="R9" s="97" t="str">
        <f>A53</f>
        <v>Loonstroken en Jaaropgave</v>
      </c>
      <c r="S9" s="96">
        <f>I53</f>
        <v>0</v>
      </c>
      <c r="T9" s="97"/>
      <c r="U9" s="96"/>
      <c r="V9" s="97"/>
      <c r="W9" s="96"/>
    </row>
    <row r="10" spans="1:23" ht="15" thickBot="1" x14ac:dyDescent="0.35">
      <c r="A10" s="25"/>
      <c r="B10" s="59"/>
      <c r="C10" s="25"/>
      <c r="D10" s="59"/>
      <c r="E10" s="25"/>
      <c r="F10" s="71"/>
      <c r="G10" s="31"/>
      <c r="H10" s="31"/>
      <c r="I10" s="31"/>
      <c r="J10" s="32"/>
      <c r="K10" s="31"/>
      <c r="L10" s="31"/>
      <c r="M10" s="130"/>
      <c r="N10" s="130"/>
      <c r="O10" s="28"/>
      <c r="P10" s="98" t="s">
        <v>62</v>
      </c>
      <c r="Q10" s="99">
        <f>AVERAGE(Q5:Q9)</f>
        <v>0</v>
      </c>
      <c r="R10" s="97" t="str">
        <f>A57</f>
        <v>Import medewerkers</v>
      </c>
      <c r="S10" s="96">
        <f>I57</f>
        <v>0</v>
      </c>
      <c r="T10" s="97"/>
      <c r="U10" s="96"/>
      <c r="V10" s="97"/>
      <c r="W10" s="96"/>
    </row>
    <row r="11" spans="1:23" ht="15" thickBot="1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33"/>
      <c r="K11" s="19"/>
      <c r="L11" s="34"/>
      <c r="M11" s="131" t="s">
        <v>63</v>
      </c>
      <c r="N11" s="131"/>
      <c r="O11" s="42"/>
      <c r="P11" s="19"/>
      <c r="Q11" s="19"/>
      <c r="R11" s="83" t="str">
        <f>A64</f>
        <v>Diversen</v>
      </c>
      <c r="S11" s="84">
        <f>I64</f>
        <v>0</v>
      </c>
      <c r="T11" s="83"/>
      <c r="U11" s="84"/>
      <c r="V11" s="83"/>
      <c r="W11" s="84"/>
    </row>
    <row r="12" spans="1:23" ht="15" thickBot="1" x14ac:dyDescent="0.35">
      <c r="A12" s="34" t="s">
        <v>64</v>
      </c>
      <c r="B12" s="34"/>
      <c r="C12" s="34"/>
      <c r="D12" s="34"/>
      <c r="E12" s="34"/>
      <c r="F12" s="34"/>
      <c r="G12" s="34" t="s">
        <v>65</v>
      </c>
      <c r="H12" s="34" t="s">
        <v>66</v>
      </c>
      <c r="I12" s="34" t="s">
        <v>67</v>
      </c>
      <c r="J12" s="35" t="s">
        <v>68</v>
      </c>
      <c r="K12" s="34" t="s">
        <v>69</v>
      </c>
      <c r="L12" s="34" t="s">
        <v>70</v>
      </c>
      <c r="M12" s="132" t="s">
        <v>71</v>
      </c>
      <c r="N12" s="132" t="s">
        <v>72</v>
      </c>
      <c r="O12" s="34"/>
      <c r="P12" s="34"/>
      <c r="Q12" s="34"/>
      <c r="R12" s="34"/>
      <c r="S12" s="34"/>
      <c r="T12" s="34"/>
      <c r="U12" s="34"/>
      <c r="V12" s="34"/>
      <c r="W12" s="34"/>
    </row>
    <row r="13" spans="1:23" x14ac:dyDescent="0.3">
      <c r="A13" s="20" t="s">
        <v>73</v>
      </c>
      <c r="B13" s="20"/>
      <c r="C13" s="20"/>
      <c r="D13" s="20"/>
      <c r="E13" s="20"/>
      <c r="F13" s="20"/>
      <c r="G13" s="20"/>
      <c r="H13" s="36"/>
      <c r="I13" s="78">
        <f>(K13-J13)/K13*100%</f>
        <v>0</v>
      </c>
      <c r="J13" s="79">
        <f>SUM(J14:J25)</f>
        <v>10</v>
      </c>
      <c r="K13" s="80">
        <f>SUM(K14:K25)</f>
        <v>10</v>
      </c>
      <c r="L13" s="20"/>
      <c r="M13" s="36"/>
      <c r="N13" s="36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15" thickBot="1" x14ac:dyDescent="0.35">
      <c r="A14" s="149" t="s">
        <v>74</v>
      </c>
      <c r="B14" s="149"/>
      <c r="C14" s="149"/>
      <c r="D14" s="149"/>
      <c r="E14" s="149"/>
      <c r="F14" s="149"/>
      <c r="G14" s="86" t="s">
        <v>75</v>
      </c>
      <c r="H14" s="38"/>
      <c r="I14" s="101">
        <v>0</v>
      </c>
      <c r="J14" s="102">
        <f>K14-I14*K14</f>
        <v>1</v>
      </c>
      <c r="K14" s="102">
        <v>1</v>
      </c>
      <c r="O14" s="127"/>
      <c r="P14" s="3"/>
    </row>
    <row r="15" spans="1:23" ht="15" thickBot="1" x14ac:dyDescent="0.35">
      <c r="A15" s="149" t="s">
        <v>76</v>
      </c>
      <c r="B15" s="149"/>
      <c r="C15" s="149"/>
      <c r="D15" s="149"/>
      <c r="E15" s="149"/>
      <c r="F15" s="149"/>
      <c r="G15" s="86" t="s">
        <v>75</v>
      </c>
      <c r="H15" s="38"/>
      <c r="I15" s="101">
        <v>0</v>
      </c>
      <c r="J15" s="102">
        <f t="shared" ref="J15:J23" si="0">K15-I15*K15</f>
        <v>1</v>
      </c>
      <c r="K15" s="102">
        <v>1</v>
      </c>
      <c r="O15" s="10"/>
    </row>
    <row r="16" spans="1:23" ht="15" thickBot="1" x14ac:dyDescent="0.35">
      <c r="A16" s="149" t="s">
        <v>77</v>
      </c>
      <c r="B16" s="149"/>
      <c r="C16" s="149"/>
      <c r="D16" s="149"/>
      <c r="E16" s="149"/>
      <c r="F16" s="149"/>
      <c r="G16" s="86" t="s">
        <v>75</v>
      </c>
      <c r="H16" s="38"/>
      <c r="I16" s="101">
        <v>0</v>
      </c>
      <c r="J16" s="102">
        <f t="shared" si="0"/>
        <v>1</v>
      </c>
      <c r="K16" s="102">
        <v>1</v>
      </c>
      <c r="O16" s="10"/>
    </row>
    <row r="17" spans="1:23" ht="15" thickBot="1" x14ac:dyDescent="0.35">
      <c r="A17" s="159" t="s">
        <v>78</v>
      </c>
      <c r="B17" s="159"/>
      <c r="C17" s="159"/>
      <c r="D17" s="159"/>
      <c r="E17" s="159"/>
      <c r="F17" s="159"/>
      <c r="G17" s="86" t="s">
        <v>75</v>
      </c>
      <c r="H17" s="38"/>
      <c r="I17" s="101">
        <v>0</v>
      </c>
      <c r="J17" s="102">
        <f t="shared" si="0"/>
        <v>1</v>
      </c>
      <c r="K17" s="102">
        <v>1</v>
      </c>
      <c r="O17" s="10"/>
    </row>
    <row r="18" spans="1:23" ht="15" thickBot="1" x14ac:dyDescent="0.35">
      <c r="A18" s="149" t="s">
        <v>79</v>
      </c>
      <c r="B18" s="149"/>
      <c r="C18" s="149"/>
      <c r="D18" s="149"/>
      <c r="E18" s="149"/>
      <c r="F18" s="149"/>
      <c r="G18" s="86" t="s">
        <v>75</v>
      </c>
      <c r="H18" s="38"/>
      <c r="I18" s="101">
        <v>0</v>
      </c>
      <c r="J18" s="102">
        <f t="shared" si="0"/>
        <v>1</v>
      </c>
      <c r="K18" s="102">
        <v>1</v>
      </c>
      <c r="O18" s="10"/>
    </row>
    <row r="19" spans="1:23" ht="15" thickBot="1" x14ac:dyDescent="0.35">
      <c r="A19" s="149" t="s">
        <v>80</v>
      </c>
      <c r="B19" s="149"/>
      <c r="C19" s="149"/>
      <c r="D19" s="149"/>
      <c r="E19" s="149"/>
      <c r="F19" s="149"/>
      <c r="G19" s="86" t="s">
        <v>75</v>
      </c>
      <c r="H19" s="38"/>
      <c r="I19" s="101">
        <v>0</v>
      </c>
      <c r="J19" s="102">
        <f t="shared" si="0"/>
        <v>1</v>
      </c>
      <c r="K19" s="102">
        <v>1</v>
      </c>
      <c r="O19" s="10"/>
    </row>
    <row r="20" spans="1:23" ht="15" thickBot="1" x14ac:dyDescent="0.35">
      <c r="A20" s="149" t="s">
        <v>81</v>
      </c>
      <c r="B20" s="149"/>
      <c r="C20" s="149"/>
      <c r="D20" s="149"/>
      <c r="E20" s="149"/>
      <c r="F20" s="149"/>
      <c r="G20" s="86" t="s">
        <v>75</v>
      </c>
      <c r="H20" s="38"/>
      <c r="I20" s="101">
        <v>0</v>
      </c>
      <c r="J20" s="102">
        <f t="shared" si="0"/>
        <v>1</v>
      </c>
      <c r="K20" s="102">
        <v>1</v>
      </c>
      <c r="O20" s="10" t="s">
        <v>56</v>
      </c>
    </row>
    <row r="21" spans="1:23" ht="15" thickBot="1" x14ac:dyDescent="0.35">
      <c r="A21" s="149" t="s">
        <v>82</v>
      </c>
      <c r="B21" s="149"/>
      <c r="C21" s="149"/>
      <c r="D21" s="149"/>
      <c r="E21" s="149"/>
      <c r="F21" s="149"/>
      <c r="G21" s="86" t="s">
        <v>75</v>
      </c>
      <c r="H21" s="38"/>
      <c r="I21" s="101">
        <v>0</v>
      </c>
      <c r="J21" s="102">
        <v>1</v>
      </c>
      <c r="K21" s="102">
        <v>1</v>
      </c>
      <c r="O21" s="10" t="s">
        <v>56</v>
      </c>
    </row>
    <row r="22" spans="1:23" ht="15" thickBot="1" x14ac:dyDescent="0.35">
      <c r="A22" s="149" t="s">
        <v>83</v>
      </c>
      <c r="B22" s="149"/>
      <c r="C22" s="149"/>
      <c r="D22" s="149"/>
      <c r="E22" s="149"/>
      <c r="F22" s="149"/>
      <c r="G22" s="86" t="s">
        <v>75</v>
      </c>
      <c r="H22" s="38"/>
      <c r="I22" s="101">
        <v>0</v>
      </c>
      <c r="J22" s="102">
        <f t="shared" si="0"/>
        <v>1</v>
      </c>
      <c r="K22" s="102">
        <v>1</v>
      </c>
      <c r="O22" s="10"/>
    </row>
    <row r="23" spans="1:23" ht="15" thickBot="1" x14ac:dyDescent="0.35">
      <c r="A23" s="153" t="s">
        <v>84</v>
      </c>
      <c r="B23" s="153"/>
      <c r="C23" s="153"/>
      <c r="D23" s="153"/>
      <c r="E23" s="153"/>
      <c r="F23" s="153"/>
      <c r="G23" s="86" t="s">
        <v>75</v>
      </c>
      <c r="H23" s="38"/>
      <c r="I23" s="101">
        <v>0</v>
      </c>
      <c r="J23" s="102">
        <f t="shared" si="0"/>
        <v>1</v>
      </c>
      <c r="K23" s="102">
        <v>1</v>
      </c>
      <c r="O23" s="10"/>
    </row>
    <row r="24" spans="1:23" x14ac:dyDescent="0.3">
      <c r="A24" s="138"/>
      <c r="B24" s="138"/>
      <c r="C24" s="138"/>
      <c r="D24" s="138"/>
      <c r="E24" s="138"/>
      <c r="F24" s="138"/>
      <c r="G24" s="86"/>
      <c r="H24" s="38"/>
      <c r="I24" s="139"/>
      <c r="J24" s="102"/>
      <c r="K24" s="102"/>
      <c r="O24" s="10"/>
    </row>
    <row r="25" spans="1:23" ht="15" thickBot="1" x14ac:dyDescent="0.35">
      <c r="A25" s="100"/>
      <c r="B25" s="100"/>
      <c r="C25" s="100"/>
      <c r="D25" s="100"/>
      <c r="E25" s="100"/>
      <c r="F25" s="100"/>
      <c r="H25" s="38"/>
      <c r="I25" s="10"/>
      <c r="J25" s="39"/>
      <c r="K25" s="63"/>
      <c r="L25" s="39"/>
    </row>
    <row r="26" spans="1:23" x14ac:dyDescent="0.3">
      <c r="A26" s="20" t="s">
        <v>85</v>
      </c>
      <c r="B26" s="77"/>
      <c r="C26" s="77"/>
      <c r="D26" s="77"/>
      <c r="E26" s="77"/>
      <c r="F26" s="77"/>
      <c r="G26" s="20"/>
      <c r="H26" s="36"/>
      <c r="I26" s="78">
        <f>(K26-J26)/K26*100%</f>
        <v>0</v>
      </c>
      <c r="J26" s="79">
        <f>SUM(J27:J32)</f>
        <v>5</v>
      </c>
      <c r="K26" s="80">
        <f>SUM(K27:K32)</f>
        <v>5</v>
      </c>
      <c r="L26" s="37"/>
      <c r="M26" s="36"/>
      <c r="N26" s="36"/>
      <c r="O26" s="20"/>
      <c r="P26" s="20"/>
      <c r="Q26" s="20"/>
      <c r="R26" s="20"/>
      <c r="S26" s="20"/>
      <c r="T26" s="20"/>
      <c r="U26" s="20"/>
      <c r="V26" s="20"/>
      <c r="W26" s="20"/>
    </row>
    <row r="27" spans="1:23" ht="15" thickBot="1" x14ac:dyDescent="0.35">
      <c r="A27" s="149" t="s">
        <v>86</v>
      </c>
      <c r="B27" s="149"/>
      <c r="C27" s="149"/>
      <c r="D27" s="149"/>
      <c r="E27" s="149"/>
      <c r="F27" s="149"/>
      <c r="G27" s="86" t="s">
        <v>87</v>
      </c>
      <c r="H27" s="44"/>
      <c r="I27" s="101">
        <v>0</v>
      </c>
      <c r="J27" s="102">
        <f>K27-I27*K27</f>
        <v>1</v>
      </c>
      <c r="K27" s="102">
        <v>1</v>
      </c>
      <c r="L27" s="41"/>
      <c r="M27" s="44"/>
      <c r="N27" s="44" t="s">
        <v>88</v>
      </c>
      <c r="O27" s="11"/>
      <c r="Q27" s="11"/>
      <c r="R27" s="11"/>
      <c r="S27" s="11"/>
      <c r="T27" s="11"/>
      <c r="U27" s="11"/>
      <c r="V27" s="11"/>
      <c r="W27" s="11"/>
    </row>
    <row r="28" spans="1:23" ht="15" thickBot="1" x14ac:dyDescent="0.35">
      <c r="A28" s="149" t="s">
        <v>89</v>
      </c>
      <c r="B28" s="149"/>
      <c r="C28" s="149"/>
      <c r="D28" s="149"/>
      <c r="E28" s="149"/>
      <c r="F28" s="149"/>
      <c r="G28" s="86" t="s">
        <v>87</v>
      </c>
      <c r="H28" s="44"/>
      <c r="I28" s="101">
        <v>0</v>
      </c>
      <c r="J28" s="102">
        <f t="shared" ref="J28:J31" si="1">K28-I28*K28</f>
        <v>1</v>
      </c>
      <c r="K28" s="102">
        <v>1</v>
      </c>
      <c r="L28" s="41"/>
      <c r="M28" s="44"/>
      <c r="N28" s="137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5" thickBot="1" x14ac:dyDescent="0.35">
      <c r="A29" s="149" t="s">
        <v>90</v>
      </c>
      <c r="B29" s="149"/>
      <c r="C29" s="149"/>
      <c r="D29" s="149"/>
      <c r="E29" s="149"/>
      <c r="F29" s="149"/>
      <c r="G29" s="86" t="s">
        <v>87</v>
      </c>
      <c r="H29" s="44"/>
      <c r="I29" s="101">
        <v>0</v>
      </c>
      <c r="J29" s="102">
        <f t="shared" si="1"/>
        <v>1</v>
      </c>
      <c r="K29" s="102">
        <v>1</v>
      </c>
      <c r="L29" s="41"/>
      <c r="M29" s="44"/>
      <c r="N29" s="44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" thickBot="1" x14ac:dyDescent="0.35">
      <c r="A30" s="149" t="s">
        <v>91</v>
      </c>
      <c r="B30" s="149"/>
      <c r="C30" s="149"/>
      <c r="D30" s="149"/>
      <c r="E30" s="149"/>
      <c r="F30" s="149"/>
      <c r="G30" s="86" t="s">
        <v>87</v>
      </c>
      <c r="H30" s="44"/>
      <c r="I30" s="101">
        <v>0</v>
      </c>
      <c r="J30" s="102">
        <f t="shared" si="1"/>
        <v>1</v>
      </c>
      <c r="K30" s="102">
        <v>1</v>
      </c>
      <c r="L30" s="39"/>
      <c r="M30" s="44"/>
      <c r="N30" s="44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5" thickBot="1" x14ac:dyDescent="0.35">
      <c r="A31" s="149" t="s">
        <v>92</v>
      </c>
      <c r="B31" s="149"/>
      <c r="C31" s="149"/>
      <c r="D31" s="149"/>
      <c r="E31" s="149"/>
      <c r="F31" s="149"/>
      <c r="G31" s="86" t="s">
        <v>75</v>
      </c>
      <c r="H31" s="44"/>
      <c r="I31" s="101">
        <v>0</v>
      </c>
      <c r="J31" s="102">
        <f t="shared" si="1"/>
        <v>1</v>
      </c>
      <c r="K31" s="102">
        <v>1</v>
      </c>
      <c r="L31" s="39"/>
      <c r="M31" s="44"/>
      <c r="N31" s="44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5" thickBot="1" x14ac:dyDescent="0.35">
      <c r="A32" s="81"/>
      <c r="B32" s="81"/>
      <c r="C32" s="81"/>
      <c r="D32" s="81"/>
      <c r="E32" s="81"/>
      <c r="F32" s="81"/>
      <c r="G32" s="11"/>
      <c r="H32" s="44"/>
      <c r="I32" s="44"/>
      <c r="J32" s="44"/>
      <c r="K32" s="44"/>
      <c r="L32" s="44"/>
      <c r="M32" s="44"/>
      <c r="N32" s="44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5" thickBot="1" x14ac:dyDescent="0.35">
      <c r="A33" s="20" t="s">
        <v>93</v>
      </c>
      <c r="B33" s="77"/>
      <c r="C33" s="77"/>
      <c r="D33" s="77"/>
      <c r="E33" s="77"/>
      <c r="F33" s="77"/>
      <c r="G33" s="20"/>
      <c r="H33" s="36"/>
      <c r="I33" s="78"/>
      <c r="J33" s="111"/>
      <c r="K33" s="111"/>
      <c r="L33" s="37"/>
      <c r="M33" s="36"/>
      <c r="N33" s="36"/>
      <c r="O33" s="20"/>
      <c r="P33" s="20"/>
      <c r="Q33" s="20"/>
      <c r="R33" s="20"/>
      <c r="S33" s="20"/>
      <c r="T33" s="20"/>
      <c r="U33" s="20"/>
      <c r="V33" s="20"/>
      <c r="W33" s="20"/>
    </row>
    <row r="34" spans="1:23" x14ac:dyDescent="0.3">
      <c r="A34" s="103" t="s">
        <v>94</v>
      </c>
      <c r="B34" s="106"/>
      <c r="C34" s="106"/>
      <c r="D34" s="106"/>
      <c r="E34" s="106"/>
      <c r="F34" s="106"/>
      <c r="G34" s="106"/>
      <c r="H34" s="106"/>
      <c r="I34" s="104">
        <f>(K34-J34)/K34*100%</f>
        <v>0</v>
      </c>
      <c r="J34" s="105">
        <f>(J35+J36)</f>
        <v>1</v>
      </c>
      <c r="K34" s="105">
        <f>(K35+K36)</f>
        <v>1</v>
      </c>
      <c r="L34" s="106"/>
      <c r="M34" s="133"/>
      <c r="N34" s="133"/>
      <c r="O34" s="106"/>
      <c r="P34" s="106"/>
      <c r="Q34" s="106"/>
      <c r="R34" s="106"/>
      <c r="S34" s="106"/>
      <c r="T34" s="106"/>
      <c r="U34" s="106"/>
      <c r="V34" s="106"/>
      <c r="W34" s="106"/>
    </row>
    <row r="35" spans="1:23" x14ac:dyDescent="0.3">
      <c r="A35" s="106" t="s">
        <v>95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33"/>
      <c r="N35" s="133"/>
      <c r="O35" s="106"/>
      <c r="P35" s="106"/>
      <c r="Q35" s="106"/>
      <c r="R35" s="106"/>
      <c r="S35" s="106"/>
      <c r="T35" s="106"/>
      <c r="U35" s="106"/>
      <c r="V35" s="106"/>
      <c r="W35" s="106"/>
    </row>
    <row r="36" spans="1:23" ht="15" thickBot="1" x14ac:dyDescent="0.35">
      <c r="A36" s="149" t="s">
        <v>96</v>
      </c>
      <c r="B36" s="149"/>
      <c r="C36" s="149"/>
      <c r="D36" s="149"/>
      <c r="E36" s="149"/>
      <c r="F36" s="149"/>
      <c r="G36" s="86" t="s">
        <v>75</v>
      </c>
      <c r="H36" s="44"/>
      <c r="I36" s="82">
        <v>0</v>
      </c>
      <c r="J36" s="102">
        <f>K36-I36*K36</f>
        <v>1</v>
      </c>
      <c r="K36" s="102">
        <v>1</v>
      </c>
      <c r="L36" s="41"/>
      <c r="M36" s="44"/>
      <c r="N36" s="44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15" thickBot="1" x14ac:dyDescent="0.35">
      <c r="A37" s="100"/>
      <c r="B37" s="100"/>
      <c r="C37" s="100"/>
      <c r="D37" s="100"/>
      <c r="E37" s="100"/>
      <c r="F37" s="100"/>
      <c r="G37" s="11"/>
      <c r="H37" s="44"/>
      <c r="I37" s="44"/>
      <c r="J37" s="44"/>
      <c r="K37" s="65"/>
      <c r="L37" s="41"/>
      <c r="M37" s="44"/>
      <c r="N37" s="44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3">
      <c r="A38" s="103" t="s">
        <v>97</v>
      </c>
      <c r="B38" s="103"/>
      <c r="C38" s="103"/>
      <c r="D38" s="103"/>
      <c r="E38" s="103"/>
      <c r="F38" s="103"/>
      <c r="G38" s="50"/>
      <c r="H38" s="51"/>
      <c r="I38" s="78">
        <f>(K38-J38)/K38*100%</f>
        <v>0</v>
      </c>
      <c r="J38" s="105">
        <f>SUM(J39:J46)</f>
        <v>7</v>
      </c>
      <c r="K38" s="105">
        <f>SUM(K39:K46)</f>
        <v>7</v>
      </c>
      <c r="L38" s="103"/>
      <c r="M38" s="134"/>
      <c r="N38" s="51"/>
      <c r="O38" s="51"/>
      <c r="P38" s="103"/>
      <c r="Q38" s="103"/>
      <c r="R38" s="103"/>
      <c r="S38" s="103"/>
      <c r="T38" s="103"/>
      <c r="U38" s="103"/>
      <c r="V38" s="103"/>
      <c r="W38" s="103"/>
    </row>
    <row r="39" spans="1:23" ht="15" thickBot="1" x14ac:dyDescent="0.35">
      <c r="A39" s="149" t="s">
        <v>98</v>
      </c>
      <c r="B39" s="149"/>
      <c r="C39" s="149"/>
      <c r="D39" s="149"/>
      <c r="E39" s="149"/>
      <c r="F39" s="149"/>
      <c r="G39" s="86" t="s">
        <v>75</v>
      </c>
      <c r="H39" s="44"/>
      <c r="I39" s="82">
        <v>0</v>
      </c>
      <c r="J39" s="102">
        <f>K39-I39*K39</f>
        <v>1</v>
      </c>
      <c r="K39" s="102">
        <v>1</v>
      </c>
      <c r="L39" s="41"/>
      <c r="M39" s="44"/>
      <c r="N39" s="44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15" thickBot="1" x14ac:dyDescent="0.35">
      <c r="A40" s="149" t="s">
        <v>99</v>
      </c>
      <c r="B40" s="149"/>
      <c r="C40" s="149"/>
      <c r="D40" s="149"/>
      <c r="E40" s="149"/>
      <c r="F40" s="149"/>
      <c r="G40" s="86" t="s">
        <v>75</v>
      </c>
      <c r="H40" s="44"/>
      <c r="I40" s="82">
        <v>0</v>
      </c>
      <c r="J40" s="102">
        <f t="shared" ref="J40:J44" si="2">K40-I40*K40</f>
        <v>1</v>
      </c>
      <c r="K40" s="102">
        <v>1</v>
      </c>
      <c r="L40" s="41"/>
      <c r="M40" s="44"/>
      <c r="N40" s="44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15" thickBot="1" x14ac:dyDescent="0.35">
      <c r="A41" s="149" t="s">
        <v>100</v>
      </c>
      <c r="B41" s="149"/>
      <c r="C41" s="149"/>
      <c r="D41" s="149"/>
      <c r="E41" s="149"/>
      <c r="F41" s="149"/>
      <c r="G41" s="86" t="s">
        <v>75</v>
      </c>
      <c r="H41" s="44"/>
      <c r="I41" s="82">
        <v>0</v>
      </c>
      <c r="J41" s="102">
        <f t="shared" si="2"/>
        <v>1</v>
      </c>
      <c r="K41" s="102">
        <v>1</v>
      </c>
      <c r="L41" s="41"/>
      <c r="M41" s="44"/>
      <c r="N41" s="44"/>
      <c r="O41" s="11"/>
      <c r="P41" s="11"/>
      <c r="Q41" s="11"/>
      <c r="R41" s="11"/>
      <c r="S41" s="11"/>
      <c r="T41" s="11"/>
      <c r="U41" s="11"/>
      <c r="V41" s="11"/>
      <c r="W41" s="11"/>
    </row>
    <row r="42" spans="1:23" ht="15" thickBot="1" x14ac:dyDescent="0.35">
      <c r="A42" s="149" t="s">
        <v>101</v>
      </c>
      <c r="B42" s="149"/>
      <c r="C42" s="149"/>
      <c r="D42" s="149"/>
      <c r="E42" s="149"/>
      <c r="F42" s="149"/>
      <c r="G42" s="86" t="s">
        <v>75</v>
      </c>
      <c r="H42" s="44"/>
      <c r="I42" s="82">
        <v>0</v>
      </c>
      <c r="J42" s="102">
        <f t="shared" si="2"/>
        <v>1</v>
      </c>
      <c r="K42" s="102">
        <v>1</v>
      </c>
      <c r="L42" s="41"/>
      <c r="M42" s="44"/>
      <c r="N42" s="137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5" thickBot="1" x14ac:dyDescent="0.35">
      <c r="A43" s="149" t="s">
        <v>102</v>
      </c>
      <c r="B43" s="149"/>
      <c r="C43" s="149"/>
      <c r="D43" s="149"/>
      <c r="E43" s="149"/>
      <c r="F43" s="149"/>
      <c r="G43" s="86" t="s">
        <v>75</v>
      </c>
      <c r="H43" s="44"/>
      <c r="I43" s="82">
        <v>0</v>
      </c>
      <c r="J43" s="102">
        <f>K43-I43*K43</f>
        <v>1</v>
      </c>
      <c r="K43" s="102">
        <v>1</v>
      </c>
      <c r="L43" s="41"/>
      <c r="M43" s="44"/>
      <c r="N43" s="44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15" thickBot="1" x14ac:dyDescent="0.35">
      <c r="A44" s="149" t="s">
        <v>103</v>
      </c>
      <c r="B44" s="149"/>
      <c r="C44" s="149"/>
      <c r="D44" s="149"/>
      <c r="E44" s="149"/>
      <c r="F44" s="149"/>
      <c r="G44" s="86" t="s">
        <v>75</v>
      </c>
      <c r="H44" s="44"/>
      <c r="I44" s="82">
        <v>0</v>
      </c>
      <c r="J44" s="102">
        <f t="shared" si="2"/>
        <v>1</v>
      </c>
      <c r="K44" s="102">
        <v>1</v>
      </c>
      <c r="L44" s="41"/>
      <c r="M44" s="44"/>
      <c r="N44" s="44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15" thickBot="1" x14ac:dyDescent="0.35">
      <c r="A45" s="149" t="s">
        <v>104</v>
      </c>
      <c r="B45" s="149"/>
      <c r="C45" s="149"/>
      <c r="D45" s="149"/>
      <c r="E45" s="149"/>
      <c r="F45" s="149"/>
      <c r="G45" s="86" t="s">
        <v>75</v>
      </c>
      <c r="H45" s="44"/>
      <c r="I45" s="82">
        <v>0</v>
      </c>
      <c r="J45" s="102">
        <v>1</v>
      </c>
      <c r="K45" s="102">
        <v>1</v>
      </c>
      <c r="L45" s="41"/>
      <c r="M45" s="44"/>
      <c r="N45" s="44"/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5" thickBot="1" x14ac:dyDescent="0.35">
      <c r="A46" s="100"/>
      <c r="B46" s="100"/>
      <c r="C46" s="100"/>
      <c r="D46" s="100"/>
      <c r="E46" s="100"/>
      <c r="F46" s="100"/>
      <c r="G46" s="86"/>
      <c r="H46" s="44"/>
      <c r="I46" s="141"/>
      <c r="J46" s="142"/>
      <c r="K46" s="142"/>
      <c r="L46" s="41"/>
      <c r="M46" s="44"/>
      <c r="N46" s="44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3">
      <c r="A47" s="103" t="s">
        <v>105</v>
      </c>
      <c r="B47" s="103"/>
      <c r="C47" s="103"/>
      <c r="D47" s="103"/>
      <c r="E47" s="103"/>
      <c r="F47" s="103"/>
      <c r="G47" s="50"/>
      <c r="H47" s="51"/>
      <c r="I47" s="104">
        <f>(K47-J47)/K47*100%</f>
        <v>0</v>
      </c>
      <c r="J47" s="105">
        <f>SUM(J48:J49)</f>
        <v>1</v>
      </c>
      <c r="K47" s="105">
        <f>SUM(K48:K49)</f>
        <v>1</v>
      </c>
      <c r="L47" s="103"/>
      <c r="M47" s="134"/>
      <c r="N47" s="51"/>
      <c r="O47" s="51"/>
      <c r="P47" s="103"/>
      <c r="Q47" s="103"/>
      <c r="R47" s="103"/>
      <c r="S47" s="103"/>
      <c r="T47" s="103"/>
      <c r="U47" s="103"/>
      <c r="V47" s="103"/>
      <c r="W47" s="103"/>
    </row>
    <row r="48" spans="1:23" ht="15" thickBot="1" x14ac:dyDescent="0.35">
      <c r="A48" s="149" t="s">
        <v>106</v>
      </c>
      <c r="B48" s="149"/>
      <c r="C48" s="149"/>
      <c r="D48" s="149"/>
      <c r="E48" s="149"/>
      <c r="F48" s="149"/>
      <c r="G48" s="86" t="s">
        <v>75</v>
      </c>
      <c r="H48" s="100"/>
      <c r="I48" s="82">
        <v>0</v>
      </c>
      <c r="J48" s="102">
        <f>K48-I48*K48</f>
        <v>1</v>
      </c>
      <c r="K48" s="102">
        <v>1</v>
      </c>
      <c r="L48" s="100"/>
      <c r="M48" s="135"/>
      <c r="N48" s="135"/>
      <c r="O48" s="100"/>
      <c r="P48" s="100"/>
      <c r="Q48" s="100"/>
      <c r="R48" s="100"/>
      <c r="S48" s="100"/>
      <c r="T48" s="100"/>
      <c r="U48" s="100"/>
      <c r="V48" s="100"/>
      <c r="W48" s="100"/>
    </row>
    <row r="49" spans="1:23" ht="15" thickBot="1" x14ac:dyDescent="0.35">
      <c r="A49" s="100"/>
      <c r="B49" s="100"/>
      <c r="C49" s="100"/>
      <c r="D49" s="100"/>
      <c r="E49" s="100"/>
      <c r="F49" s="100"/>
      <c r="G49" s="100"/>
      <c r="H49" s="100"/>
      <c r="I49" s="66"/>
      <c r="J49" s="67"/>
      <c r="K49" s="68"/>
      <c r="L49" s="100"/>
      <c r="M49" s="135"/>
      <c r="N49" s="135"/>
      <c r="O49" s="100"/>
      <c r="P49" s="100"/>
      <c r="Q49" s="100"/>
      <c r="R49" s="100"/>
      <c r="S49" s="100"/>
      <c r="T49" s="100"/>
      <c r="U49" s="100"/>
      <c r="V49" s="100"/>
      <c r="W49" s="100"/>
    </row>
    <row r="50" spans="1:23" x14ac:dyDescent="0.3">
      <c r="A50" s="103" t="s">
        <v>107</v>
      </c>
      <c r="B50" s="103"/>
      <c r="C50" s="103"/>
      <c r="D50" s="103"/>
      <c r="E50" s="103"/>
      <c r="F50" s="103"/>
      <c r="G50" s="50"/>
      <c r="H50" s="51"/>
      <c r="I50" s="104">
        <f>(K50-J50)/K50*100%</f>
        <v>0</v>
      </c>
      <c r="J50" s="105">
        <f>SUM(J51:J52)</f>
        <v>1</v>
      </c>
      <c r="K50" s="105">
        <f>SUM(K51:K52)</f>
        <v>1</v>
      </c>
      <c r="L50" s="103"/>
      <c r="M50" s="134"/>
      <c r="N50" s="51"/>
      <c r="O50" s="51"/>
      <c r="P50" s="103"/>
      <c r="Q50" s="103"/>
      <c r="R50" s="103"/>
      <c r="S50" s="103"/>
      <c r="T50" s="103"/>
      <c r="U50" s="103"/>
      <c r="V50" s="103"/>
      <c r="W50" s="103"/>
    </row>
    <row r="51" spans="1:23" ht="15" thickBot="1" x14ac:dyDescent="0.35">
      <c r="A51" s="149" t="s">
        <v>108</v>
      </c>
      <c r="B51" s="149"/>
      <c r="C51" s="149"/>
      <c r="D51" s="149"/>
      <c r="E51" s="149"/>
      <c r="F51" s="149"/>
      <c r="G51" s="86" t="s">
        <v>75</v>
      </c>
      <c r="H51" s="44"/>
      <c r="I51" s="82">
        <v>0</v>
      </c>
      <c r="J51" s="102">
        <f>K51-I51*K51</f>
        <v>1</v>
      </c>
      <c r="K51" s="102">
        <v>1</v>
      </c>
      <c r="L51" s="41"/>
      <c r="M51" s="44"/>
      <c r="N51" s="44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15" thickBot="1" x14ac:dyDescent="0.35">
      <c r="A52" s="100"/>
      <c r="B52" s="100"/>
      <c r="C52" s="100"/>
      <c r="D52" s="100"/>
      <c r="E52" s="100"/>
      <c r="F52" s="100"/>
      <c r="G52" s="11"/>
      <c r="H52" s="44"/>
      <c r="I52" s="66"/>
      <c r="J52" s="67"/>
      <c r="K52" s="68"/>
      <c r="L52" s="41"/>
      <c r="M52" s="44"/>
      <c r="N52" s="44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3">
      <c r="A53" s="103" t="s">
        <v>109</v>
      </c>
      <c r="B53" s="103"/>
      <c r="C53" s="103"/>
      <c r="D53" s="103"/>
      <c r="E53" s="103"/>
      <c r="F53" s="103"/>
      <c r="G53" s="50"/>
      <c r="H53" s="51"/>
      <c r="I53" s="104">
        <f>(K53-J53)/K53*100%</f>
        <v>0</v>
      </c>
      <c r="J53" s="105">
        <f>SUM(J54:J56)</f>
        <v>2</v>
      </c>
      <c r="K53" s="105">
        <f>SUM(K54:K56)</f>
        <v>2</v>
      </c>
      <c r="L53" s="103"/>
      <c r="M53" s="134"/>
      <c r="N53" s="51"/>
      <c r="O53" s="51"/>
      <c r="P53" s="103"/>
      <c r="Q53" s="103"/>
      <c r="R53" s="103"/>
      <c r="S53" s="103"/>
      <c r="T53" s="103"/>
      <c r="U53" s="103"/>
      <c r="V53" s="103"/>
      <c r="W53" s="103"/>
    </row>
    <row r="54" spans="1:23" ht="15" thickBot="1" x14ac:dyDescent="0.35">
      <c r="A54" s="149" t="s">
        <v>110</v>
      </c>
      <c r="B54" s="149"/>
      <c r="C54" s="149"/>
      <c r="D54" s="149"/>
      <c r="E54" s="149"/>
      <c r="F54" s="149"/>
      <c r="G54" s="86" t="s">
        <v>75</v>
      </c>
      <c r="H54" s="100"/>
      <c r="I54" s="82">
        <v>0</v>
      </c>
      <c r="J54" s="102">
        <f>K54-I54*K54</f>
        <v>1</v>
      </c>
      <c r="K54" s="102">
        <v>1</v>
      </c>
      <c r="L54" s="41"/>
      <c r="M54" s="44"/>
      <c r="N54" s="44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5" thickBot="1" x14ac:dyDescent="0.35">
      <c r="A55" s="149" t="s">
        <v>111</v>
      </c>
      <c r="B55" s="149"/>
      <c r="C55" s="149"/>
      <c r="D55" s="149"/>
      <c r="E55" s="149"/>
      <c r="F55" s="149"/>
      <c r="G55" s="86" t="s">
        <v>75</v>
      </c>
      <c r="H55" s="100"/>
      <c r="I55" s="82">
        <v>0</v>
      </c>
      <c r="J55" s="102">
        <f>K55-I55*K55</f>
        <v>1</v>
      </c>
      <c r="K55" s="102">
        <v>1</v>
      </c>
      <c r="L55" s="41"/>
      <c r="M55" s="44"/>
      <c r="N55" s="44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5" thickBot="1" x14ac:dyDescent="0.35">
      <c r="A56" s="100"/>
      <c r="B56" s="100"/>
      <c r="C56" s="100"/>
      <c r="D56" s="100"/>
      <c r="E56" s="100"/>
      <c r="F56" s="100"/>
      <c r="G56" s="100"/>
      <c r="H56" s="100"/>
      <c r="I56" s="66"/>
      <c r="J56" s="67"/>
      <c r="K56" s="68"/>
      <c r="L56" s="41"/>
      <c r="M56" s="44"/>
      <c r="N56" s="44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3">
      <c r="A57" s="103" t="s">
        <v>112</v>
      </c>
      <c r="B57" s="103"/>
      <c r="C57" s="103"/>
      <c r="D57" s="103"/>
      <c r="E57" s="103"/>
      <c r="F57" s="103"/>
      <c r="G57" s="50"/>
      <c r="H57" s="51"/>
      <c r="I57" s="104">
        <f>(K57-J57)/K57*100%</f>
        <v>0</v>
      </c>
      <c r="J57" s="105">
        <f>SUM(J58:J63)</f>
        <v>5</v>
      </c>
      <c r="K57" s="105">
        <f>SUM(K58:K63)</f>
        <v>5</v>
      </c>
      <c r="L57" s="103"/>
      <c r="M57" s="134"/>
      <c r="N57" s="51"/>
      <c r="O57" s="51"/>
      <c r="P57" s="103"/>
      <c r="Q57" s="103"/>
      <c r="R57" s="103"/>
      <c r="S57" s="103"/>
      <c r="T57" s="103"/>
      <c r="U57" s="103"/>
      <c r="V57" s="103"/>
      <c r="W57" s="103"/>
    </row>
    <row r="58" spans="1:23" ht="15" thickBot="1" x14ac:dyDescent="0.35">
      <c r="A58" s="149" t="s">
        <v>113</v>
      </c>
      <c r="B58" s="149"/>
      <c r="C58" s="149"/>
      <c r="D58" s="149"/>
      <c r="E58" s="149"/>
      <c r="F58" s="149"/>
      <c r="G58" s="86" t="s">
        <v>75</v>
      </c>
      <c r="H58" s="100"/>
      <c r="I58" s="82">
        <v>0</v>
      </c>
      <c r="J58" s="102">
        <f>K58-I58*K58</f>
        <v>1</v>
      </c>
      <c r="K58" s="102">
        <v>1</v>
      </c>
      <c r="L58" s="100"/>
      <c r="M58" s="135"/>
      <c r="N58" s="135"/>
      <c r="O58" s="100"/>
      <c r="P58" s="100"/>
      <c r="Q58" s="100"/>
      <c r="R58" s="100"/>
      <c r="S58" s="100"/>
      <c r="T58" s="100"/>
      <c r="U58" s="100"/>
      <c r="V58" s="100"/>
      <c r="W58" s="100"/>
    </row>
    <row r="59" spans="1:23" ht="15" thickBot="1" x14ac:dyDescent="0.35">
      <c r="A59" s="149" t="s">
        <v>114</v>
      </c>
      <c r="B59" s="149"/>
      <c r="C59" s="149"/>
      <c r="D59" s="149"/>
      <c r="E59" s="149"/>
      <c r="F59" s="149"/>
      <c r="G59" s="86" t="s">
        <v>75</v>
      </c>
      <c r="H59" s="81"/>
      <c r="I59" s="82">
        <v>0</v>
      </c>
      <c r="J59" s="102">
        <f t="shared" ref="J59:J60" si="3">K59-I59*K59</f>
        <v>1</v>
      </c>
      <c r="K59" s="102">
        <v>1</v>
      </c>
      <c r="L59" s="81"/>
      <c r="M59" s="136"/>
      <c r="N59" s="136"/>
      <c r="O59" s="81"/>
      <c r="P59" s="81"/>
      <c r="Q59" s="81"/>
      <c r="R59" s="81"/>
      <c r="S59" s="81"/>
      <c r="T59" s="81"/>
      <c r="U59" s="81"/>
      <c r="V59" s="81"/>
      <c r="W59" s="81"/>
    </row>
    <row r="60" spans="1:23" ht="15" thickBot="1" x14ac:dyDescent="0.35">
      <c r="A60" s="149" t="s">
        <v>115</v>
      </c>
      <c r="B60" s="149"/>
      <c r="C60" s="149"/>
      <c r="D60" s="149"/>
      <c r="E60" s="149"/>
      <c r="F60" s="149"/>
      <c r="G60" s="86" t="s">
        <v>75</v>
      </c>
      <c r="H60" s="100"/>
      <c r="I60" s="82">
        <v>0</v>
      </c>
      <c r="J60" s="102">
        <f t="shared" si="3"/>
        <v>1</v>
      </c>
      <c r="K60" s="102">
        <v>1</v>
      </c>
      <c r="L60" s="100"/>
      <c r="M60" s="135"/>
      <c r="N60" s="135"/>
      <c r="O60" s="100"/>
      <c r="P60" s="100"/>
      <c r="Q60" s="100"/>
      <c r="R60" s="100"/>
      <c r="S60" s="100"/>
      <c r="T60" s="100"/>
      <c r="U60" s="100"/>
      <c r="V60" s="100"/>
      <c r="W60" s="100"/>
    </row>
    <row r="61" spans="1:23" ht="15" thickBot="1" x14ac:dyDescent="0.35">
      <c r="A61" s="149" t="s">
        <v>116</v>
      </c>
      <c r="B61" s="149"/>
      <c r="C61" s="149"/>
      <c r="D61" s="149"/>
      <c r="E61" s="149"/>
      <c r="F61" s="149"/>
      <c r="G61" s="86" t="s">
        <v>75</v>
      </c>
      <c r="H61" s="100"/>
      <c r="I61" s="82">
        <v>0</v>
      </c>
      <c r="J61" s="102">
        <f>K61-I61*K61</f>
        <v>1</v>
      </c>
      <c r="K61" s="102">
        <v>1</v>
      </c>
      <c r="L61" s="100"/>
      <c r="M61" s="135"/>
      <c r="N61" s="135"/>
      <c r="O61" s="100"/>
      <c r="P61" s="100"/>
      <c r="Q61" s="100"/>
      <c r="R61" s="100"/>
      <c r="S61" s="100"/>
      <c r="T61" s="100"/>
      <c r="U61" s="100"/>
      <c r="V61" s="100"/>
      <c r="W61" s="100"/>
    </row>
    <row r="62" spans="1:23" ht="15" thickBot="1" x14ac:dyDescent="0.35">
      <c r="A62" s="149" t="s">
        <v>117</v>
      </c>
      <c r="B62" s="149"/>
      <c r="C62" s="149"/>
      <c r="D62" s="149"/>
      <c r="E62" s="149"/>
      <c r="F62" s="149"/>
      <c r="G62" s="86" t="s">
        <v>75</v>
      </c>
      <c r="H62" s="100"/>
      <c r="I62" s="82">
        <v>0</v>
      </c>
      <c r="J62" s="102">
        <f>K62-I62*K62</f>
        <v>1</v>
      </c>
      <c r="K62" s="102">
        <v>1</v>
      </c>
      <c r="L62" s="100"/>
      <c r="M62" s="135"/>
      <c r="N62" s="135"/>
      <c r="O62" s="100"/>
      <c r="P62" s="100"/>
      <c r="Q62" s="100"/>
      <c r="R62" s="100"/>
      <c r="S62" s="100"/>
      <c r="T62" s="100"/>
      <c r="U62" s="100"/>
      <c r="V62" s="100"/>
      <c r="W62" s="100"/>
    </row>
    <row r="63" spans="1:23" ht="15" thickBot="1" x14ac:dyDescent="0.35">
      <c r="A63" s="100"/>
      <c r="B63" s="100"/>
      <c r="C63" s="100"/>
      <c r="D63" s="100"/>
      <c r="E63" s="100"/>
      <c r="F63" s="100"/>
      <c r="G63" s="100"/>
      <c r="H63" s="100"/>
      <c r="I63" s="108"/>
      <c r="J63" s="108"/>
      <c r="K63" s="108"/>
      <c r="L63" s="100"/>
      <c r="M63" s="135"/>
      <c r="N63" s="135"/>
      <c r="O63" s="100"/>
      <c r="P63" s="100"/>
      <c r="Q63" s="100"/>
      <c r="R63" s="100"/>
      <c r="S63" s="100"/>
      <c r="T63" s="100"/>
      <c r="U63" s="100"/>
      <c r="V63" s="100"/>
      <c r="W63" s="100"/>
    </row>
    <row r="64" spans="1:23" x14ac:dyDescent="0.3">
      <c r="A64" s="103" t="s">
        <v>118</v>
      </c>
      <c r="B64" s="103"/>
      <c r="C64" s="103"/>
      <c r="D64" s="103"/>
      <c r="E64" s="103"/>
      <c r="F64" s="103"/>
      <c r="G64" s="50"/>
      <c r="H64" s="51"/>
      <c r="I64" s="104">
        <f>(K64-J64)/K64*100%</f>
        <v>0</v>
      </c>
      <c r="J64" s="105">
        <f>SUM(J65:J71)</f>
        <v>6</v>
      </c>
      <c r="K64" s="105">
        <f>SUM(K65:K71)</f>
        <v>6</v>
      </c>
      <c r="L64" s="103"/>
      <c r="M64" s="134"/>
      <c r="N64" s="51"/>
      <c r="O64" s="51"/>
      <c r="P64" s="103"/>
      <c r="Q64" s="103"/>
      <c r="R64" s="103"/>
      <c r="S64" s="103"/>
      <c r="T64" s="103"/>
      <c r="U64" s="103"/>
      <c r="V64" s="103"/>
      <c r="W64" s="103"/>
    </row>
    <row r="65" spans="1:23" ht="15" thickBot="1" x14ac:dyDescent="0.35">
      <c r="A65" s="149" t="s">
        <v>119</v>
      </c>
      <c r="B65" s="149"/>
      <c r="C65" s="149"/>
      <c r="D65" s="149"/>
      <c r="E65" s="149"/>
      <c r="F65" s="149"/>
      <c r="G65" s="86" t="s">
        <v>75</v>
      </c>
      <c r="H65" s="44"/>
      <c r="I65" s="82">
        <v>0</v>
      </c>
      <c r="J65" s="102">
        <f>K65-I65*K65</f>
        <v>1</v>
      </c>
      <c r="K65" s="102">
        <v>1</v>
      </c>
      <c r="L65" s="41"/>
      <c r="M65" s="44"/>
      <c r="N65" s="44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5" thickBot="1" x14ac:dyDescent="0.35">
      <c r="A66" s="149" t="s">
        <v>120</v>
      </c>
      <c r="B66" s="149"/>
      <c r="C66" s="149"/>
      <c r="D66" s="149"/>
      <c r="E66" s="149"/>
      <c r="F66" s="149"/>
      <c r="G66" s="86" t="s">
        <v>75</v>
      </c>
      <c r="H66" s="44"/>
      <c r="I66" s="82">
        <v>0</v>
      </c>
      <c r="J66" s="102">
        <f t="shared" ref="J66:J67" si="4">K66-I66*K66</f>
        <v>1</v>
      </c>
      <c r="K66" s="102">
        <v>1</v>
      </c>
      <c r="L66" s="41"/>
      <c r="M66" s="44"/>
      <c r="N66" s="44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15" thickBot="1" x14ac:dyDescent="0.35">
      <c r="A67" s="149" t="s">
        <v>121</v>
      </c>
      <c r="B67" s="149"/>
      <c r="C67" s="149"/>
      <c r="D67" s="149"/>
      <c r="E67" s="149"/>
      <c r="F67" s="149"/>
      <c r="G67" s="86" t="s">
        <v>75</v>
      </c>
      <c r="H67" s="44"/>
      <c r="I67" s="82">
        <v>0</v>
      </c>
      <c r="J67" s="102">
        <f t="shared" si="4"/>
        <v>1</v>
      </c>
      <c r="K67" s="102">
        <v>1</v>
      </c>
      <c r="L67" s="41"/>
      <c r="M67" s="44"/>
      <c r="N67" s="44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5" thickBot="1" x14ac:dyDescent="0.35">
      <c r="A68" s="149" t="s">
        <v>122</v>
      </c>
      <c r="B68" s="149"/>
      <c r="C68" s="149"/>
      <c r="D68" s="149"/>
      <c r="E68" s="149"/>
      <c r="F68" s="149"/>
      <c r="G68" s="86" t="s">
        <v>75</v>
      </c>
      <c r="H68" s="44"/>
      <c r="I68" s="82">
        <v>0</v>
      </c>
      <c r="J68" s="102">
        <v>1</v>
      </c>
      <c r="K68" s="102">
        <v>1</v>
      </c>
      <c r="L68" s="41"/>
      <c r="M68" s="44"/>
      <c r="N68" s="44"/>
      <c r="O68" s="11"/>
      <c r="P68" s="11"/>
      <c r="Q68" s="11"/>
      <c r="R68" s="11"/>
      <c r="S68" s="11"/>
      <c r="T68" s="11"/>
      <c r="U68" s="11"/>
      <c r="V68" s="11"/>
      <c r="W68" s="11"/>
    </row>
    <row r="69" spans="1:23" ht="15" thickBot="1" x14ac:dyDescent="0.35">
      <c r="A69" s="149" t="s">
        <v>123</v>
      </c>
      <c r="B69" s="149"/>
      <c r="C69" s="149"/>
      <c r="D69" s="149"/>
      <c r="E69" s="149"/>
      <c r="F69" s="149"/>
      <c r="G69" s="86" t="s">
        <v>75</v>
      </c>
      <c r="H69" s="44"/>
      <c r="I69" s="82">
        <v>0</v>
      </c>
      <c r="J69" s="102">
        <f>K69-I69*K69</f>
        <v>1</v>
      </c>
      <c r="K69" s="102">
        <v>1</v>
      </c>
      <c r="L69" s="41"/>
      <c r="M69" s="44"/>
      <c r="N69" s="44"/>
      <c r="O69" s="11"/>
      <c r="P69" s="11"/>
      <c r="Q69" s="11"/>
      <c r="R69" s="11"/>
      <c r="S69" s="11"/>
      <c r="T69" s="11"/>
      <c r="U69" s="11"/>
      <c r="V69" s="11"/>
      <c r="W69" s="11"/>
    </row>
    <row r="70" spans="1:23" ht="15" thickBot="1" x14ac:dyDescent="0.35">
      <c r="A70" s="149" t="s">
        <v>124</v>
      </c>
      <c r="B70" s="149"/>
      <c r="C70" s="149"/>
      <c r="D70" s="149"/>
      <c r="E70" s="149"/>
      <c r="F70" s="149"/>
      <c r="G70" s="86" t="s">
        <v>75</v>
      </c>
      <c r="H70" s="44"/>
      <c r="I70" s="82">
        <v>0</v>
      </c>
      <c r="J70" s="102">
        <v>1</v>
      </c>
      <c r="K70" s="102">
        <v>1</v>
      </c>
      <c r="L70" s="41"/>
      <c r="M70" s="44"/>
      <c r="N70" s="44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5" thickBot="1" x14ac:dyDescent="0.35">
      <c r="A71" s="100"/>
      <c r="B71" s="100"/>
      <c r="C71" s="100"/>
      <c r="D71" s="100"/>
      <c r="E71" s="100"/>
      <c r="F71" s="100"/>
      <c r="H71" s="44"/>
      <c r="I71" s="11"/>
      <c r="J71" s="41"/>
      <c r="K71" s="64"/>
      <c r="L71" s="41"/>
      <c r="M71" s="44"/>
      <c r="N71" s="44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3">
      <c r="A72" s="103" t="s">
        <v>125</v>
      </c>
      <c r="B72" s="103"/>
      <c r="C72" s="103"/>
      <c r="D72" s="103"/>
      <c r="E72" s="103"/>
      <c r="F72" s="103"/>
      <c r="G72" s="50"/>
      <c r="H72" s="51"/>
      <c r="I72" s="104">
        <f>(K72-J72)/K72*100%</f>
        <v>0</v>
      </c>
      <c r="J72" s="105">
        <f>SUM(J73:J75)</f>
        <v>2</v>
      </c>
      <c r="K72" s="105">
        <f>SUM(K73:K75)</f>
        <v>2</v>
      </c>
      <c r="L72" s="49"/>
      <c r="M72" s="51"/>
      <c r="N72" s="51"/>
      <c r="O72" s="51"/>
      <c r="P72" s="50"/>
      <c r="Q72" s="51"/>
      <c r="R72" s="51"/>
      <c r="S72" s="51"/>
      <c r="T72" s="51"/>
      <c r="U72" s="51"/>
      <c r="V72" s="51"/>
      <c r="W72" s="51"/>
    </row>
    <row r="73" spans="1:23" ht="15" thickBot="1" x14ac:dyDescent="0.35">
      <c r="A73" s="149" t="s">
        <v>126</v>
      </c>
      <c r="B73" s="149"/>
      <c r="C73" s="149"/>
      <c r="D73" s="149"/>
      <c r="E73" s="149"/>
      <c r="F73" s="149"/>
      <c r="G73" s="86" t="s">
        <v>127</v>
      </c>
      <c r="H73" s="44"/>
      <c r="I73" s="82">
        <v>0</v>
      </c>
      <c r="J73" s="102">
        <f>K73-I73*K73</f>
        <v>1</v>
      </c>
      <c r="K73" s="102">
        <v>1</v>
      </c>
      <c r="L73" s="41"/>
      <c r="M73" s="44"/>
      <c r="N73" s="44"/>
      <c r="O73" s="11"/>
      <c r="P73" s="11"/>
      <c r="Q73" s="11"/>
      <c r="R73" s="11"/>
      <c r="S73" s="11"/>
      <c r="T73" s="11"/>
      <c r="U73" s="11"/>
      <c r="V73" s="11"/>
      <c r="W73" s="11"/>
    </row>
    <row r="74" spans="1:23" ht="15" thickBot="1" x14ac:dyDescent="0.35">
      <c r="A74" s="149" t="s">
        <v>128</v>
      </c>
      <c r="B74" s="149"/>
      <c r="C74" s="149"/>
      <c r="D74" s="149"/>
      <c r="E74" s="149"/>
      <c r="F74" s="149"/>
      <c r="G74" s="86" t="s">
        <v>127</v>
      </c>
      <c r="H74" s="44"/>
      <c r="I74" s="82">
        <v>0</v>
      </c>
      <c r="J74" s="102">
        <f>K74-I74*K74</f>
        <v>1</v>
      </c>
      <c r="K74" s="102">
        <v>1</v>
      </c>
      <c r="L74" s="41"/>
      <c r="M74" s="44"/>
      <c r="N74" s="44"/>
      <c r="O74" s="11"/>
      <c r="P74" s="11"/>
      <c r="Q74" s="11"/>
      <c r="R74" s="11"/>
      <c r="S74" s="11"/>
      <c r="T74" s="11"/>
      <c r="U74" s="11"/>
      <c r="V74" s="11"/>
      <c r="W74" s="11"/>
    </row>
    <row r="75" spans="1:23" ht="15" thickBot="1" x14ac:dyDescent="0.35">
      <c r="A75" s="76"/>
      <c r="B75" s="76"/>
      <c r="C75" s="76"/>
      <c r="D75" s="76"/>
      <c r="E75" s="76"/>
      <c r="F75" s="76"/>
      <c r="G75" s="11"/>
      <c r="H75" s="44"/>
      <c r="I75" s="11"/>
      <c r="J75" s="41"/>
      <c r="K75" s="64"/>
      <c r="L75" s="41"/>
      <c r="M75" s="44"/>
      <c r="N75" s="44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3">
      <c r="A76" s="103" t="s">
        <v>129</v>
      </c>
      <c r="B76" s="103"/>
      <c r="C76" s="103"/>
      <c r="D76" s="103"/>
      <c r="E76" s="103"/>
      <c r="F76" s="103"/>
      <c r="G76" s="50"/>
      <c r="H76" s="51"/>
      <c r="I76" s="104">
        <f>(K76-J76)/K76*100%</f>
        <v>1</v>
      </c>
      <c r="J76" s="105">
        <f>SUM(J77:J81)</f>
        <v>0</v>
      </c>
      <c r="K76" s="105">
        <f>SUM(K77:K81)</f>
        <v>1</v>
      </c>
      <c r="L76" s="50"/>
      <c r="M76" s="51"/>
      <c r="N76" s="51"/>
      <c r="O76" s="51"/>
      <c r="P76" s="50"/>
      <c r="Q76" s="51"/>
      <c r="R76" s="51"/>
      <c r="S76" s="51"/>
      <c r="T76" s="51"/>
      <c r="U76" s="51"/>
      <c r="V76" s="51"/>
      <c r="W76" s="51"/>
    </row>
    <row r="77" spans="1:23" ht="15" thickBot="1" x14ac:dyDescent="0.35">
      <c r="A77" s="149" t="s">
        <v>130</v>
      </c>
      <c r="B77" s="149"/>
      <c r="C77" s="149"/>
      <c r="D77" s="149"/>
      <c r="E77" s="149"/>
      <c r="F77" s="149"/>
      <c r="G77" s="86" t="s">
        <v>127</v>
      </c>
      <c r="H77" s="44" t="s">
        <v>131</v>
      </c>
      <c r="I77" s="82">
        <v>1</v>
      </c>
      <c r="J77" s="102">
        <f>K77-I77*K77</f>
        <v>0</v>
      </c>
      <c r="K77" s="102">
        <v>1</v>
      </c>
      <c r="L77" s="41"/>
      <c r="M77" s="44"/>
      <c r="N77" s="44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5" thickBot="1" x14ac:dyDescent="0.35">
      <c r="A78" s="149"/>
      <c r="B78" s="149"/>
      <c r="C78" s="149"/>
      <c r="D78" s="149"/>
      <c r="E78" s="149"/>
      <c r="F78" s="149"/>
      <c r="G78" s="86"/>
      <c r="H78" s="44"/>
      <c r="I78" s="82"/>
      <c r="J78" s="102"/>
      <c r="K78" s="102"/>
      <c r="L78" s="41"/>
      <c r="M78" s="44"/>
      <c r="N78" s="44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15" thickBot="1" x14ac:dyDescent="0.35">
      <c r="A79" s="149"/>
      <c r="B79" s="149"/>
      <c r="C79" s="149"/>
      <c r="D79" s="149"/>
      <c r="E79" s="149"/>
      <c r="F79" s="149"/>
      <c r="G79" s="86"/>
      <c r="H79" s="44"/>
      <c r="I79" s="82"/>
      <c r="J79" s="102"/>
      <c r="K79" s="102"/>
      <c r="L79" s="41"/>
      <c r="M79" s="44"/>
      <c r="N79" s="44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15" thickBot="1" x14ac:dyDescent="0.35">
      <c r="A80" s="149"/>
      <c r="B80" s="149"/>
      <c r="C80" s="149"/>
      <c r="D80" s="149"/>
      <c r="E80" s="149"/>
      <c r="F80" s="149"/>
      <c r="G80" s="86"/>
      <c r="H80" s="44"/>
      <c r="I80" s="82"/>
      <c r="J80" s="102"/>
      <c r="K80" s="102"/>
      <c r="L80" s="39"/>
    </row>
    <row r="81" spans="1:23" ht="15" thickBot="1" x14ac:dyDescent="0.35">
      <c r="A81" s="81"/>
      <c r="B81" s="81"/>
      <c r="C81" s="81"/>
      <c r="D81" s="81"/>
      <c r="E81" s="81"/>
      <c r="F81" s="81"/>
      <c r="H81" s="38"/>
      <c r="I81" s="40"/>
      <c r="J81" s="47"/>
      <c r="K81" s="63"/>
      <c r="L81" s="39"/>
    </row>
    <row r="82" spans="1:23" x14ac:dyDescent="0.3">
      <c r="A82" s="85" t="s">
        <v>132</v>
      </c>
      <c r="B82" s="77"/>
      <c r="C82" s="77"/>
      <c r="D82" s="77"/>
      <c r="E82" s="77"/>
      <c r="F82" s="77"/>
      <c r="G82" s="20"/>
      <c r="H82" s="36"/>
      <c r="I82" s="104">
        <f>(K82-J82)/K82*100%</f>
        <v>0</v>
      </c>
      <c r="J82" s="79">
        <f>SUM(J83:J86)</f>
        <v>3</v>
      </c>
      <c r="K82" s="80">
        <f>SUM(K83:K86)</f>
        <v>3</v>
      </c>
      <c r="L82" s="39"/>
    </row>
    <row r="83" spans="1:23" ht="15" thickBot="1" x14ac:dyDescent="0.35">
      <c r="A83" s="149" t="s">
        <v>133</v>
      </c>
      <c r="B83" s="149"/>
      <c r="C83" s="149"/>
      <c r="D83" s="149"/>
      <c r="E83" s="149"/>
      <c r="F83" s="149"/>
      <c r="G83" s="86" t="s">
        <v>87</v>
      </c>
      <c r="H83" s="44"/>
      <c r="I83" s="82">
        <v>0</v>
      </c>
      <c r="J83" s="102">
        <f>K83-I83*K83</f>
        <v>1</v>
      </c>
      <c r="K83" s="102">
        <v>1</v>
      </c>
      <c r="L83" s="39"/>
    </row>
    <row r="84" spans="1:23" ht="15" thickBot="1" x14ac:dyDescent="0.35">
      <c r="A84" s="149" t="s">
        <v>134</v>
      </c>
      <c r="B84" s="149"/>
      <c r="C84" s="149"/>
      <c r="D84" s="149"/>
      <c r="E84" s="149"/>
      <c r="F84" s="149"/>
      <c r="G84" s="86" t="s">
        <v>87</v>
      </c>
      <c r="H84" s="38"/>
      <c r="I84" s="82">
        <v>0</v>
      </c>
      <c r="J84" s="102">
        <f>K84-I84*K84</f>
        <v>1</v>
      </c>
      <c r="K84" s="102">
        <v>1</v>
      </c>
      <c r="L84" s="39"/>
    </row>
    <row r="85" spans="1:23" ht="15" thickBot="1" x14ac:dyDescent="0.35">
      <c r="A85" s="149" t="s">
        <v>135</v>
      </c>
      <c r="B85" s="149"/>
      <c r="C85" s="149"/>
      <c r="D85" s="149"/>
      <c r="E85" s="149"/>
      <c r="F85" s="149"/>
      <c r="G85" s="86" t="s">
        <v>87</v>
      </c>
      <c r="H85" s="38"/>
      <c r="I85" s="82">
        <v>0</v>
      </c>
      <c r="J85" s="102">
        <f>K85-I85*K85</f>
        <v>1</v>
      </c>
      <c r="K85" s="102">
        <v>1</v>
      </c>
      <c r="L85" s="39"/>
    </row>
    <row r="86" spans="1:23" ht="15" thickBot="1" x14ac:dyDescent="0.35">
      <c r="A86" s="100"/>
      <c r="B86" s="100"/>
      <c r="C86" s="100"/>
      <c r="D86" s="100"/>
      <c r="E86" s="100"/>
      <c r="F86" s="100"/>
      <c r="G86" s="86"/>
      <c r="H86" s="38"/>
      <c r="I86" s="112"/>
      <c r="J86" s="102"/>
      <c r="K86" s="102"/>
      <c r="L86" s="39"/>
    </row>
    <row r="87" spans="1:23" x14ac:dyDescent="0.3">
      <c r="A87" s="85" t="s">
        <v>136</v>
      </c>
      <c r="B87" s="77"/>
      <c r="C87" s="77"/>
      <c r="D87" s="77"/>
      <c r="E87" s="77"/>
      <c r="F87" s="77"/>
      <c r="G87" s="20"/>
      <c r="H87" s="36"/>
      <c r="I87" s="104">
        <f>(K87-J87)/K87*100%</f>
        <v>0</v>
      </c>
      <c r="J87" s="79">
        <f>SUM(J88:J92)</f>
        <v>4</v>
      </c>
      <c r="K87" s="80">
        <f>SUM(K88:K92)</f>
        <v>4</v>
      </c>
      <c r="L87" s="37"/>
      <c r="M87" s="36"/>
      <c r="N87" s="36"/>
      <c r="O87" s="20"/>
      <c r="P87" s="20"/>
      <c r="Q87" s="20"/>
      <c r="R87" s="20"/>
      <c r="S87" s="20"/>
      <c r="T87" s="20"/>
      <c r="U87" s="20"/>
      <c r="V87" s="20"/>
      <c r="W87" s="20"/>
    </row>
    <row r="88" spans="1:23" ht="15" thickBot="1" x14ac:dyDescent="0.35">
      <c r="A88" s="149" t="s">
        <v>137</v>
      </c>
      <c r="B88" s="149"/>
      <c r="C88" s="149"/>
      <c r="D88" s="149"/>
      <c r="E88" s="149"/>
      <c r="F88" s="149"/>
      <c r="G88" s="86" t="s">
        <v>87</v>
      </c>
      <c r="H88" s="44"/>
      <c r="I88" s="82">
        <v>0</v>
      </c>
      <c r="J88" s="102">
        <f>K88-I88*K88</f>
        <v>1</v>
      </c>
      <c r="K88" s="102">
        <v>1</v>
      </c>
      <c r="L88" s="41"/>
      <c r="M88" s="44"/>
      <c r="N88" s="44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5" thickBot="1" x14ac:dyDescent="0.35">
      <c r="A89" s="149" t="s">
        <v>138</v>
      </c>
      <c r="B89" s="149"/>
      <c r="C89" s="149"/>
      <c r="D89" s="149"/>
      <c r="E89" s="149"/>
      <c r="F89" s="149"/>
      <c r="G89" s="86" t="s">
        <v>75</v>
      </c>
      <c r="H89" s="38"/>
      <c r="I89" s="82">
        <v>0</v>
      </c>
      <c r="J89" s="102">
        <f t="shared" ref="J89:J90" si="5">K89-I89*K89</f>
        <v>1</v>
      </c>
      <c r="K89" s="102">
        <v>1</v>
      </c>
      <c r="L89" s="39"/>
    </row>
    <row r="90" spans="1:23" ht="15" thickBot="1" x14ac:dyDescent="0.35">
      <c r="A90" s="149" t="s">
        <v>139</v>
      </c>
      <c r="B90" s="149"/>
      <c r="C90" s="149"/>
      <c r="D90" s="149"/>
      <c r="E90" s="149"/>
      <c r="F90" s="149"/>
      <c r="G90" s="86" t="s">
        <v>75</v>
      </c>
      <c r="H90" s="38"/>
      <c r="I90" s="82">
        <v>0</v>
      </c>
      <c r="J90" s="102">
        <f t="shared" si="5"/>
        <v>1</v>
      </c>
      <c r="K90" s="102">
        <v>1</v>
      </c>
      <c r="L90" s="39"/>
    </row>
    <row r="91" spans="1:23" ht="15" thickBot="1" x14ac:dyDescent="0.35">
      <c r="A91" s="149" t="s">
        <v>140</v>
      </c>
      <c r="B91" s="149"/>
      <c r="C91" s="149"/>
      <c r="D91" s="149"/>
      <c r="E91" s="149"/>
      <c r="F91" s="149"/>
      <c r="G91" s="86" t="s">
        <v>141</v>
      </c>
      <c r="H91" s="38"/>
      <c r="I91" s="82">
        <v>0</v>
      </c>
      <c r="J91" s="102">
        <f>K91-I91*K91</f>
        <v>1</v>
      </c>
      <c r="K91" s="102">
        <v>1</v>
      </c>
      <c r="L91" s="39"/>
    </row>
    <row r="92" spans="1:23" ht="15" thickBot="1" x14ac:dyDescent="0.35">
      <c r="A92" s="100"/>
      <c r="B92" s="100"/>
      <c r="C92" s="100"/>
      <c r="D92" s="100"/>
      <c r="E92" s="100"/>
      <c r="F92" s="81"/>
      <c r="H92" s="38"/>
      <c r="I92" s="38"/>
      <c r="J92" s="38"/>
      <c r="K92" s="38"/>
      <c r="L92" s="39"/>
    </row>
    <row r="93" spans="1:23" x14ac:dyDescent="0.3">
      <c r="A93" s="85" t="s">
        <v>142</v>
      </c>
      <c r="B93" s="77"/>
      <c r="C93" s="77"/>
      <c r="D93" s="77"/>
      <c r="E93" s="77"/>
      <c r="F93" s="77"/>
      <c r="G93" s="20"/>
      <c r="H93" s="36"/>
      <c r="I93" s="104">
        <f>(K93-J93)/K93*100%</f>
        <v>0</v>
      </c>
      <c r="J93" s="79">
        <f>SUM(J94:J98)</f>
        <v>4</v>
      </c>
      <c r="K93" s="80">
        <f>SUM(K94:K98)</f>
        <v>4</v>
      </c>
      <c r="L93" s="37"/>
      <c r="M93" s="36"/>
      <c r="N93" s="36"/>
      <c r="O93" s="20"/>
      <c r="P93" s="20"/>
      <c r="Q93" s="20"/>
      <c r="R93" s="20"/>
      <c r="S93" s="20"/>
      <c r="T93" s="20"/>
      <c r="U93" s="20"/>
      <c r="V93" s="20"/>
      <c r="W93" s="20"/>
    </row>
    <row r="94" spans="1:23" ht="15" thickBot="1" x14ac:dyDescent="0.35">
      <c r="A94" s="149" t="s">
        <v>143</v>
      </c>
      <c r="B94" s="149"/>
      <c r="C94" s="149"/>
      <c r="D94" s="149"/>
      <c r="E94" s="149"/>
      <c r="F94" s="149"/>
      <c r="G94" s="86" t="s">
        <v>87</v>
      </c>
      <c r="H94" s="44"/>
      <c r="I94" s="82">
        <v>0</v>
      </c>
      <c r="J94" s="102">
        <f>K94-I94*K94</f>
        <v>1</v>
      </c>
      <c r="K94" s="102">
        <v>1</v>
      </c>
      <c r="L94" s="41"/>
      <c r="M94" s="44"/>
      <c r="N94" s="44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15" thickBot="1" x14ac:dyDescent="0.35">
      <c r="A95" s="149" t="s">
        <v>138</v>
      </c>
      <c r="B95" s="149"/>
      <c r="C95" s="149"/>
      <c r="D95" s="149"/>
      <c r="E95" s="149"/>
      <c r="F95" s="149"/>
      <c r="G95" s="86" t="s">
        <v>75</v>
      </c>
      <c r="H95" s="38"/>
      <c r="I95" s="82">
        <v>0</v>
      </c>
      <c r="J95" s="102">
        <f t="shared" ref="J95:J96" si="6">K95-I95*K95</f>
        <v>1</v>
      </c>
      <c r="K95" s="102">
        <v>1</v>
      </c>
      <c r="L95" s="39"/>
    </row>
    <row r="96" spans="1:23" ht="15" thickBot="1" x14ac:dyDescent="0.35">
      <c r="A96" s="149" t="s">
        <v>139</v>
      </c>
      <c r="B96" s="149"/>
      <c r="C96" s="149"/>
      <c r="D96" s="149"/>
      <c r="E96" s="149"/>
      <c r="F96" s="149"/>
      <c r="G96" s="86" t="s">
        <v>75</v>
      </c>
      <c r="H96" s="38"/>
      <c r="I96" s="82">
        <v>0</v>
      </c>
      <c r="J96" s="102">
        <f t="shared" si="6"/>
        <v>1</v>
      </c>
      <c r="K96" s="102">
        <v>1</v>
      </c>
      <c r="L96" s="39"/>
    </row>
    <row r="97" spans="1:23" ht="15" thickBot="1" x14ac:dyDescent="0.35">
      <c r="A97" s="149" t="s">
        <v>140</v>
      </c>
      <c r="B97" s="149"/>
      <c r="C97" s="149"/>
      <c r="D97" s="149"/>
      <c r="E97" s="149"/>
      <c r="F97" s="149"/>
      <c r="G97" s="86" t="s">
        <v>141</v>
      </c>
      <c r="H97" s="38"/>
      <c r="I97" s="82">
        <v>0</v>
      </c>
      <c r="J97" s="102">
        <f>K97-I97*K97</f>
        <v>1</v>
      </c>
      <c r="K97" s="102">
        <v>1</v>
      </c>
      <c r="L97" s="39"/>
    </row>
    <row r="98" spans="1:23" ht="15" thickBot="1" x14ac:dyDescent="0.35">
      <c r="A98" s="100"/>
      <c r="B98" s="100"/>
      <c r="C98" s="100"/>
      <c r="D98" s="100"/>
      <c r="E98" s="100"/>
      <c r="F98" s="81"/>
      <c r="H98" s="38"/>
      <c r="I98" s="38"/>
      <c r="J98" s="38"/>
      <c r="K98" s="38"/>
      <c r="L98" s="39"/>
    </row>
    <row r="99" spans="1:23" x14ac:dyDescent="0.3">
      <c r="A99" s="103" t="s">
        <v>58</v>
      </c>
      <c r="B99" s="103"/>
      <c r="C99" s="103"/>
      <c r="D99" s="103"/>
      <c r="E99" s="103"/>
      <c r="F99" s="103"/>
      <c r="G99" s="50"/>
      <c r="H99" s="51"/>
      <c r="I99" s="104">
        <f>(K99-J99)/K99*100%</f>
        <v>0</v>
      </c>
      <c r="J99" s="79">
        <f>SUM(J100:J108)</f>
        <v>6</v>
      </c>
      <c r="K99" s="80">
        <f>SUM(K100:K108)</f>
        <v>6</v>
      </c>
      <c r="L99" s="50"/>
      <c r="M99" s="51"/>
      <c r="N99" s="51"/>
      <c r="O99" s="51"/>
      <c r="P99" s="50"/>
      <c r="Q99" s="51"/>
      <c r="R99" s="51"/>
      <c r="S99" s="51"/>
      <c r="T99" s="51"/>
      <c r="U99" s="51"/>
      <c r="V99" s="51"/>
      <c r="W99" s="51"/>
    </row>
    <row r="100" spans="1:23" ht="15" thickBot="1" x14ac:dyDescent="0.35">
      <c r="A100" s="149" t="s">
        <v>144</v>
      </c>
      <c r="B100" s="149"/>
      <c r="C100" s="149"/>
      <c r="D100" s="149"/>
      <c r="E100" s="149"/>
      <c r="F100" s="149"/>
      <c r="G100" s="86" t="s">
        <v>75</v>
      </c>
      <c r="H100" s="38"/>
      <c r="I100" s="82">
        <v>0</v>
      </c>
      <c r="J100" s="102">
        <f>K100-I100*K100</f>
        <v>1</v>
      </c>
      <c r="K100" s="102">
        <v>1</v>
      </c>
      <c r="L100" s="39"/>
    </row>
    <row r="101" spans="1:23" ht="15" thickBot="1" x14ac:dyDescent="0.35">
      <c r="A101" s="149" t="s">
        <v>145</v>
      </c>
      <c r="B101" s="149"/>
      <c r="C101" s="149"/>
      <c r="D101" s="149"/>
      <c r="E101" s="149"/>
      <c r="F101" s="149"/>
      <c r="G101" s="86" t="s">
        <v>75</v>
      </c>
      <c r="H101" s="38"/>
      <c r="I101" s="82">
        <v>0</v>
      </c>
      <c r="J101" s="102">
        <f t="shared" ref="J101:J102" si="7">K101-I101*K101</f>
        <v>1</v>
      </c>
      <c r="K101" s="102">
        <v>1</v>
      </c>
      <c r="L101" s="39"/>
    </row>
    <row r="102" spans="1:23" ht="15" thickBot="1" x14ac:dyDescent="0.35">
      <c r="A102" s="149" t="s">
        <v>146</v>
      </c>
      <c r="B102" s="149"/>
      <c r="C102" s="149"/>
      <c r="D102" s="149"/>
      <c r="E102" s="149"/>
      <c r="F102" s="149"/>
      <c r="G102" s="86" t="s">
        <v>87</v>
      </c>
      <c r="H102" s="38"/>
      <c r="I102" s="82">
        <v>0</v>
      </c>
      <c r="J102" s="102">
        <f t="shared" si="7"/>
        <v>1</v>
      </c>
      <c r="K102" s="102">
        <v>1</v>
      </c>
      <c r="L102" s="39"/>
    </row>
    <row r="103" spans="1:23" ht="15" thickBot="1" x14ac:dyDescent="0.35">
      <c r="A103" s="149" t="s">
        <v>147</v>
      </c>
      <c r="B103" s="149"/>
      <c r="C103" s="149"/>
      <c r="D103" s="149"/>
      <c r="E103" s="149"/>
      <c r="F103" s="149"/>
      <c r="G103" s="86" t="s">
        <v>141</v>
      </c>
      <c r="H103" s="38"/>
      <c r="I103" s="82">
        <v>0</v>
      </c>
      <c r="J103" s="102">
        <f>K103-I103*K103</f>
        <v>1</v>
      </c>
      <c r="K103" s="102">
        <v>1</v>
      </c>
      <c r="L103" s="39"/>
    </row>
    <row r="104" spans="1:23" ht="15" thickBot="1" x14ac:dyDescent="0.35">
      <c r="A104" s="150" t="s">
        <v>148</v>
      </c>
      <c r="B104" s="150"/>
      <c r="C104" s="150"/>
      <c r="D104" s="150"/>
      <c r="E104" s="150"/>
      <c r="F104" s="150"/>
      <c r="G104" s="86" t="s">
        <v>141</v>
      </c>
      <c r="H104" s="38"/>
      <c r="I104" s="82">
        <v>0</v>
      </c>
      <c r="J104" s="102">
        <f>K104-I104*K104</f>
        <v>1</v>
      </c>
      <c r="K104" s="102">
        <v>1</v>
      </c>
      <c r="L104" s="39"/>
    </row>
    <row r="105" spans="1:23" x14ac:dyDescent="0.3">
      <c r="A105" s="109"/>
      <c r="B105" s="109"/>
      <c r="C105" s="109"/>
      <c r="D105" s="109"/>
      <c r="E105" s="109"/>
      <c r="F105" s="109"/>
      <c r="H105" s="38"/>
      <c r="I105" s="38"/>
      <c r="J105" s="38"/>
      <c r="K105" s="38"/>
      <c r="L105" s="38"/>
    </row>
    <row r="106" spans="1:23" ht="15" thickBot="1" x14ac:dyDescent="0.35">
      <c r="A106" s="151" t="s">
        <v>149</v>
      </c>
      <c r="B106" s="151"/>
      <c r="C106" s="151"/>
      <c r="D106" s="151"/>
      <c r="E106" s="151"/>
      <c r="F106" s="151"/>
      <c r="G106" s="86" t="s">
        <v>141</v>
      </c>
      <c r="H106" s="38"/>
      <c r="I106" s="82">
        <v>0</v>
      </c>
      <c r="J106" s="102">
        <f>K106-I106*K106</f>
        <v>1</v>
      </c>
      <c r="K106" s="102">
        <v>1</v>
      </c>
      <c r="L106" s="39"/>
    </row>
    <row r="107" spans="1:23" ht="15" thickBot="1" x14ac:dyDescent="0.35">
      <c r="A107" s="81"/>
      <c r="B107" s="81"/>
      <c r="C107" s="81"/>
      <c r="D107" s="81"/>
      <c r="E107" s="81"/>
      <c r="F107" s="81"/>
      <c r="J107" s="39"/>
      <c r="K107" s="63"/>
    </row>
    <row r="108" spans="1:23" ht="15" thickBot="1" x14ac:dyDescent="0.35">
      <c r="A108" s="110"/>
      <c r="B108" s="110"/>
      <c r="C108" s="110"/>
      <c r="D108" s="110"/>
      <c r="E108" s="81"/>
      <c r="F108" s="81"/>
      <c r="H108" s="38"/>
      <c r="I108" s="48"/>
      <c r="J108" s="39"/>
      <c r="K108" s="63"/>
      <c r="L108" s="39"/>
    </row>
    <row r="109" spans="1:23" x14ac:dyDescent="0.3">
      <c r="A109" s="20" t="s">
        <v>150</v>
      </c>
      <c r="B109" s="77"/>
      <c r="C109" s="77"/>
      <c r="D109" s="77"/>
      <c r="E109" s="77"/>
      <c r="F109" s="77"/>
      <c r="G109" s="20"/>
      <c r="H109" s="36"/>
      <c r="I109" s="104">
        <f>(K109-J109)/K109*100%</f>
        <v>0</v>
      </c>
      <c r="J109" s="79">
        <f>SUM(J110:J118)</f>
        <v>8</v>
      </c>
      <c r="K109" s="80">
        <f>SUM(K110:K118)</f>
        <v>8</v>
      </c>
      <c r="L109" s="37"/>
      <c r="M109" s="36"/>
      <c r="N109" s="36"/>
      <c r="O109" s="20"/>
      <c r="P109" s="20"/>
      <c r="Q109" s="20"/>
      <c r="R109" s="20"/>
      <c r="S109" s="20"/>
      <c r="T109" s="20"/>
      <c r="U109" s="20"/>
      <c r="V109" s="20"/>
      <c r="W109" s="20"/>
    </row>
    <row r="110" spans="1:23" ht="15" thickBot="1" x14ac:dyDescent="0.35">
      <c r="A110" s="152" t="s">
        <v>151</v>
      </c>
      <c r="B110" s="152"/>
      <c r="C110" s="152"/>
      <c r="D110" s="152"/>
      <c r="E110" s="152"/>
      <c r="F110" s="152"/>
      <c r="G110" s="86" t="s">
        <v>75</v>
      </c>
      <c r="H110" s="38"/>
      <c r="I110" s="82">
        <v>0</v>
      </c>
      <c r="J110" s="102">
        <f>K110-I110*K110</f>
        <v>1</v>
      </c>
      <c r="K110" s="102">
        <v>1</v>
      </c>
      <c r="L110" s="39"/>
    </row>
    <row r="111" spans="1:23" ht="15" thickBot="1" x14ac:dyDescent="0.35">
      <c r="A111" s="149" t="s">
        <v>152</v>
      </c>
      <c r="B111" s="149"/>
      <c r="C111" s="149"/>
      <c r="D111" s="149"/>
      <c r="E111" s="149"/>
      <c r="F111" s="149"/>
      <c r="G111" s="86" t="s">
        <v>75</v>
      </c>
      <c r="H111" s="38"/>
      <c r="I111" s="82">
        <v>0</v>
      </c>
      <c r="J111" s="102">
        <f t="shared" ref="J111:J112" si="8">K111-I111*K111</f>
        <v>1</v>
      </c>
      <c r="K111" s="102">
        <v>1</v>
      </c>
      <c r="L111" s="39"/>
    </row>
    <row r="112" spans="1:23" ht="15" thickBot="1" x14ac:dyDescent="0.35">
      <c r="A112" s="149" t="s">
        <v>153</v>
      </c>
      <c r="B112" s="149"/>
      <c r="C112" s="149"/>
      <c r="D112" s="149"/>
      <c r="E112" s="149"/>
      <c r="F112" s="149"/>
      <c r="G112" s="86" t="s">
        <v>75</v>
      </c>
      <c r="H112" s="38"/>
      <c r="I112" s="82">
        <v>0</v>
      </c>
      <c r="J112" s="102">
        <f t="shared" si="8"/>
        <v>1</v>
      </c>
      <c r="K112" s="102">
        <v>1</v>
      </c>
      <c r="L112" s="39"/>
    </row>
    <row r="113" spans="1:23" ht="15" thickBot="1" x14ac:dyDescent="0.35">
      <c r="A113" s="149" t="s">
        <v>154</v>
      </c>
      <c r="B113" s="149"/>
      <c r="C113" s="149"/>
      <c r="D113" s="149"/>
      <c r="E113" s="149"/>
      <c r="F113" s="149"/>
      <c r="G113" s="86" t="s">
        <v>87</v>
      </c>
      <c r="H113" s="38"/>
      <c r="I113" s="82">
        <v>0</v>
      </c>
      <c r="J113" s="102">
        <f>K113-I113*K113</f>
        <v>1</v>
      </c>
      <c r="K113" s="102">
        <v>1</v>
      </c>
      <c r="L113" s="39"/>
    </row>
    <row r="114" spans="1:23" ht="15" thickBot="1" x14ac:dyDescent="0.35">
      <c r="A114" s="149" t="s">
        <v>155</v>
      </c>
      <c r="B114" s="149"/>
      <c r="C114" s="149"/>
      <c r="D114" s="149"/>
      <c r="E114" s="149"/>
      <c r="F114" s="149"/>
      <c r="G114" s="86" t="s">
        <v>87</v>
      </c>
      <c r="H114" s="38"/>
      <c r="I114" s="82">
        <v>0</v>
      </c>
      <c r="J114" s="102">
        <f>K114-I114*K114</f>
        <v>1</v>
      </c>
      <c r="K114" s="102">
        <v>1</v>
      </c>
      <c r="L114" s="39"/>
    </row>
    <row r="115" spans="1:23" ht="15" thickBot="1" x14ac:dyDescent="0.35">
      <c r="A115" s="149" t="s">
        <v>156</v>
      </c>
      <c r="B115" s="149"/>
      <c r="C115" s="149"/>
      <c r="D115" s="149"/>
      <c r="E115" s="149"/>
      <c r="F115" s="149"/>
      <c r="G115" s="86" t="s">
        <v>87</v>
      </c>
      <c r="H115" s="38"/>
      <c r="I115" s="82">
        <v>0</v>
      </c>
      <c r="J115" s="102">
        <f>K115-I115*K115</f>
        <v>1</v>
      </c>
      <c r="K115" s="102">
        <v>1</v>
      </c>
      <c r="L115" s="39"/>
    </row>
    <row r="116" spans="1:23" ht="15" thickBot="1" x14ac:dyDescent="0.35">
      <c r="A116" s="149" t="s">
        <v>157</v>
      </c>
      <c r="B116" s="149"/>
      <c r="C116" s="149"/>
      <c r="D116" s="149"/>
      <c r="E116" s="149"/>
      <c r="F116" s="149"/>
      <c r="G116" s="86" t="s">
        <v>127</v>
      </c>
      <c r="H116" s="38"/>
      <c r="I116" s="82">
        <v>0</v>
      </c>
      <c r="J116" s="102">
        <f t="shared" ref="J116:J117" si="9">K116-I116*K116</f>
        <v>1</v>
      </c>
      <c r="K116" s="102">
        <v>1</v>
      </c>
      <c r="L116" s="39"/>
    </row>
    <row r="117" spans="1:23" ht="15" thickBot="1" x14ac:dyDescent="0.35">
      <c r="A117" s="149" t="s">
        <v>158</v>
      </c>
      <c r="B117" s="149"/>
      <c r="C117" s="149"/>
      <c r="D117" s="149"/>
      <c r="E117" s="149"/>
      <c r="F117" s="149"/>
      <c r="G117" s="86" t="s">
        <v>159</v>
      </c>
      <c r="H117" s="38"/>
      <c r="I117" s="82">
        <v>0</v>
      </c>
      <c r="J117" s="102">
        <f t="shared" si="9"/>
        <v>1</v>
      </c>
      <c r="K117" s="102">
        <v>1</v>
      </c>
      <c r="L117" s="39"/>
    </row>
    <row r="118" spans="1:23" ht="15" thickBot="1" x14ac:dyDescent="0.35">
      <c r="A118" s="148"/>
      <c r="B118" s="148"/>
      <c r="C118" s="148"/>
      <c r="D118" s="148"/>
      <c r="E118" s="148"/>
      <c r="F118" s="148"/>
      <c r="H118" s="38"/>
      <c r="I118" s="48"/>
      <c r="J118" s="39"/>
      <c r="K118" s="63"/>
      <c r="L118" s="39"/>
    </row>
    <row r="119" spans="1:23" x14ac:dyDescent="0.3">
      <c r="A119" s="20" t="s">
        <v>160</v>
      </c>
      <c r="B119" s="77"/>
      <c r="C119" s="77"/>
      <c r="D119" s="77"/>
      <c r="E119" s="77"/>
      <c r="F119" s="77"/>
      <c r="G119" s="20"/>
      <c r="H119" s="36"/>
      <c r="I119" s="104">
        <f>(K119-J119)/K119*100%</f>
        <v>0</v>
      </c>
      <c r="J119" s="79">
        <f>SUM(J120:J129)</f>
        <v>8</v>
      </c>
      <c r="K119" s="80">
        <f>SUM(K120:K129)</f>
        <v>8</v>
      </c>
      <c r="L119" s="37"/>
      <c r="M119" s="36"/>
      <c r="N119" s="36"/>
      <c r="O119" s="20"/>
      <c r="P119" s="20"/>
      <c r="Q119" s="20"/>
      <c r="R119" s="20"/>
      <c r="S119" s="20"/>
      <c r="T119" s="20"/>
      <c r="U119" s="20"/>
      <c r="V119" s="20"/>
      <c r="W119" s="20"/>
    </row>
    <row r="120" spans="1:23" ht="15" thickBot="1" x14ac:dyDescent="0.35">
      <c r="A120" s="149" t="s">
        <v>151</v>
      </c>
      <c r="B120" s="149"/>
      <c r="C120" s="149"/>
      <c r="D120" s="149"/>
      <c r="E120" s="149"/>
      <c r="F120" s="149"/>
      <c r="G120" s="86" t="s">
        <v>75</v>
      </c>
      <c r="H120" s="38"/>
      <c r="I120" s="82">
        <v>0</v>
      </c>
      <c r="J120" s="102">
        <f>K120-I120*K120</f>
        <v>1</v>
      </c>
      <c r="K120" s="102">
        <v>1</v>
      </c>
      <c r="L120" s="39"/>
    </row>
    <row r="121" spans="1:23" ht="15" thickBot="1" x14ac:dyDescent="0.35">
      <c r="A121" s="149" t="s">
        <v>153</v>
      </c>
      <c r="B121" s="149"/>
      <c r="C121" s="149"/>
      <c r="D121" s="149"/>
      <c r="E121" s="149"/>
      <c r="F121" s="149"/>
      <c r="G121" s="86" t="s">
        <v>75</v>
      </c>
      <c r="H121" s="38"/>
      <c r="I121" s="82">
        <v>0</v>
      </c>
      <c r="J121" s="102">
        <f t="shared" ref="J121:J122" si="10">K121-I121*K121</f>
        <v>1</v>
      </c>
      <c r="K121" s="102">
        <v>1</v>
      </c>
      <c r="L121" s="39"/>
    </row>
    <row r="122" spans="1:23" ht="15" thickBot="1" x14ac:dyDescent="0.35">
      <c r="A122" s="149" t="s">
        <v>161</v>
      </c>
      <c r="B122" s="149"/>
      <c r="C122" s="149"/>
      <c r="D122" s="149"/>
      <c r="E122" s="149"/>
      <c r="F122" s="149"/>
      <c r="G122" s="86" t="s">
        <v>75</v>
      </c>
      <c r="H122" s="38"/>
      <c r="I122" s="82">
        <v>0</v>
      </c>
      <c r="J122" s="102">
        <f t="shared" si="10"/>
        <v>1</v>
      </c>
      <c r="K122" s="102">
        <v>1</v>
      </c>
      <c r="L122" s="39"/>
    </row>
    <row r="123" spans="1:23" ht="15" thickBot="1" x14ac:dyDescent="0.35">
      <c r="A123" s="149" t="s">
        <v>162</v>
      </c>
      <c r="B123" s="149"/>
      <c r="C123" s="149"/>
      <c r="D123" s="149"/>
      <c r="E123" s="149"/>
      <c r="F123" s="149"/>
      <c r="G123" s="86" t="s">
        <v>75</v>
      </c>
      <c r="H123" s="38"/>
      <c r="I123" s="82">
        <v>0</v>
      </c>
      <c r="J123" s="102">
        <f>K123-I123*K123</f>
        <v>1</v>
      </c>
      <c r="K123" s="102">
        <v>1</v>
      </c>
      <c r="L123" s="39"/>
    </row>
    <row r="124" spans="1:23" ht="15" thickBot="1" x14ac:dyDescent="0.35">
      <c r="A124" s="149" t="s">
        <v>163</v>
      </c>
      <c r="B124" s="149"/>
      <c r="C124" s="149"/>
      <c r="D124" s="149"/>
      <c r="E124" s="149"/>
      <c r="F124" s="149"/>
      <c r="G124" s="86" t="s">
        <v>164</v>
      </c>
      <c r="H124" s="38"/>
      <c r="I124" s="82">
        <v>0</v>
      </c>
      <c r="J124" s="102">
        <f>K124-I124*K124</f>
        <v>1</v>
      </c>
      <c r="K124" s="102">
        <v>1</v>
      </c>
      <c r="L124" s="39"/>
    </row>
    <row r="125" spans="1:23" ht="15" thickBot="1" x14ac:dyDescent="0.35">
      <c r="A125" s="149" t="s">
        <v>165</v>
      </c>
      <c r="B125" s="149"/>
      <c r="C125" s="149"/>
      <c r="D125" s="149"/>
      <c r="E125" s="149"/>
      <c r="F125" s="149"/>
      <c r="G125" s="86" t="s">
        <v>75</v>
      </c>
      <c r="H125" s="38"/>
      <c r="I125" s="82">
        <v>0</v>
      </c>
      <c r="J125" s="102">
        <f>K125-I125*K125</f>
        <v>1</v>
      </c>
      <c r="K125" s="102">
        <v>1</v>
      </c>
      <c r="L125" s="39"/>
    </row>
    <row r="126" spans="1:23" x14ac:dyDescent="0.3">
      <c r="A126" s="148"/>
      <c r="B126" s="148"/>
      <c r="C126" s="148"/>
      <c r="D126" s="148"/>
      <c r="E126" s="148"/>
      <c r="F126" s="148"/>
      <c r="G126" s="86"/>
      <c r="H126" s="38"/>
      <c r="I126" s="44"/>
      <c r="J126" s="44"/>
      <c r="K126" s="44"/>
      <c r="L126" s="39"/>
    </row>
    <row r="127" spans="1:23" ht="15" thickBot="1" x14ac:dyDescent="0.35">
      <c r="A127" s="149" t="s">
        <v>157</v>
      </c>
      <c r="B127" s="149"/>
      <c r="C127" s="149"/>
      <c r="D127" s="149"/>
      <c r="E127" s="149"/>
      <c r="F127" s="149"/>
      <c r="G127" s="86" t="s">
        <v>127</v>
      </c>
      <c r="H127" s="38"/>
      <c r="I127" s="82">
        <v>0</v>
      </c>
      <c r="J127" s="102">
        <f t="shared" ref="J127:J128" si="11">K127-I127*K127</f>
        <v>1</v>
      </c>
      <c r="K127" s="102">
        <v>1</v>
      </c>
      <c r="L127" s="39"/>
    </row>
    <row r="128" spans="1:23" ht="15" thickBot="1" x14ac:dyDescent="0.35">
      <c r="A128" s="149" t="s">
        <v>158</v>
      </c>
      <c r="B128" s="149"/>
      <c r="C128" s="149"/>
      <c r="D128" s="149"/>
      <c r="E128" s="149"/>
      <c r="F128" s="149"/>
      <c r="G128" s="86" t="s">
        <v>159</v>
      </c>
      <c r="H128" s="38"/>
      <c r="I128" s="82">
        <v>0</v>
      </c>
      <c r="J128" s="102">
        <f t="shared" si="11"/>
        <v>1</v>
      </c>
      <c r="K128" s="102">
        <v>1</v>
      </c>
      <c r="L128" s="39"/>
    </row>
    <row r="129" spans="1:23" ht="15" thickBot="1" x14ac:dyDescent="0.35">
      <c r="A129" s="148"/>
      <c r="B129" s="148"/>
      <c r="C129" s="148"/>
      <c r="D129" s="148"/>
      <c r="E129" s="148"/>
      <c r="F129" s="148"/>
      <c r="H129" s="38"/>
      <c r="I129" s="48"/>
      <c r="J129" s="39"/>
      <c r="K129" s="63"/>
      <c r="L129" s="39"/>
    </row>
    <row r="130" spans="1:23" x14ac:dyDescent="0.3">
      <c r="A130" s="20" t="s">
        <v>166</v>
      </c>
      <c r="B130" s="77"/>
      <c r="C130" s="77"/>
      <c r="D130" s="77"/>
      <c r="E130" s="77"/>
      <c r="F130" s="77"/>
      <c r="G130" s="20"/>
      <c r="H130" s="36"/>
      <c r="I130" s="78">
        <f>(K130-J130)/K130*100%</f>
        <v>0</v>
      </c>
      <c r="J130" s="79">
        <f>SUM(J131:J137)</f>
        <v>5</v>
      </c>
      <c r="K130" s="80">
        <f>SUM(K131:K137)</f>
        <v>5</v>
      </c>
      <c r="L130" s="37"/>
      <c r="M130" s="36"/>
      <c r="N130" s="36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 ht="15" thickBot="1" x14ac:dyDescent="0.35">
      <c r="A131" s="146" t="s">
        <v>167</v>
      </c>
      <c r="B131" s="146"/>
      <c r="C131" s="146"/>
      <c r="D131" s="146"/>
      <c r="E131" s="146"/>
      <c r="F131" s="146"/>
      <c r="G131" s="86" t="s">
        <v>75</v>
      </c>
      <c r="H131" s="38"/>
      <c r="I131" s="82">
        <v>0</v>
      </c>
      <c r="J131" s="107">
        <v>1</v>
      </c>
      <c r="K131" s="65">
        <v>1</v>
      </c>
      <c r="L131" s="39"/>
    </row>
    <row r="132" spans="1:23" ht="15" thickBot="1" x14ac:dyDescent="0.35">
      <c r="A132" s="147" t="s">
        <v>168</v>
      </c>
      <c r="B132" s="147"/>
      <c r="C132" s="147"/>
      <c r="D132" s="147"/>
      <c r="E132" s="147"/>
      <c r="F132" s="147"/>
      <c r="G132" t="s">
        <v>169</v>
      </c>
      <c r="H132" s="38"/>
      <c r="I132" s="82">
        <v>0</v>
      </c>
      <c r="J132" s="107">
        <v>1</v>
      </c>
      <c r="K132" s="65">
        <v>1</v>
      </c>
      <c r="L132" s="39"/>
    </row>
    <row r="133" spans="1:23" ht="15" thickBot="1" x14ac:dyDescent="0.35">
      <c r="A133" s="146" t="s">
        <v>170</v>
      </c>
      <c r="B133" s="146"/>
      <c r="C133" s="146"/>
      <c r="D133" s="146"/>
      <c r="E133" s="146"/>
      <c r="F133" s="146"/>
      <c r="G133" s="86" t="s">
        <v>75</v>
      </c>
      <c r="H133" s="38"/>
      <c r="I133" s="82">
        <v>0</v>
      </c>
      <c r="J133" s="107">
        <v>1</v>
      </c>
      <c r="K133" s="65">
        <v>1</v>
      </c>
      <c r="L133" s="39"/>
    </row>
    <row r="134" spans="1:23" ht="15" thickBot="1" x14ac:dyDescent="0.35">
      <c r="A134" s="146" t="s">
        <v>171</v>
      </c>
      <c r="B134" s="146"/>
      <c r="C134" s="146"/>
      <c r="D134" s="146"/>
      <c r="E134" s="146"/>
      <c r="F134" s="146"/>
      <c r="G134" s="86" t="s">
        <v>75</v>
      </c>
      <c r="H134" s="38"/>
      <c r="I134" s="82">
        <v>0</v>
      </c>
      <c r="J134" s="107">
        <v>1</v>
      </c>
      <c r="K134" s="65">
        <v>1</v>
      </c>
      <c r="L134" s="39"/>
    </row>
    <row r="135" spans="1:23" ht="15" thickBot="1" x14ac:dyDescent="0.35">
      <c r="A135" s="115" t="s">
        <v>172</v>
      </c>
      <c r="B135" s="115"/>
      <c r="C135" s="115"/>
      <c r="D135" s="115"/>
      <c r="E135" s="115"/>
      <c r="F135" s="115"/>
      <c r="G135" s="86"/>
      <c r="H135" s="38"/>
      <c r="I135" s="82">
        <v>0</v>
      </c>
      <c r="J135" s="107">
        <v>1</v>
      </c>
      <c r="K135" s="65">
        <v>1</v>
      </c>
      <c r="L135" s="39"/>
    </row>
    <row r="136" spans="1:23" ht="15" thickBot="1" x14ac:dyDescent="0.35">
      <c r="A136" s="115" t="s">
        <v>173</v>
      </c>
      <c r="B136" s="115"/>
      <c r="C136" s="115"/>
      <c r="D136" s="115"/>
      <c r="E136" s="115"/>
      <c r="F136" s="115"/>
      <c r="G136" s="86"/>
      <c r="H136" s="38"/>
      <c r="I136" s="112"/>
      <c r="J136" s="107"/>
      <c r="K136" s="65"/>
      <c r="L136" s="39"/>
    </row>
    <row r="137" spans="1:23" ht="15" thickBot="1" x14ac:dyDescent="0.35">
      <c r="H137" s="38"/>
      <c r="I137" s="48"/>
      <c r="J137" s="39"/>
      <c r="K137" s="63"/>
      <c r="L137" s="39"/>
    </row>
    <row r="138" spans="1:23" x14ac:dyDescent="0.3">
      <c r="A138" s="20" t="s">
        <v>174</v>
      </c>
      <c r="B138" s="77"/>
      <c r="C138" s="77"/>
      <c r="D138" s="77"/>
      <c r="E138" s="77"/>
      <c r="F138" s="77"/>
      <c r="G138" s="20"/>
      <c r="H138" s="36"/>
      <c r="I138" s="78">
        <f>(K138-J138)/K138*100%</f>
        <v>0</v>
      </c>
      <c r="J138" s="79">
        <f>SUM(J139:J143)</f>
        <v>5</v>
      </c>
      <c r="K138" s="80">
        <f>SUM(K139:K143)</f>
        <v>5</v>
      </c>
      <c r="L138" s="37"/>
      <c r="M138" s="36"/>
      <c r="N138" s="36"/>
      <c r="O138" s="20"/>
      <c r="P138" s="20"/>
      <c r="Q138" s="20"/>
      <c r="R138" s="20"/>
      <c r="S138" s="20"/>
      <c r="T138" s="20"/>
      <c r="U138" s="20"/>
      <c r="V138" s="20"/>
      <c r="W138" s="20"/>
    </row>
    <row r="139" spans="1:23" ht="15" thickBot="1" x14ac:dyDescent="0.35">
      <c r="A139" s="145" t="s">
        <v>175</v>
      </c>
      <c r="B139" s="145"/>
      <c r="C139" s="145"/>
      <c r="D139" s="145"/>
      <c r="E139" s="145"/>
      <c r="F139" s="145"/>
      <c r="G139" s="86" t="s">
        <v>174</v>
      </c>
      <c r="H139" s="38"/>
      <c r="I139" s="82">
        <v>0</v>
      </c>
      <c r="J139" s="107">
        <v>1</v>
      </c>
      <c r="K139" s="65">
        <v>1</v>
      </c>
      <c r="L139" s="39"/>
    </row>
    <row r="140" spans="1:23" ht="15" thickBot="1" x14ac:dyDescent="0.35">
      <c r="A140" s="145" t="s">
        <v>176</v>
      </c>
      <c r="B140" s="145"/>
      <c r="C140" s="145"/>
      <c r="D140" s="145"/>
      <c r="E140" s="145"/>
      <c r="F140" s="145"/>
      <c r="G140" s="86" t="s">
        <v>174</v>
      </c>
      <c r="H140" s="38"/>
      <c r="I140" s="82">
        <v>0</v>
      </c>
      <c r="J140" s="107">
        <v>1</v>
      </c>
      <c r="K140" s="65">
        <v>1</v>
      </c>
      <c r="L140" s="39"/>
    </row>
    <row r="141" spans="1:23" ht="15" thickBot="1" x14ac:dyDescent="0.35">
      <c r="A141" s="145" t="s">
        <v>177</v>
      </c>
      <c r="B141" s="145"/>
      <c r="C141" s="145"/>
      <c r="D141" s="145"/>
      <c r="E141" s="145"/>
      <c r="F141" s="145"/>
      <c r="G141" s="86" t="s">
        <v>174</v>
      </c>
      <c r="H141" s="38"/>
      <c r="I141" s="82">
        <v>0</v>
      </c>
      <c r="J141" s="107">
        <v>1</v>
      </c>
      <c r="K141" s="65">
        <v>1</v>
      </c>
      <c r="L141" s="39"/>
    </row>
    <row r="142" spans="1:23" ht="15" thickBot="1" x14ac:dyDescent="0.35">
      <c r="A142" s="145" t="s">
        <v>178</v>
      </c>
      <c r="B142" s="145"/>
      <c r="C142" s="145"/>
      <c r="D142" s="145"/>
      <c r="E142" s="145"/>
      <c r="F142" s="145"/>
      <c r="G142" s="86" t="s">
        <v>174</v>
      </c>
      <c r="H142" s="38"/>
      <c r="I142" s="82">
        <v>0</v>
      </c>
      <c r="J142" s="107">
        <v>1</v>
      </c>
      <c r="K142" s="65">
        <v>1</v>
      </c>
      <c r="L142" s="39"/>
    </row>
    <row r="143" spans="1:23" ht="15" thickBot="1" x14ac:dyDescent="0.35">
      <c r="A143" s="145" t="s">
        <v>179</v>
      </c>
      <c r="B143" s="145"/>
      <c r="C143" s="145"/>
      <c r="D143" s="145"/>
      <c r="E143" s="145"/>
      <c r="F143" s="145"/>
      <c r="G143" s="86" t="s">
        <v>174</v>
      </c>
      <c r="H143" s="38"/>
      <c r="I143" s="82">
        <v>0</v>
      </c>
      <c r="J143" s="107">
        <v>1</v>
      </c>
      <c r="K143" s="65">
        <v>1</v>
      </c>
      <c r="L143" s="39"/>
    </row>
    <row r="145" spans="1:1" x14ac:dyDescent="0.3">
      <c r="A145" s="116"/>
    </row>
  </sheetData>
  <mergeCells count="94">
    <mergeCell ref="A140:F140"/>
    <mergeCell ref="A141:F141"/>
    <mergeCell ref="A142:F142"/>
    <mergeCell ref="A143:F143"/>
    <mergeCell ref="A129:F129"/>
    <mergeCell ref="A131:F131"/>
    <mergeCell ref="A132:F132"/>
    <mergeCell ref="A133:F133"/>
    <mergeCell ref="A134:F134"/>
    <mergeCell ref="A139:F139"/>
    <mergeCell ref="A128:F128"/>
    <mergeCell ref="A116:F116"/>
    <mergeCell ref="A117:F117"/>
    <mergeCell ref="A118:F118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15:F115"/>
    <mergeCell ref="A100:F100"/>
    <mergeCell ref="A101:F101"/>
    <mergeCell ref="A102:F102"/>
    <mergeCell ref="A103:F103"/>
    <mergeCell ref="A104:F104"/>
    <mergeCell ref="A106:F106"/>
    <mergeCell ref="A110:F110"/>
    <mergeCell ref="A111:F111"/>
    <mergeCell ref="A112:F112"/>
    <mergeCell ref="A113:F113"/>
    <mergeCell ref="A114:F114"/>
    <mergeCell ref="A97:F97"/>
    <mergeCell ref="A80:F80"/>
    <mergeCell ref="A83:F83"/>
    <mergeCell ref="A84:F84"/>
    <mergeCell ref="A85:F85"/>
    <mergeCell ref="A88:F88"/>
    <mergeCell ref="A89:F89"/>
    <mergeCell ref="A90:F90"/>
    <mergeCell ref="A91:F91"/>
    <mergeCell ref="A94:F94"/>
    <mergeCell ref="A95:F95"/>
    <mergeCell ref="A96:F96"/>
    <mergeCell ref="A79:F79"/>
    <mergeCell ref="A62:F62"/>
    <mergeCell ref="A65:F65"/>
    <mergeCell ref="A66:F66"/>
    <mergeCell ref="A67:F67"/>
    <mergeCell ref="A68:F68"/>
    <mergeCell ref="A69:F69"/>
    <mergeCell ref="A70:F70"/>
    <mergeCell ref="A73:F73"/>
    <mergeCell ref="A74:F74"/>
    <mergeCell ref="A77:F77"/>
    <mergeCell ref="A78:F78"/>
    <mergeCell ref="A61:F61"/>
    <mergeCell ref="A42:F42"/>
    <mergeCell ref="A43:F43"/>
    <mergeCell ref="A44:F44"/>
    <mergeCell ref="A45:F45"/>
    <mergeCell ref="A48:F48"/>
    <mergeCell ref="A51:F51"/>
    <mergeCell ref="A54:F54"/>
    <mergeCell ref="A55:F55"/>
    <mergeCell ref="A58:F58"/>
    <mergeCell ref="A59:F59"/>
    <mergeCell ref="A60:F60"/>
    <mergeCell ref="A41:F41"/>
    <mergeCell ref="A21:F21"/>
    <mergeCell ref="A22:F22"/>
    <mergeCell ref="A23:F23"/>
    <mergeCell ref="A27:F27"/>
    <mergeCell ref="A28:F28"/>
    <mergeCell ref="A29:F29"/>
    <mergeCell ref="A30:F30"/>
    <mergeCell ref="A31:F31"/>
    <mergeCell ref="A36:F36"/>
    <mergeCell ref="A39:F39"/>
    <mergeCell ref="A40:F40"/>
    <mergeCell ref="A20:F20"/>
    <mergeCell ref="P3:Q3"/>
    <mergeCell ref="R3:S3"/>
    <mergeCell ref="T3:U3"/>
    <mergeCell ref="V3:W3"/>
    <mergeCell ref="L4:N9"/>
    <mergeCell ref="A14:F14"/>
    <mergeCell ref="A15:F15"/>
    <mergeCell ref="A16:F16"/>
    <mergeCell ref="A17:F17"/>
    <mergeCell ref="A18:F18"/>
    <mergeCell ref="A19:F19"/>
  </mergeCells>
  <conditionalFormatting sqref="A35:H35 L35:Q35 I83:I86 I27:I31 I73:I74">
    <cfRule type="dataBar" priority="3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{E8B4E1FB-A15F-40A5-BC52-F0E97073FD4C}</x14:id>
        </ext>
      </extLst>
    </cfRule>
  </conditionalFormatting>
  <conditionalFormatting sqref="B34:H34">
    <cfRule type="dataBar" priority="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{38DAB8FA-A7BD-41E3-9810-3B8E4207E4B5}</x14:id>
        </ext>
      </extLst>
    </cfRule>
  </conditionalFormatting>
  <conditionalFormatting sqref="I13">
    <cfRule type="dataBar" priority="3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{6338C77E-B927-43CA-B438-39C52A60B91C}</x14:id>
        </ext>
      </extLst>
    </cfRule>
  </conditionalFormatting>
  <conditionalFormatting sqref="I14:I24">
    <cfRule type="dataBar" priority="3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{30074B23-4FD8-443C-B42F-5D45A43F66C0}</x14:id>
        </ext>
      </extLst>
    </cfRule>
  </conditionalFormatting>
  <conditionalFormatting sqref="I26">
    <cfRule type="dataBar" priority="3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{EDC9C4EB-CA67-4D50-8CE6-79A87FB2331C}</x14:id>
        </ext>
      </extLst>
    </cfRule>
  </conditionalFormatting>
  <conditionalFormatting sqref="I34">
    <cfRule type="dataBar" priority="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{4F9854AD-A371-4F55-A734-983E6D9DAE8A}</x14:id>
        </ext>
      </extLst>
    </cfRule>
  </conditionalFormatting>
  <conditionalFormatting sqref="I36">
    <cfRule type="dataBar" priority="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{682C3D4B-F5EF-4564-AC3A-A10EFD85C077}</x14:id>
        </ext>
      </extLst>
    </cfRule>
  </conditionalFormatting>
  <conditionalFormatting sqref="I38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{B7F0922E-026D-43DB-90FA-94A136221337}</x14:id>
        </ext>
      </extLst>
    </cfRule>
  </conditionalFormatting>
  <conditionalFormatting sqref="I39:I46 I48">
    <cfRule type="dataBar" priority="3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{F8572716-753B-439C-86AA-6A473199F7C3}</x14:id>
        </ext>
      </extLst>
    </cfRule>
  </conditionalFormatting>
  <conditionalFormatting sqref="I47">
    <cfRule type="dataBar" priority="2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{BC2E4F73-CB57-4F73-B25A-334847EB3221}</x14:id>
        </ext>
      </extLst>
    </cfRule>
  </conditionalFormatting>
  <conditionalFormatting sqref="I50">
    <cfRule type="dataBar" priority="2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{43C86FC9-F705-4E5D-93AC-D676711CFA85}</x14:id>
        </ext>
      </extLst>
    </cfRule>
  </conditionalFormatting>
  <conditionalFormatting sqref="I51">
    <cfRule type="dataBar" priority="2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{6FCD2195-523B-4ABF-BB04-2A1BD89C9731}</x14:id>
        </ext>
      </extLst>
    </cfRule>
  </conditionalFormatting>
  <conditionalFormatting sqref="I53">
    <cfRule type="dataBar" priority="2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{9305BF02-3075-493F-ABE7-4E012B794FFB}</x14:id>
        </ext>
      </extLst>
    </cfRule>
  </conditionalFormatting>
  <conditionalFormatting sqref="I54:I55">
    <cfRule type="dataBar" priority="2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{E737BDB6-8B4F-47C9-861F-C3A1071C05A0}</x14:id>
        </ext>
      </extLst>
    </cfRule>
  </conditionalFormatting>
  <conditionalFormatting sqref="I57">
    <cfRule type="dataBar" priority="1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{74604521-B6CE-4187-BFD7-9FA2217893D3}</x14:id>
        </ext>
      </extLst>
    </cfRule>
  </conditionalFormatting>
  <conditionalFormatting sqref="I58:I59">
    <cfRule type="dataBar" priority="2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{47B8A925-B9DB-4161-81A4-52FA6152CBDB}</x14:id>
        </ext>
      </extLst>
    </cfRule>
  </conditionalFormatting>
  <conditionalFormatting sqref="I60:I62">
    <cfRule type="dataBar" priority="2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{C4F6C0FA-ACBD-4B1F-BF6B-250AA2F837BD}</x14:id>
        </ext>
      </extLst>
    </cfRule>
  </conditionalFormatting>
  <conditionalFormatting sqref="I64">
    <cfRule type="dataBar" priority="1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{6FFB7DF2-ECF9-4491-AE32-418F517E0AED}</x14:id>
        </ext>
      </extLst>
    </cfRule>
  </conditionalFormatting>
  <conditionalFormatting sqref="I65:I70">
    <cfRule type="dataBar" priority="2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{F89322EC-F220-427A-B82D-9D264D30487C}</x14:id>
        </ext>
      </extLst>
    </cfRule>
  </conditionalFormatting>
  <conditionalFormatting sqref="I72">
    <cfRule type="dataBar" priority="1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{3DB91192-4316-4463-9B7C-619A0E4B2687}</x14:id>
        </ext>
      </extLst>
    </cfRule>
  </conditionalFormatting>
  <conditionalFormatting sqref="I76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{60C583F8-6DF3-4139-8245-491B3DC92E69}</x14:id>
        </ext>
      </extLst>
    </cfRule>
  </conditionalFormatting>
  <conditionalFormatting sqref="I77:I80">
    <cfRule type="dataBar" priority="2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{B18FD7BF-4E25-4879-9E34-7DFA8C51F058}</x14:id>
        </ext>
      </extLst>
    </cfRule>
  </conditionalFormatting>
  <conditionalFormatting sqref="I81">
    <cfRule type="dataBar" priority="3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{C29563F6-B106-4CA1-9815-A3A69C4806E6}</x14:id>
        </ext>
      </extLst>
    </cfRule>
  </conditionalFormatting>
  <conditionalFormatting sqref="I82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{93F692FD-2129-4F4C-B163-73759FBAE114}</x14:id>
        </ext>
      </extLst>
    </cfRule>
  </conditionalFormatting>
  <conditionalFormatting sqref="I87">
    <cfRule type="dataBar" priority="1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{4B49F838-6D2D-4EE7-AAA5-88A0A09EE3A1}</x14:id>
        </ext>
      </extLst>
    </cfRule>
  </conditionalFormatting>
  <conditionalFormatting sqref="I88:I91 I110:I118 I139:I143 I106 I94:I97 I100:I104 I120:I125 I127:I129 I131:I137">
    <cfRule type="dataBar" priority="3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{B3AAA9C8-BE10-4092-ABCF-DD9E394D82B9}</x14:id>
        </ext>
      </extLst>
    </cfRule>
  </conditionalFormatting>
  <conditionalFormatting sqref="I93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{9913974B-ABC0-4C21-A5A1-BF820D7D1369}</x14:id>
        </ext>
      </extLst>
    </cfRule>
  </conditionalFormatting>
  <conditionalFormatting sqref="I99">
    <cfRule type="dataBar" priority="1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{A2108C4A-E3BA-4113-848B-4E558C69A6C8}</x14:id>
        </ext>
      </extLst>
    </cfRule>
  </conditionalFormatting>
  <conditionalFormatting sqref="I108">
    <cfRule type="dataBar" priority="3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{3F44AE59-3326-4970-9498-B46830780BFF}</x14:id>
        </ext>
      </extLst>
    </cfRule>
  </conditionalFormatting>
  <conditionalFormatting sqref="I109">
    <cfRule type="dataBar" priority="1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{C252E195-478D-4600-ADD1-B0DF11166A9C}</x14:id>
        </ext>
      </extLst>
    </cfRule>
  </conditionalFormatting>
  <conditionalFormatting sqref="I119">
    <cfRule type="dataBar" priority="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{301F1109-6D3F-4784-A9C1-6EEE76C59E39}</x14:id>
        </ext>
      </extLst>
    </cfRule>
  </conditionalFormatting>
  <conditionalFormatting sqref="I130">
    <cfRule type="dataBar" priority="1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{24F5F6FD-C657-4DEC-B562-49BC22777E3A}</x14:id>
        </ext>
      </extLst>
    </cfRule>
  </conditionalFormatting>
  <conditionalFormatting sqref="I138">
    <cfRule type="dataBar" priority="1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{96BFB865-E046-432A-AE25-C0BD0874DAC5}</x14:id>
        </ext>
      </extLst>
    </cfRule>
  </conditionalFormatting>
  <conditionalFormatting sqref="I33:K33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{FCEA0A26-3B90-4779-928B-618AAA764046}</x14:id>
        </ext>
      </extLst>
    </cfRule>
  </conditionalFormatting>
  <conditionalFormatting sqref="I35:K35">
    <cfRule type="dataBar" priority="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{B65E887D-FB28-4C5E-90B1-C4778E69BECC}</x14:id>
        </ext>
      </extLst>
    </cfRule>
  </conditionalFormatting>
  <conditionalFormatting sqref="L34:W34">
    <cfRule type="dataBar" priority="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{9C96A74C-7C54-4CD8-B8FE-8CB8845F2B74}</x14:id>
        </ext>
      </extLst>
    </cfRule>
  </conditionalFormatting>
  <conditionalFormatting sqref="R35:W35">
    <cfRule type="dataBar" priority="2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{0E2E85AF-F3A2-4A9F-A9F7-00D713ED7AF4}</x14:id>
        </ext>
      </extLst>
    </cfRule>
  </conditionalFormatting>
  <hyperlinks>
    <hyperlink ref="P2" location="GENERAL!A1" display="HOME" xr:uid="{F6BB3B77-DF32-4972-B871-9DFEDEFFBA58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B4E1FB-A15F-40A5-BC52-F0E97073FD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A35:H35 L35:Q35 I83:I86 I27:I31 I73:I74</xm:sqref>
        </x14:conditionalFormatting>
        <x14:conditionalFormatting xmlns:xm="http://schemas.microsoft.com/office/excel/2006/main">
          <x14:cfRule type="dataBar" id="{38DAB8FA-A7BD-41E3-9810-3B8E4207E4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B34:H34</xm:sqref>
        </x14:conditionalFormatting>
        <x14:conditionalFormatting xmlns:xm="http://schemas.microsoft.com/office/excel/2006/main">
          <x14:cfRule type="dataBar" id="{6338C77E-B927-43CA-B438-39C52A60B9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</xm:sqref>
        </x14:conditionalFormatting>
        <x14:conditionalFormatting xmlns:xm="http://schemas.microsoft.com/office/excel/2006/main">
          <x14:cfRule type="dataBar" id="{30074B23-4FD8-443C-B42F-5D45A43F66C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I14:I24</xm:sqref>
        </x14:conditionalFormatting>
        <x14:conditionalFormatting xmlns:xm="http://schemas.microsoft.com/office/excel/2006/main">
          <x14:cfRule type="dataBar" id="{EDC9C4EB-CA67-4D50-8CE6-79A87FB233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4F9854AD-A371-4F55-A734-983E6D9DAE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I34</xm:sqref>
        </x14:conditionalFormatting>
        <x14:conditionalFormatting xmlns:xm="http://schemas.microsoft.com/office/excel/2006/main">
          <x14:cfRule type="dataBar" id="{682C3D4B-F5EF-4564-AC3A-A10EFD85C0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I36</xm:sqref>
        </x14:conditionalFormatting>
        <x14:conditionalFormatting xmlns:xm="http://schemas.microsoft.com/office/excel/2006/main">
          <x14:cfRule type="dataBar" id="{B7F0922E-026D-43DB-90FA-94A1362213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8572716-753B-439C-86AA-6A473199F7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I39:I46 I48</xm:sqref>
        </x14:conditionalFormatting>
        <x14:conditionalFormatting xmlns:xm="http://schemas.microsoft.com/office/excel/2006/main">
          <x14:cfRule type="dataBar" id="{BC2E4F73-CB57-4F73-B25A-334847EB32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I47</xm:sqref>
        </x14:conditionalFormatting>
        <x14:conditionalFormatting xmlns:xm="http://schemas.microsoft.com/office/excel/2006/main">
          <x14:cfRule type="dataBar" id="{43C86FC9-F705-4E5D-93AC-D676711CFA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I50</xm:sqref>
        </x14:conditionalFormatting>
        <x14:conditionalFormatting xmlns:xm="http://schemas.microsoft.com/office/excel/2006/main">
          <x14:cfRule type="dataBar" id="{6FCD2195-523B-4ABF-BB04-2A1BD89C97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I51</xm:sqref>
        </x14:conditionalFormatting>
        <x14:conditionalFormatting xmlns:xm="http://schemas.microsoft.com/office/excel/2006/main">
          <x14:cfRule type="dataBar" id="{9305BF02-3075-493F-ABE7-4E012B794F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I53</xm:sqref>
        </x14:conditionalFormatting>
        <x14:conditionalFormatting xmlns:xm="http://schemas.microsoft.com/office/excel/2006/main">
          <x14:cfRule type="dataBar" id="{E737BDB6-8B4F-47C9-861F-C3A1071C05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I54:I55</xm:sqref>
        </x14:conditionalFormatting>
        <x14:conditionalFormatting xmlns:xm="http://schemas.microsoft.com/office/excel/2006/main">
          <x14:cfRule type="dataBar" id="{74604521-B6CE-4187-BFD7-9FA2217893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I57</xm:sqref>
        </x14:conditionalFormatting>
        <x14:conditionalFormatting xmlns:xm="http://schemas.microsoft.com/office/excel/2006/main">
          <x14:cfRule type="dataBar" id="{47B8A925-B9DB-4161-81A4-52FA6152CB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I58:I59</xm:sqref>
        </x14:conditionalFormatting>
        <x14:conditionalFormatting xmlns:xm="http://schemas.microsoft.com/office/excel/2006/main">
          <x14:cfRule type="dataBar" id="{C4F6C0FA-ACBD-4B1F-BF6B-250AA2F837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I60:I62</xm:sqref>
        </x14:conditionalFormatting>
        <x14:conditionalFormatting xmlns:xm="http://schemas.microsoft.com/office/excel/2006/main">
          <x14:cfRule type="dataBar" id="{6FFB7DF2-ECF9-4491-AE32-418F517E0AE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I64</xm:sqref>
        </x14:conditionalFormatting>
        <x14:conditionalFormatting xmlns:xm="http://schemas.microsoft.com/office/excel/2006/main">
          <x14:cfRule type="dataBar" id="{F89322EC-F220-427A-B82D-9D264D3048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I65:I70</xm:sqref>
        </x14:conditionalFormatting>
        <x14:conditionalFormatting xmlns:xm="http://schemas.microsoft.com/office/excel/2006/main">
          <x14:cfRule type="dataBar" id="{3DB91192-4316-4463-9B7C-619A0E4B26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I72</xm:sqref>
        </x14:conditionalFormatting>
        <x14:conditionalFormatting xmlns:xm="http://schemas.microsoft.com/office/excel/2006/main">
          <x14:cfRule type="dataBar" id="{60C583F8-6DF3-4139-8245-491B3DC92E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I76</xm:sqref>
        </x14:conditionalFormatting>
        <x14:conditionalFormatting xmlns:xm="http://schemas.microsoft.com/office/excel/2006/main">
          <x14:cfRule type="dataBar" id="{B18FD7BF-4E25-4879-9E34-7DFA8C51F0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I77:I80</xm:sqref>
        </x14:conditionalFormatting>
        <x14:conditionalFormatting xmlns:xm="http://schemas.microsoft.com/office/excel/2006/main">
          <x14:cfRule type="dataBar" id="{C29563F6-B106-4CA1-9815-A3A69C4806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I81</xm:sqref>
        </x14:conditionalFormatting>
        <x14:conditionalFormatting xmlns:xm="http://schemas.microsoft.com/office/excel/2006/main">
          <x14:cfRule type="dataBar" id="{93F692FD-2129-4F4C-B163-73759FBAE1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I82</xm:sqref>
        </x14:conditionalFormatting>
        <x14:conditionalFormatting xmlns:xm="http://schemas.microsoft.com/office/excel/2006/main">
          <x14:cfRule type="dataBar" id="{4B49F838-6D2D-4EE7-AAA5-88A0A09EE3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I87</xm:sqref>
        </x14:conditionalFormatting>
        <x14:conditionalFormatting xmlns:xm="http://schemas.microsoft.com/office/excel/2006/main">
          <x14:cfRule type="dataBar" id="{B3AAA9C8-BE10-4092-ABCF-DD9E394D82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I88:I91 I110:I118 I139:I143 I106 I94:I97 I100:I104 I120:I125 I127:I129 I131:I137</xm:sqref>
        </x14:conditionalFormatting>
        <x14:conditionalFormatting xmlns:xm="http://schemas.microsoft.com/office/excel/2006/main">
          <x14:cfRule type="dataBar" id="{9913974B-ABC0-4C21-A5A1-BF820D7D13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I93</xm:sqref>
        </x14:conditionalFormatting>
        <x14:conditionalFormatting xmlns:xm="http://schemas.microsoft.com/office/excel/2006/main">
          <x14:cfRule type="dataBar" id="{A2108C4A-E3BA-4113-848B-4E558C69A6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I99</xm:sqref>
        </x14:conditionalFormatting>
        <x14:conditionalFormatting xmlns:xm="http://schemas.microsoft.com/office/excel/2006/main">
          <x14:cfRule type="dataBar" id="{3F44AE59-3326-4970-9498-B46830780B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I108</xm:sqref>
        </x14:conditionalFormatting>
        <x14:conditionalFormatting xmlns:xm="http://schemas.microsoft.com/office/excel/2006/main">
          <x14:cfRule type="dataBar" id="{C252E195-478D-4600-ADD1-B0DF11166A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I109</xm:sqref>
        </x14:conditionalFormatting>
        <x14:conditionalFormatting xmlns:xm="http://schemas.microsoft.com/office/excel/2006/main">
          <x14:cfRule type="dataBar" id="{301F1109-6D3F-4784-A9C1-6EEE76C59E3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I119</xm:sqref>
        </x14:conditionalFormatting>
        <x14:conditionalFormatting xmlns:xm="http://schemas.microsoft.com/office/excel/2006/main">
          <x14:cfRule type="dataBar" id="{24F5F6FD-C657-4DEC-B562-49BC22777E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I130</xm:sqref>
        </x14:conditionalFormatting>
        <x14:conditionalFormatting xmlns:xm="http://schemas.microsoft.com/office/excel/2006/main">
          <x14:cfRule type="dataBar" id="{96BFB865-E046-432A-AE25-C0BD0874DA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I138</xm:sqref>
        </x14:conditionalFormatting>
        <x14:conditionalFormatting xmlns:xm="http://schemas.microsoft.com/office/excel/2006/main">
          <x14:cfRule type="dataBar" id="{FCEA0A26-3B90-4779-928B-618AAA7640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I33:K33</xm:sqref>
        </x14:conditionalFormatting>
        <x14:conditionalFormatting xmlns:xm="http://schemas.microsoft.com/office/excel/2006/main">
          <x14:cfRule type="dataBar" id="{B65E887D-FB28-4C5E-90B1-C4778E69B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I35:K35</xm:sqref>
        </x14:conditionalFormatting>
        <x14:conditionalFormatting xmlns:xm="http://schemas.microsoft.com/office/excel/2006/main">
          <x14:cfRule type="dataBar" id="{9C96A74C-7C54-4CD8-B8FE-8CB8845F2B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L34:W34</xm:sqref>
        </x14:conditionalFormatting>
        <x14:conditionalFormatting xmlns:xm="http://schemas.microsoft.com/office/excel/2006/main">
          <x14:cfRule type="dataBar" id="{0E2E85AF-F3A2-4A9F-A9F7-00D713ED7A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R35:W35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9945-51D5-4D63-80F5-75E1FD7C82E1}">
  <dimension ref="A1:W145"/>
  <sheetViews>
    <sheetView zoomScale="90" zoomScaleNormal="90" workbookViewId="0">
      <selection activeCell="A3" sqref="A3"/>
    </sheetView>
  </sheetViews>
  <sheetFormatPr defaultRowHeight="14.4" x14ac:dyDescent="0.3"/>
  <cols>
    <col min="1" max="1" width="46.5546875" bestFit="1" customWidth="1"/>
    <col min="2" max="2" width="18.33203125" bestFit="1" customWidth="1"/>
    <col min="3" max="3" width="12.6640625" bestFit="1" customWidth="1"/>
    <col min="5" max="5" width="8.88671875" bestFit="1" customWidth="1"/>
    <col min="6" max="6" width="20.33203125" customWidth="1"/>
    <col min="9" max="9" width="18.88671875" bestFit="1" customWidth="1"/>
    <col min="13" max="14" width="9.109375" style="38"/>
    <col min="17" max="17" width="16.5546875" customWidth="1"/>
    <col min="19" max="19" width="10.109375" customWidth="1"/>
    <col min="20" max="20" width="12.33203125" customWidth="1"/>
    <col min="21" max="21" width="9.33203125" customWidth="1"/>
  </cols>
  <sheetData>
    <row r="1" spans="1:23" ht="23.4" x14ac:dyDescent="0.3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128"/>
      <c r="N1" s="128"/>
      <c r="O1" s="61"/>
      <c r="P1" s="61"/>
      <c r="Q1" s="21"/>
      <c r="R1" s="19"/>
      <c r="S1" s="19"/>
      <c r="T1" s="19"/>
      <c r="U1" s="19"/>
      <c r="V1" s="19"/>
      <c r="W1" s="19"/>
    </row>
    <row r="2" spans="1:23" ht="23.4" x14ac:dyDescent="0.45">
      <c r="A2" s="87" t="s">
        <v>224</v>
      </c>
      <c r="B2" s="87"/>
      <c r="C2" s="87"/>
      <c r="D2" s="87"/>
      <c r="E2" s="87"/>
      <c r="F2" s="87"/>
      <c r="G2" s="62" t="s">
        <v>26</v>
      </c>
      <c r="H2" s="22"/>
      <c r="I2" s="22"/>
      <c r="J2" s="23"/>
      <c r="K2" s="22"/>
      <c r="L2" s="22"/>
      <c r="M2" s="129"/>
      <c r="N2" s="129"/>
      <c r="O2" s="22"/>
      <c r="P2" s="24" t="s">
        <v>27</v>
      </c>
      <c r="Q2" s="24"/>
      <c r="R2" s="34"/>
      <c r="S2" s="34"/>
      <c r="T2" s="34"/>
      <c r="U2" s="34"/>
      <c r="V2" s="34"/>
      <c r="W2" s="34"/>
    </row>
    <row r="3" spans="1:23" ht="23.4" x14ac:dyDescent="0.45">
      <c r="A3" s="88"/>
      <c r="B3" s="88"/>
      <c r="C3" s="88"/>
      <c r="D3" s="88"/>
      <c r="E3" s="88"/>
      <c r="F3" s="88"/>
      <c r="G3" s="88"/>
      <c r="H3" s="22"/>
      <c r="I3" s="22"/>
      <c r="J3" s="23"/>
      <c r="K3" s="22"/>
      <c r="L3" s="22" t="s">
        <v>28</v>
      </c>
      <c r="M3" s="129"/>
      <c r="N3" s="129"/>
      <c r="O3" s="22"/>
      <c r="P3" s="156" t="s">
        <v>29</v>
      </c>
      <c r="Q3" s="157"/>
      <c r="R3" s="154" t="s">
        <v>30</v>
      </c>
      <c r="S3" s="155"/>
      <c r="T3" s="154" t="s">
        <v>31</v>
      </c>
      <c r="U3" s="155"/>
      <c r="V3" s="154" t="s">
        <v>32</v>
      </c>
      <c r="W3" s="155"/>
    </row>
    <row r="4" spans="1:23" x14ac:dyDescent="0.3">
      <c r="A4" s="45" t="s">
        <v>33</v>
      </c>
      <c r="B4" s="69" t="s">
        <v>200</v>
      </c>
      <c r="C4" s="123" t="s">
        <v>34</v>
      </c>
      <c r="D4" s="46">
        <v>46388</v>
      </c>
      <c r="E4" s="26" t="s">
        <v>35</v>
      </c>
      <c r="F4" s="72"/>
      <c r="G4" s="124" t="s">
        <v>36</v>
      </c>
      <c r="H4" s="22"/>
      <c r="I4" s="22"/>
      <c r="J4" s="23"/>
      <c r="K4" s="26"/>
      <c r="L4" s="158" t="s">
        <v>205</v>
      </c>
      <c r="M4" s="158"/>
      <c r="N4" s="158"/>
      <c r="O4" s="26"/>
      <c r="P4" s="89"/>
      <c r="Q4" s="90"/>
      <c r="R4" s="91"/>
      <c r="S4" s="92"/>
      <c r="T4" s="91"/>
      <c r="U4" s="92"/>
      <c r="V4" s="91"/>
      <c r="W4" s="92"/>
    </row>
    <row r="5" spans="1:23" ht="23.25" customHeight="1" x14ac:dyDescent="0.45">
      <c r="A5" s="27" t="s">
        <v>38</v>
      </c>
      <c r="B5" s="59" t="s">
        <v>199</v>
      </c>
      <c r="C5" s="123" t="s">
        <v>39</v>
      </c>
      <c r="D5" s="60"/>
      <c r="E5" s="26" t="s">
        <v>40</v>
      </c>
      <c r="F5" s="59">
        <v>941490</v>
      </c>
      <c r="G5" s="125"/>
      <c r="H5" s="22"/>
      <c r="I5" s="22"/>
      <c r="J5" s="23"/>
      <c r="K5" s="26"/>
      <c r="L5" s="158"/>
      <c r="M5" s="158"/>
      <c r="N5" s="158"/>
      <c r="O5" s="26"/>
      <c r="P5" s="93" t="s">
        <v>42</v>
      </c>
      <c r="Q5" s="94">
        <f>I13</f>
        <v>0</v>
      </c>
      <c r="R5" s="95" t="s">
        <v>43</v>
      </c>
      <c r="S5" s="96">
        <f>I34</f>
        <v>0</v>
      </c>
      <c r="T5" s="95" t="s">
        <v>44</v>
      </c>
      <c r="U5" s="96">
        <f>I82</f>
        <v>0</v>
      </c>
      <c r="V5" s="95" t="s">
        <v>45</v>
      </c>
      <c r="W5" s="96">
        <f>I72</f>
        <v>0</v>
      </c>
    </row>
    <row r="6" spans="1:23" ht="23.25" customHeight="1" x14ac:dyDescent="0.45">
      <c r="A6" s="30" t="s">
        <v>46</v>
      </c>
      <c r="B6" s="59"/>
      <c r="C6" s="30" t="s">
        <v>47</v>
      </c>
      <c r="D6" s="71"/>
      <c r="E6" s="26" t="s">
        <v>48</v>
      </c>
      <c r="F6" s="59">
        <v>240</v>
      </c>
      <c r="G6" s="125"/>
      <c r="H6" s="22"/>
      <c r="I6" s="28"/>
      <c r="J6" s="29"/>
      <c r="K6" s="26"/>
      <c r="L6" s="158"/>
      <c r="M6" s="158"/>
      <c r="N6" s="158"/>
      <c r="O6" s="25"/>
      <c r="P6" s="93" t="s">
        <v>49</v>
      </c>
      <c r="Q6" s="94">
        <f>I26</f>
        <v>0</v>
      </c>
      <c r="R6" s="97" t="str">
        <f>A38</f>
        <v>Salarisadministratie</v>
      </c>
      <c r="S6" s="96">
        <f>I38</f>
        <v>0</v>
      </c>
      <c r="T6" s="97" t="s">
        <v>50</v>
      </c>
      <c r="U6" s="96">
        <f>I87</f>
        <v>0</v>
      </c>
      <c r="V6" s="97"/>
      <c r="W6" s="96"/>
    </row>
    <row r="7" spans="1:23" ht="23.25" customHeight="1" x14ac:dyDescent="0.45">
      <c r="A7" s="25" t="s">
        <v>51</v>
      </c>
      <c r="B7" s="59" t="s">
        <v>206</v>
      </c>
      <c r="C7" s="30" t="s">
        <v>52</v>
      </c>
      <c r="D7" s="59"/>
      <c r="E7" s="25"/>
      <c r="F7" s="119"/>
      <c r="G7" s="125"/>
      <c r="H7" s="22"/>
      <c r="I7" s="31"/>
      <c r="J7" s="32"/>
      <c r="K7" s="26"/>
      <c r="L7" s="158"/>
      <c r="M7" s="158"/>
      <c r="N7" s="158"/>
      <c r="O7" s="25"/>
      <c r="P7" s="93" t="s">
        <v>53</v>
      </c>
      <c r="Q7" s="94">
        <f>AVERAGE(S5:S11)</f>
        <v>0</v>
      </c>
      <c r="R7" s="97" t="str">
        <f>A47</f>
        <v>Loonheffingen en fonds</v>
      </c>
      <c r="S7" s="96">
        <f>I47</f>
        <v>0</v>
      </c>
      <c r="T7" s="97" t="s">
        <v>54</v>
      </c>
      <c r="U7" s="96">
        <f>I93</f>
        <v>0</v>
      </c>
      <c r="V7" s="97"/>
      <c r="W7" s="96"/>
    </row>
    <row r="8" spans="1:23" x14ac:dyDescent="0.3">
      <c r="A8" s="25"/>
      <c r="B8" s="59"/>
      <c r="C8" s="30" t="s">
        <v>55</v>
      </c>
      <c r="D8" s="59" t="s">
        <v>56</v>
      </c>
      <c r="E8" s="25"/>
      <c r="F8" s="71"/>
      <c r="G8" s="126"/>
      <c r="H8" s="71"/>
      <c r="I8" s="31"/>
      <c r="J8" s="32"/>
      <c r="K8" s="26"/>
      <c r="L8" s="158"/>
      <c r="M8" s="158"/>
      <c r="N8" s="158"/>
      <c r="O8" s="25"/>
      <c r="P8" s="93" t="s">
        <v>57</v>
      </c>
      <c r="Q8" s="94">
        <f>AVERAGE(U5:U11)</f>
        <v>0</v>
      </c>
      <c r="R8" s="97" t="str">
        <f>A50</f>
        <v>Instellingen</v>
      </c>
      <c r="S8" s="96">
        <f>I50</f>
        <v>0</v>
      </c>
      <c r="T8" s="97" t="s">
        <v>58</v>
      </c>
      <c r="U8" s="96">
        <f>I99</f>
        <v>0</v>
      </c>
      <c r="V8" s="97"/>
      <c r="W8" s="96"/>
    </row>
    <row r="9" spans="1:23" x14ac:dyDescent="0.3">
      <c r="A9" s="25" t="s">
        <v>59</v>
      </c>
      <c r="B9" s="59"/>
      <c r="C9" s="30" t="s">
        <v>60</v>
      </c>
      <c r="D9" s="59"/>
      <c r="E9" s="25"/>
      <c r="F9" s="71"/>
      <c r="G9" s="126"/>
      <c r="H9" s="71"/>
      <c r="I9" s="31"/>
      <c r="J9" s="32"/>
      <c r="K9" s="26"/>
      <c r="L9" s="158"/>
      <c r="M9" s="158"/>
      <c r="N9" s="158"/>
      <c r="O9" s="25"/>
      <c r="P9" s="98" t="s">
        <v>61</v>
      </c>
      <c r="Q9" s="99">
        <f>I109</f>
        <v>0</v>
      </c>
      <c r="R9" s="97" t="str">
        <f>A53</f>
        <v>Loonstroken en Jaaropgave</v>
      </c>
      <c r="S9" s="96">
        <f>I53</f>
        <v>0</v>
      </c>
      <c r="T9" s="97"/>
      <c r="U9" s="96"/>
      <c r="V9" s="97"/>
      <c r="W9" s="96"/>
    </row>
    <row r="10" spans="1:23" x14ac:dyDescent="0.3">
      <c r="A10" s="25"/>
      <c r="B10" s="59"/>
      <c r="C10" s="25"/>
      <c r="D10" s="59"/>
      <c r="E10" s="25"/>
      <c r="F10" s="71"/>
      <c r="G10" s="31"/>
      <c r="H10" s="31"/>
      <c r="I10" s="31"/>
      <c r="J10" s="32"/>
      <c r="K10" s="31"/>
      <c r="L10" s="31"/>
      <c r="M10" s="130"/>
      <c r="N10" s="130"/>
      <c r="O10" s="28"/>
      <c r="P10" s="98" t="s">
        <v>62</v>
      </c>
      <c r="Q10" s="99">
        <f>AVERAGE(Q5:Q9)</f>
        <v>0</v>
      </c>
      <c r="R10" s="97" t="str">
        <f>A57</f>
        <v>Import medewerkers</v>
      </c>
      <c r="S10" s="96">
        <f>I57</f>
        <v>0</v>
      </c>
      <c r="T10" s="97"/>
      <c r="U10" s="96"/>
      <c r="V10" s="97"/>
      <c r="W10" s="96"/>
    </row>
    <row r="11" spans="1:23" x14ac:dyDescent="0.3">
      <c r="A11" s="19"/>
      <c r="B11" s="19"/>
      <c r="C11" s="19"/>
      <c r="D11" s="19"/>
      <c r="E11" s="19"/>
      <c r="F11" s="19"/>
      <c r="G11" s="19"/>
      <c r="H11" s="19"/>
      <c r="I11" s="19"/>
      <c r="J11" s="33"/>
      <c r="K11" s="19"/>
      <c r="L11" s="34"/>
      <c r="M11" s="131" t="s">
        <v>63</v>
      </c>
      <c r="N11" s="131"/>
      <c r="O11" s="42"/>
      <c r="P11" s="19"/>
      <c r="Q11" s="19"/>
      <c r="R11" s="83" t="str">
        <f>A64</f>
        <v>Diversen</v>
      </c>
      <c r="S11" s="84">
        <f>I64</f>
        <v>0</v>
      </c>
      <c r="T11" s="83"/>
      <c r="U11" s="84"/>
      <c r="V11" s="83"/>
      <c r="W11" s="84"/>
    </row>
    <row r="12" spans="1:23" x14ac:dyDescent="0.3">
      <c r="A12" s="34" t="s">
        <v>64</v>
      </c>
      <c r="B12" s="34"/>
      <c r="C12" s="34"/>
      <c r="D12" s="34"/>
      <c r="E12" s="34"/>
      <c r="F12" s="34"/>
      <c r="G12" s="34" t="s">
        <v>65</v>
      </c>
      <c r="H12" s="34" t="s">
        <v>66</v>
      </c>
      <c r="I12" s="34" t="s">
        <v>67</v>
      </c>
      <c r="J12" s="35" t="s">
        <v>68</v>
      </c>
      <c r="K12" s="34" t="s">
        <v>69</v>
      </c>
      <c r="L12" s="34" t="s">
        <v>70</v>
      </c>
      <c r="M12" s="132" t="s">
        <v>71</v>
      </c>
      <c r="N12" s="132" t="s">
        <v>72</v>
      </c>
      <c r="O12" s="34"/>
      <c r="P12" s="34"/>
      <c r="Q12" s="34"/>
      <c r="R12" s="34"/>
      <c r="S12" s="34"/>
      <c r="T12" s="34"/>
      <c r="U12" s="34"/>
      <c r="V12" s="34"/>
      <c r="W12" s="34"/>
    </row>
    <row r="13" spans="1:23" x14ac:dyDescent="0.3">
      <c r="A13" s="20" t="s">
        <v>73</v>
      </c>
      <c r="B13" s="20"/>
      <c r="C13" s="20"/>
      <c r="D13" s="20"/>
      <c r="E13" s="20"/>
      <c r="F13" s="20"/>
      <c r="G13" s="20"/>
      <c r="H13" s="36"/>
      <c r="I13" s="78">
        <f>(K13-J13)/K13*100%</f>
        <v>0</v>
      </c>
      <c r="J13" s="79">
        <f>SUM(J14:J25)</f>
        <v>10</v>
      </c>
      <c r="K13" s="80">
        <f>SUM(K14:K25)</f>
        <v>10</v>
      </c>
      <c r="L13" s="20"/>
      <c r="M13" s="36"/>
      <c r="N13" s="36"/>
      <c r="O13" s="20"/>
      <c r="P13" s="20"/>
      <c r="Q13" s="20"/>
      <c r="R13" s="20"/>
      <c r="S13" s="20"/>
      <c r="T13" s="20"/>
      <c r="U13" s="20"/>
      <c r="V13" s="20"/>
      <c r="W13" s="20"/>
    </row>
    <row r="14" spans="1:23" x14ac:dyDescent="0.3">
      <c r="A14" s="149" t="s">
        <v>74</v>
      </c>
      <c r="B14" s="149"/>
      <c r="C14" s="149"/>
      <c r="D14" s="149"/>
      <c r="E14" s="149"/>
      <c r="F14" s="149"/>
      <c r="G14" s="86" t="s">
        <v>75</v>
      </c>
      <c r="H14" s="38"/>
      <c r="I14" s="101">
        <v>0</v>
      </c>
      <c r="J14" s="102">
        <f>K14-I14*K14</f>
        <v>1</v>
      </c>
      <c r="K14" s="102">
        <v>1</v>
      </c>
      <c r="O14" s="10"/>
      <c r="P14" s="3"/>
    </row>
    <row r="15" spans="1:23" x14ac:dyDescent="0.3">
      <c r="A15" s="149" t="s">
        <v>76</v>
      </c>
      <c r="B15" s="149"/>
      <c r="C15" s="149"/>
      <c r="D15" s="149"/>
      <c r="E15" s="149"/>
      <c r="F15" s="149"/>
      <c r="G15" s="86" t="s">
        <v>75</v>
      </c>
      <c r="H15" s="38"/>
      <c r="I15" s="101">
        <v>0</v>
      </c>
      <c r="J15" s="102">
        <f t="shared" ref="J15:J23" si="0">K15-I15*K15</f>
        <v>1</v>
      </c>
      <c r="K15" s="102">
        <v>1</v>
      </c>
      <c r="O15" s="10"/>
    </row>
    <row r="16" spans="1:23" x14ac:dyDescent="0.3">
      <c r="A16" s="149" t="s">
        <v>77</v>
      </c>
      <c r="B16" s="149"/>
      <c r="C16" s="149"/>
      <c r="D16" s="149"/>
      <c r="E16" s="149"/>
      <c r="F16" s="149"/>
      <c r="G16" s="86" t="s">
        <v>75</v>
      </c>
      <c r="H16" s="38"/>
      <c r="I16" s="101">
        <v>0</v>
      </c>
      <c r="J16" s="102">
        <f t="shared" si="0"/>
        <v>1</v>
      </c>
      <c r="K16" s="102">
        <v>1</v>
      </c>
      <c r="O16" s="10"/>
    </row>
    <row r="17" spans="1:23" x14ac:dyDescent="0.3">
      <c r="A17" s="159" t="s">
        <v>78</v>
      </c>
      <c r="B17" s="159"/>
      <c r="C17" s="159"/>
      <c r="D17" s="159"/>
      <c r="E17" s="159"/>
      <c r="F17" s="159"/>
      <c r="G17" s="86" t="s">
        <v>75</v>
      </c>
      <c r="H17" s="38"/>
      <c r="I17" s="101">
        <v>0</v>
      </c>
      <c r="J17" s="102">
        <f t="shared" si="0"/>
        <v>1</v>
      </c>
      <c r="K17" s="102">
        <v>1</v>
      </c>
      <c r="O17" s="10"/>
    </row>
    <row r="18" spans="1:23" x14ac:dyDescent="0.3">
      <c r="A18" s="149" t="s">
        <v>79</v>
      </c>
      <c r="B18" s="149"/>
      <c r="C18" s="149"/>
      <c r="D18" s="149"/>
      <c r="E18" s="149"/>
      <c r="F18" s="149"/>
      <c r="G18" s="86" t="s">
        <v>75</v>
      </c>
      <c r="H18" s="38"/>
      <c r="I18" s="101">
        <v>0</v>
      </c>
      <c r="J18" s="102">
        <f t="shared" si="0"/>
        <v>1</v>
      </c>
      <c r="K18" s="102">
        <v>1</v>
      </c>
      <c r="O18" s="10"/>
    </row>
    <row r="19" spans="1:23" x14ac:dyDescent="0.3">
      <c r="A19" s="149" t="s">
        <v>80</v>
      </c>
      <c r="B19" s="149"/>
      <c r="C19" s="149"/>
      <c r="D19" s="149"/>
      <c r="E19" s="149"/>
      <c r="F19" s="149"/>
      <c r="G19" s="86" t="s">
        <v>75</v>
      </c>
      <c r="H19" s="38"/>
      <c r="I19" s="101">
        <v>0</v>
      </c>
      <c r="J19" s="102">
        <f t="shared" si="0"/>
        <v>1</v>
      </c>
      <c r="K19" s="102">
        <v>1</v>
      </c>
      <c r="O19" s="10"/>
    </row>
    <row r="20" spans="1:23" x14ac:dyDescent="0.3">
      <c r="A20" s="149" t="s">
        <v>81</v>
      </c>
      <c r="B20" s="149"/>
      <c r="C20" s="149"/>
      <c r="D20" s="149"/>
      <c r="E20" s="149"/>
      <c r="F20" s="149"/>
      <c r="G20" s="86" t="s">
        <v>75</v>
      </c>
      <c r="H20" s="38"/>
      <c r="I20" s="101">
        <v>0</v>
      </c>
      <c r="J20" s="102">
        <f t="shared" si="0"/>
        <v>1</v>
      </c>
      <c r="K20" s="102">
        <v>1</v>
      </c>
      <c r="O20" s="10" t="s">
        <v>56</v>
      </c>
    </row>
    <row r="21" spans="1:23" x14ac:dyDescent="0.3">
      <c r="A21" s="149" t="s">
        <v>82</v>
      </c>
      <c r="B21" s="149"/>
      <c r="C21" s="149"/>
      <c r="D21" s="149"/>
      <c r="E21" s="149"/>
      <c r="F21" s="149"/>
      <c r="G21" s="86" t="s">
        <v>75</v>
      </c>
      <c r="H21" s="38"/>
      <c r="I21" s="101">
        <v>0</v>
      </c>
      <c r="J21" s="102">
        <v>1</v>
      </c>
      <c r="K21" s="102">
        <v>1</v>
      </c>
      <c r="O21" s="10" t="s">
        <v>56</v>
      </c>
    </row>
    <row r="22" spans="1:23" x14ac:dyDescent="0.3">
      <c r="A22" s="149" t="s">
        <v>83</v>
      </c>
      <c r="B22" s="149"/>
      <c r="C22" s="149"/>
      <c r="D22" s="149"/>
      <c r="E22" s="149"/>
      <c r="F22" s="149"/>
      <c r="G22" s="86" t="s">
        <v>75</v>
      </c>
      <c r="H22" s="38"/>
      <c r="I22" s="101">
        <v>0</v>
      </c>
      <c r="J22" s="102">
        <f t="shared" si="0"/>
        <v>1</v>
      </c>
      <c r="K22" s="102">
        <v>1</v>
      </c>
      <c r="O22" s="10"/>
    </row>
    <row r="23" spans="1:23" x14ac:dyDescent="0.3">
      <c r="A23" s="153" t="s">
        <v>84</v>
      </c>
      <c r="B23" s="153"/>
      <c r="C23" s="153"/>
      <c r="D23" s="153"/>
      <c r="E23" s="153"/>
      <c r="F23" s="153"/>
      <c r="G23" s="86" t="s">
        <v>75</v>
      </c>
      <c r="H23" s="38"/>
      <c r="I23" s="101">
        <v>0</v>
      </c>
      <c r="J23" s="102">
        <f t="shared" si="0"/>
        <v>1</v>
      </c>
      <c r="K23" s="102">
        <v>1</v>
      </c>
      <c r="O23" s="10"/>
    </row>
    <row r="24" spans="1:23" x14ac:dyDescent="0.3">
      <c r="A24" s="138"/>
      <c r="B24" s="138"/>
      <c r="C24" s="138"/>
      <c r="D24" s="138"/>
      <c r="E24" s="138"/>
      <c r="F24" s="138"/>
      <c r="G24" s="86"/>
      <c r="H24" s="38"/>
      <c r="I24" s="139"/>
      <c r="J24" s="102"/>
      <c r="K24" s="102"/>
      <c r="O24" s="10"/>
    </row>
    <row r="25" spans="1:23" x14ac:dyDescent="0.3">
      <c r="A25" s="100"/>
      <c r="B25" s="100"/>
      <c r="C25" s="100"/>
      <c r="D25" s="100"/>
      <c r="E25" s="100"/>
      <c r="F25" s="100"/>
      <c r="H25" s="38"/>
      <c r="I25" s="10"/>
      <c r="J25" s="39"/>
      <c r="K25" s="63"/>
      <c r="L25" s="39"/>
    </row>
    <row r="26" spans="1:23" x14ac:dyDescent="0.3">
      <c r="A26" s="20" t="s">
        <v>85</v>
      </c>
      <c r="B26" s="77"/>
      <c r="C26" s="77"/>
      <c r="D26" s="77"/>
      <c r="E26" s="77"/>
      <c r="F26" s="77"/>
      <c r="G26" s="20"/>
      <c r="H26" s="36"/>
      <c r="I26" s="78">
        <f>(K26-J26)/K26*100%</f>
        <v>0</v>
      </c>
      <c r="J26" s="79">
        <f>SUM(J27:J32)</f>
        <v>5</v>
      </c>
      <c r="K26" s="80">
        <f>SUM(K27:K32)</f>
        <v>5</v>
      </c>
      <c r="L26" s="37"/>
      <c r="M26" s="36"/>
      <c r="N26" s="36"/>
      <c r="O26" s="20"/>
      <c r="P26" s="20"/>
      <c r="Q26" s="20"/>
      <c r="R26" s="20"/>
      <c r="S26" s="20"/>
      <c r="T26" s="20"/>
      <c r="U26" s="20"/>
      <c r="V26" s="20"/>
      <c r="W26" s="20"/>
    </row>
    <row r="27" spans="1:23" x14ac:dyDescent="0.3">
      <c r="A27" s="149" t="s">
        <v>86</v>
      </c>
      <c r="B27" s="149"/>
      <c r="C27" s="149"/>
      <c r="D27" s="149"/>
      <c r="E27" s="149"/>
      <c r="F27" s="149"/>
      <c r="G27" s="86" t="s">
        <v>87</v>
      </c>
      <c r="H27" s="44"/>
      <c r="I27" s="101">
        <v>0</v>
      </c>
      <c r="J27" s="102">
        <f>K27-I27*K27</f>
        <v>1</v>
      </c>
      <c r="K27" s="102">
        <v>1</v>
      </c>
      <c r="L27" s="41"/>
      <c r="M27" s="44"/>
      <c r="N27" s="44" t="s">
        <v>88</v>
      </c>
      <c r="O27" s="11"/>
      <c r="Q27" s="11"/>
      <c r="R27" s="11"/>
      <c r="S27" s="11"/>
      <c r="T27" s="11"/>
      <c r="U27" s="11"/>
      <c r="V27" s="11"/>
      <c r="W27" s="11"/>
    </row>
    <row r="28" spans="1:23" x14ac:dyDescent="0.3">
      <c r="A28" s="149" t="s">
        <v>89</v>
      </c>
      <c r="B28" s="149"/>
      <c r="C28" s="149"/>
      <c r="D28" s="149"/>
      <c r="E28" s="149"/>
      <c r="F28" s="149"/>
      <c r="G28" s="86" t="s">
        <v>87</v>
      </c>
      <c r="H28" s="44"/>
      <c r="I28" s="101">
        <v>0</v>
      </c>
      <c r="J28" s="102">
        <f t="shared" ref="J28:J31" si="1">K28-I28*K28</f>
        <v>1</v>
      </c>
      <c r="K28" s="102">
        <v>1</v>
      </c>
      <c r="L28" s="41"/>
      <c r="M28" s="44"/>
      <c r="N28" s="137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3">
      <c r="A29" s="149" t="s">
        <v>90</v>
      </c>
      <c r="B29" s="149"/>
      <c r="C29" s="149"/>
      <c r="D29" s="149"/>
      <c r="E29" s="149"/>
      <c r="F29" s="149"/>
      <c r="G29" s="86" t="s">
        <v>87</v>
      </c>
      <c r="H29" s="44"/>
      <c r="I29" s="101">
        <v>0</v>
      </c>
      <c r="J29" s="102">
        <f t="shared" si="1"/>
        <v>1</v>
      </c>
      <c r="K29" s="102">
        <v>1</v>
      </c>
      <c r="L29" s="41"/>
      <c r="M29" s="44"/>
      <c r="N29" s="44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3">
      <c r="A30" s="149" t="s">
        <v>91</v>
      </c>
      <c r="B30" s="149"/>
      <c r="C30" s="149"/>
      <c r="D30" s="149"/>
      <c r="E30" s="149"/>
      <c r="F30" s="149"/>
      <c r="G30" s="86" t="s">
        <v>87</v>
      </c>
      <c r="H30" s="44"/>
      <c r="I30" s="101">
        <v>0</v>
      </c>
      <c r="J30" s="102">
        <f t="shared" si="1"/>
        <v>1</v>
      </c>
      <c r="K30" s="102">
        <v>1</v>
      </c>
      <c r="L30" s="39"/>
      <c r="M30" s="44"/>
      <c r="N30" s="44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3">
      <c r="A31" s="149" t="s">
        <v>92</v>
      </c>
      <c r="B31" s="149"/>
      <c r="C31" s="149"/>
      <c r="D31" s="149"/>
      <c r="E31" s="149"/>
      <c r="F31" s="149"/>
      <c r="G31" s="86" t="s">
        <v>75</v>
      </c>
      <c r="H31" s="44"/>
      <c r="I31" s="101">
        <v>0</v>
      </c>
      <c r="J31" s="102">
        <f t="shared" si="1"/>
        <v>1</v>
      </c>
      <c r="K31" s="102">
        <v>1</v>
      </c>
      <c r="L31" s="39"/>
      <c r="M31" s="44"/>
      <c r="N31" s="44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3">
      <c r="A32" s="81"/>
      <c r="B32" s="81"/>
      <c r="C32" s="81"/>
      <c r="D32" s="81"/>
      <c r="E32" s="81"/>
      <c r="F32" s="81"/>
      <c r="G32" s="11"/>
      <c r="H32" s="44"/>
      <c r="I32" s="44"/>
      <c r="J32" s="44"/>
      <c r="K32" s="44"/>
      <c r="L32" s="44"/>
      <c r="M32" s="44"/>
      <c r="N32" s="44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3">
      <c r="A33" s="20" t="s">
        <v>93</v>
      </c>
      <c r="B33" s="77"/>
      <c r="C33" s="77"/>
      <c r="D33" s="77"/>
      <c r="E33" s="77"/>
      <c r="F33" s="77"/>
      <c r="G33" s="20"/>
      <c r="H33" s="36"/>
      <c r="I33" s="78"/>
      <c r="J33" s="111"/>
      <c r="K33" s="111"/>
      <c r="L33" s="37"/>
      <c r="M33" s="36"/>
      <c r="N33" s="36"/>
      <c r="O33" s="20"/>
      <c r="P33" s="20"/>
      <c r="Q33" s="20"/>
      <c r="R33" s="20"/>
      <c r="S33" s="20"/>
      <c r="T33" s="20"/>
      <c r="U33" s="20"/>
      <c r="V33" s="20"/>
      <c r="W33" s="20"/>
    </row>
    <row r="34" spans="1:23" x14ac:dyDescent="0.3">
      <c r="A34" s="103" t="s">
        <v>94</v>
      </c>
      <c r="B34" s="106"/>
      <c r="C34" s="106"/>
      <c r="D34" s="106"/>
      <c r="E34" s="106"/>
      <c r="F34" s="106"/>
      <c r="G34" s="106"/>
      <c r="H34" s="106"/>
      <c r="I34" s="104">
        <f>(K34-J34)/K34*100%</f>
        <v>0</v>
      </c>
      <c r="J34" s="105">
        <f>(J35+J36)</f>
        <v>1</v>
      </c>
      <c r="K34" s="105">
        <f>(K35+K36)</f>
        <v>1</v>
      </c>
      <c r="L34" s="106"/>
      <c r="M34" s="133"/>
      <c r="N34" s="133"/>
      <c r="O34" s="106"/>
      <c r="P34" s="106"/>
      <c r="Q34" s="106"/>
      <c r="R34" s="106"/>
      <c r="S34" s="106"/>
      <c r="T34" s="106"/>
      <c r="U34" s="106"/>
      <c r="V34" s="106"/>
      <c r="W34" s="106"/>
    </row>
    <row r="35" spans="1:23" x14ac:dyDescent="0.3">
      <c r="A35" s="106" t="s">
        <v>95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33"/>
      <c r="N35" s="133"/>
      <c r="O35" s="106"/>
      <c r="P35" s="106"/>
      <c r="Q35" s="106"/>
      <c r="R35" s="106"/>
      <c r="S35" s="106"/>
      <c r="T35" s="106"/>
      <c r="U35" s="106"/>
      <c r="V35" s="106"/>
      <c r="W35" s="106"/>
    </row>
    <row r="36" spans="1:23" x14ac:dyDescent="0.3">
      <c r="A36" s="149" t="s">
        <v>96</v>
      </c>
      <c r="B36" s="149"/>
      <c r="C36" s="149"/>
      <c r="D36" s="149"/>
      <c r="E36" s="149"/>
      <c r="F36" s="149"/>
      <c r="G36" s="86" t="s">
        <v>75</v>
      </c>
      <c r="H36" s="44"/>
      <c r="I36" s="82">
        <v>0</v>
      </c>
      <c r="J36" s="102">
        <f>K36-I36*K36</f>
        <v>1</v>
      </c>
      <c r="K36" s="102">
        <v>1</v>
      </c>
      <c r="L36" s="41"/>
      <c r="M36" s="44"/>
      <c r="N36" s="44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3">
      <c r="A37" s="100"/>
      <c r="B37" s="100"/>
      <c r="C37" s="100"/>
      <c r="D37" s="100"/>
      <c r="E37" s="100"/>
      <c r="F37" s="100"/>
      <c r="G37" s="11"/>
      <c r="H37" s="44"/>
      <c r="I37" s="44"/>
      <c r="J37" s="44"/>
      <c r="K37" s="65"/>
      <c r="L37" s="41"/>
      <c r="M37" s="44"/>
      <c r="N37" s="44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3">
      <c r="A38" s="103" t="s">
        <v>97</v>
      </c>
      <c r="B38" s="103"/>
      <c r="C38" s="103"/>
      <c r="D38" s="103"/>
      <c r="E38" s="103"/>
      <c r="F38" s="103"/>
      <c r="G38" s="50"/>
      <c r="H38" s="51"/>
      <c r="I38" s="78">
        <f>(K38-J38)/K38*100%</f>
        <v>0</v>
      </c>
      <c r="J38" s="105">
        <f>SUM(J39:J46)</f>
        <v>7</v>
      </c>
      <c r="K38" s="105">
        <f>SUM(K39:K46)</f>
        <v>7</v>
      </c>
      <c r="L38" s="103"/>
      <c r="M38" s="134"/>
      <c r="N38" s="51"/>
      <c r="O38" s="51"/>
      <c r="P38" s="103"/>
      <c r="Q38" s="103"/>
      <c r="R38" s="103"/>
      <c r="S38" s="103"/>
      <c r="T38" s="103"/>
      <c r="U38" s="103"/>
      <c r="V38" s="103"/>
      <c r="W38" s="103"/>
    </row>
    <row r="39" spans="1:23" x14ac:dyDescent="0.3">
      <c r="A39" s="149" t="s">
        <v>98</v>
      </c>
      <c r="B39" s="149"/>
      <c r="C39" s="149"/>
      <c r="D39" s="149"/>
      <c r="E39" s="149"/>
      <c r="F39" s="149"/>
      <c r="G39" s="86" t="s">
        <v>75</v>
      </c>
      <c r="H39" s="44"/>
      <c r="I39" s="82">
        <v>0</v>
      </c>
      <c r="J39" s="102">
        <f>K39-I39*K39</f>
        <v>1</v>
      </c>
      <c r="K39" s="102">
        <v>1</v>
      </c>
      <c r="L39" s="41"/>
      <c r="M39" s="44"/>
      <c r="N39" s="44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3">
      <c r="A40" s="149" t="s">
        <v>99</v>
      </c>
      <c r="B40" s="149"/>
      <c r="C40" s="149"/>
      <c r="D40" s="149"/>
      <c r="E40" s="149"/>
      <c r="F40" s="149"/>
      <c r="G40" s="86" t="s">
        <v>75</v>
      </c>
      <c r="H40" s="44"/>
      <c r="I40" s="82">
        <v>0</v>
      </c>
      <c r="J40" s="102">
        <f t="shared" ref="J40:J44" si="2">K40-I40*K40</f>
        <v>1</v>
      </c>
      <c r="K40" s="102">
        <v>1</v>
      </c>
      <c r="L40" s="41"/>
      <c r="M40" s="44"/>
      <c r="N40" s="44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3">
      <c r="A41" s="149" t="s">
        <v>100</v>
      </c>
      <c r="B41" s="149"/>
      <c r="C41" s="149"/>
      <c r="D41" s="149"/>
      <c r="E41" s="149"/>
      <c r="F41" s="149"/>
      <c r="G41" s="86" t="s">
        <v>75</v>
      </c>
      <c r="H41" s="44"/>
      <c r="I41" s="82">
        <v>0</v>
      </c>
      <c r="J41" s="102">
        <f t="shared" si="2"/>
        <v>1</v>
      </c>
      <c r="K41" s="102">
        <v>1</v>
      </c>
      <c r="L41" s="41"/>
      <c r="M41" s="44"/>
      <c r="N41" s="44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3">
      <c r="A42" s="149" t="s">
        <v>101</v>
      </c>
      <c r="B42" s="149"/>
      <c r="C42" s="149"/>
      <c r="D42" s="149"/>
      <c r="E42" s="149"/>
      <c r="F42" s="149"/>
      <c r="G42" s="86" t="s">
        <v>75</v>
      </c>
      <c r="H42" s="44"/>
      <c r="I42" s="82">
        <v>0</v>
      </c>
      <c r="J42" s="102">
        <f t="shared" si="2"/>
        <v>1</v>
      </c>
      <c r="K42" s="102">
        <v>1</v>
      </c>
      <c r="L42" s="41"/>
      <c r="M42" s="44"/>
      <c r="N42" s="137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3">
      <c r="A43" s="149" t="s">
        <v>102</v>
      </c>
      <c r="B43" s="149"/>
      <c r="C43" s="149"/>
      <c r="D43" s="149"/>
      <c r="E43" s="149"/>
      <c r="F43" s="149"/>
      <c r="G43" s="86" t="s">
        <v>75</v>
      </c>
      <c r="H43" s="44"/>
      <c r="I43" s="82">
        <v>0</v>
      </c>
      <c r="J43" s="102">
        <f>K43-I43*K43</f>
        <v>1</v>
      </c>
      <c r="K43" s="102">
        <v>1</v>
      </c>
      <c r="L43" s="41"/>
      <c r="M43" s="44"/>
      <c r="N43" s="44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3">
      <c r="A44" s="149" t="s">
        <v>103</v>
      </c>
      <c r="B44" s="149"/>
      <c r="C44" s="149"/>
      <c r="D44" s="149"/>
      <c r="E44" s="149"/>
      <c r="F44" s="149"/>
      <c r="G44" s="86" t="s">
        <v>75</v>
      </c>
      <c r="H44" s="44"/>
      <c r="I44" s="82">
        <v>0</v>
      </c>
      <c r="J44" s="102">
        <f t="shared" si="2"/>
        <v>1</v>
      </c>
      <c r="K44" s="102">
        <v>1</v>
      </c>
      <c r="L44" s="41"/>
      <c r="M44" s="44"/>
      <c r="N44" s="44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3">
      <c r="A45" s="149" t="s">
        <v>104</v>
      </c>
      <c r="B45" s="149"/>
      <c r="C45" s="149"/>
      <c r="D45" s="149"/>
      <c r="E45" s="149"/>
      <c r="F45" s="149"/>
      <c r="G45" s="86" t="s">
        <v>75</v>
      </c>
      <c r="H45" s="44"/>
      <c r="I45" s="82">
        <v>0</v>
      </c>
      <c r="J45" s="102">
        <v>1</v>
      </c>
      <c r="K45" s="102">
        <v>1</v>
      </c>
      <c r="L45" s="41"/>
      <c r="M45" s="44"/>
      <c r="N45" s="44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3">
      <c r="A46" s="100"/>
      <c r="B46" s="100"/>
      <c r="C46" s="100"/>
      <c r="D46" s="100"/>
      <c r="E46" s="100"/>
      <c r="F46" s="100"/>
      <c r="G46" s="86"/>
      <c r="H46" s="44"/>
      <c r="I46" s="141"/>
      <c r="J46" s="142"/>
      <c r="K46" s="142"/>
      <c r="L46" s="41"/>
      <c r="M46" s="44"/>
      <c r="N46" s="44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3">
      <c r="A47" s="103" t="s">
        <v>105</v>
      </c>
      <c r="B47" s="103"/>
      <c r="C47" s="103"/>
      <c r="D47" s="103"/>
      <c r="E47" s="103"/>
      <c r="F47" s="103"/>
      <c r="G47" s="50"/>
      <c r="H47" s="51"/>
      <c r="I47" s="104">
        <f>(K47-J47)/K47*100%</f>
        <v>0</v>
      </c>
      <c r="J47" s="105">
        <f>SUM(J48:J49)</f>
        <v>1</v>
      </c>
      <c r="K47" s="105">
        <f>SUM(K48:K49)</f>
        <v>1</v>
      </c>
      <c r="L47" s="103"/>
      <c r="M47" s="134"/>
      <c r="N47" s="51"/>
      <c r="O47" s="51"/>
      <c r="P47" s="103"/>
      <c r="Q47" s="103"/>
      <c r="R47" s="103"/>
      <c r="S47" s="103"/>
      <c r="T47" s="103"/>
      <c r="U47" s="103"/>
      <c r="V47" s="103"/>
      <c r="W47" s="103"/>
    </row>
    <row r="48" spans="1:23" x14ac:dyDescent="0.3">
      <c r="A48" s="149" t="s">
        <v>106</v>
      </c>
      <c r="B48" s="149"/>
      <c r="C48" s="149"/>
      <c r="D48" s="149"/>
      <c r="E48" s="149"/>
      <c r="F48" s="149"/>
      <c r="G48" s="86" t="s">
        <v>75</v>
      </c>
      <c r="H48" s="100"/>
      <c r="I48" s="82">
        <v>0</v>
      </c>
      <c r="J48" s="102">
        <f>K48-I48*K48</f>
        <v>1</v>
      </c>
      <c r="K48" s="102">
        <v>1</v>
      </c>
      <c r="L48" s="100"/>
      <c r="M48" s="135"/>
      <c r="N48" s="135"/>
      <c r="O48" s="100"/>
      <c r="P48" s="100"/>
      <c r="Q48" s="100"/>
      <c r="R48" s="100"/>
      <c r="S48" s="100"/>
      <c r="T48" s="100"/>
      <c r="U48" s="100"/>
      <c r="V48" s="100"/>
      <c r="W48" s="100"/>
    </row>
    <row r="49" spans="1:23" x14ac:dyDescent="0.3">
      <c r="A49" s="100"/>
      <c r="B49" s="100"/>
      <c r="C49" s="100"/>
      <c r="D49" s="100"/>
      <c r="E49" s="100"/>
      <c r="F49" s="100"/>
      <c r="G49" s="100"/>
      <c r="H49" s="100"/>
      <c r="I49" s="66"/>
      <c r="J49" s="67"/>
      <c r="K49" s="68"/>
      <c r="L49" s="100"/>
      <c r="M49" s="135"/>
      <c r="N49" s="135"/>
      <c r="O49" s="100"/>
      <c r="P49" s="100"/>
      <c r="Q49" s="100"/>
      <c r="R49" s="100"/>
      <c r="S49" s="100"/>
      <c r="T49" s="100"/>
      <c r="U49" s="100"/>
      <c r="V49" s="100"/>
      <c r="W49" s="100"/>
    </row>
    <row r="50" spans="1:23" x14ac:dyDescent="0.3">
      <c r="A50" s="103" t="s">
        <v>107</v>
      </c>
      <c r="B50" s="103"/>
      <c r="C50" s="103"/>
      <c r="D50" s="103"/>
      <c r="E50" s="103"/>
      <c r="F50" s="103"/>
      <c r="G50" s="50"/>
      <c r="H50" s="51"/>
      <c r="I50" s="104">
        <f>(K50-J50)/K50*100%</f>
        <v>0</v>
      </c>
      <c r="J50" s="105">
        <f>SUM(J51:J52)</f>
        <v>1</v>
      </c>
      <c r="K50" s="105">
        <f>SUM(K51:K52)</f>
        <v>1</v>
      </c>
      <c r="L50" s="103"/>
      <c r="M50" s="134"/>
      <c r="N50" s="51"/>
      <c r="O50" s="51"/>
      <c r="P50" s="103"/>
      <c r="Q50" s="103"/>
      <c r="R50" s="103"/>
      <c r="S50" s="103"/>
      <c r="T50" s="103"/>
      <c r="U50" s="103"/>
      <c r="V50" s="103"/>
      <c r="W50" s="103"/>
    </row>
    <row r="51" spans="1:23" x14ac:dyDescent="0.3">
      <c r="A51" s="149" t="s">
        <v>108</v>
      </c>
      <c r="B51" s="149"/>
      <c r="C51" s="149"/>
      <c r="D51" s="149"/>
      <c r="E51" s="149"/>
      <c r="F51" s="149"/>
      <c r="G51" s="86" t="s">
        <v>75</v>
      </c>
      <c r="H51" s="44"/>
      <c r="I51" s="82">
        <v>0</v>
      </c>
      <c r="J51" s="102">
        <f>K51-I51*K51</f>
        <v>1</v>
      </c>
      <c r="K51" s="102">
        <v>1</v>
      </c>
      <c r="L51" s="41"/>
      <c r="M51" s="44"/>
      <c r="N51" s="44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3">
      <c r="A52" s="100"/>
      <c r="B52" s="100"/>
      <c r="C52" s="100"/>
      <c r="D52" s="100"/>
      <c r="E52" s="100"/>
      <c r="F52" s="100"/>
      <c r="G52" s="11"/>
      <c r="H52" s="44"/>
      <c r="I52" s="66"/>
      <c r="J52" s="67"/>
      <c r="K52" s="68"/>
      <c r="L52" s="41"/>
      <c r="M52" s="44"/>
      <c r="N52" s="44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3">
      <c r="A53" s="103" t="s">
        <v>109</v>
      </c>
      <c r="B53" s="103"/>
      <c r="C53" s="103"/>
      <c r="D53" s="103"/>
      <c r="E53" s="103"/>
      <c r="F53" s="103"/>
      <c r="G53" s="50"/>
      <c r="H53" s="51"/>
      <c r="I53" s="104">
        <f>(K53-J53)/K53*100%</f>
        <v>0</v>
      </c>
      <c r="J53" s="105">
        <f>SUM(J54:J56)</f>
        <v>2</v>
      </c>
      <c r="K53" s="105">
        <f>SUM(K54:K56)</f>
        <v>2</v>
      </c>
      <c r="L53" s="103"/>
      <c r="M53" s="134"/>
      <c r="N53" s="51"/>
      <c r="O53" s="51"/>
      <c r="P53" s="103"/>
      <c r="Q53" s="103"/>
      <c r="R53" s="103"/>
      <c r="S53" s="103"/>
      <c r="T53" s="103"/>
      <c r="U53" s="103"/>
      <c r="V53" s="103"/>
      <c r="W53" s="103"/>
    </row>
    <row r="54" spans="1:23" x14ac:dyDescent="0.3">
      <c r="A54" s="149" t="s">
        <v>110</v>
      </c>
      <c r="B54" s="149"/>
      <c r="C54" s="149"/>
      <c r="D54" s="149"/>
      <c r="E54" s="149"/>
      <c r="F54" s="149"/>
      <c r="G54" s="86" t="s">
        <v>75</v>
      </c>
      <c r="H54" s="100"/>
      <c r="I54" s="82">
        <v>0</v>
      </c>
      <c r="J54" s="102">
        <f>K54-I54*K54</f>
        <v>1</v>
      </c>
      <c r="K54" s="102">
        <v>1</v>
      </c>
      <c r="L54" s="41"/>
      <c r="M54" s="44"/>
      <c r="N54" s="44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3">
      <c r="A55" s="149" t="s">
        <v>111</v>
      </c>
      <c r="B55" s="149"/>
      <c r="C55" s="149"/>
      <c r="D55" s="149"/>
      <c r="E55" s="149"/>
      <c r="F55" s="149"/>
      <c r="G55" s="86" t="s">
        <v>75</v>
      </c>
      <c r="H55" s="100"/>
      <c r="I55" s="82">
        <v>0</v>
      </c>
      <c r="J55" s="102">
        <f>K55-I55*K55</f>
        <v>1</v>
      </c>
      <c r="K55" s="102">
        <v>1</v>
      </c>
      <c r="L55" s="41"/>
      <c r="M55" s="44"/>
      <c r="N55" s="44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3">
      <c r="A56" s="100"/>
      <c r="B56" s="100"/>
      <c r="C56" s="100"/>
      <c r="D56" s="100"/>
      <c r="E56" s="100"/>
      <c r="F56" s="100"/>
      <c r="G56" s="100"/>
      <c r="H56" s="100"/>
      <c r="I56" s="66"/>
      <c r="J56" s="67"/>
      <c r="K56" s="68"/>
      <c r="L56" s="41"/>
      <c r="M56" s="44"/>
      <c r="N56" s="44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3">
      <c r="A57" s="103" t="s">
        <v>112</v>
      </c>
      <c r="B57" s="103"/>
      <c r="C57" s="103"/>
      <c r="D57" s="103"/>
      <c r="E57" s="103"/>
      <c r="F57" s="103"/>
      <c r="G57" s="50"/>
      <c r="H57" s="51"/>
      <c r="I57" s="104">
        <f>(K57-J57)/K57*100%</f>
        <v>0</v>
      </c>
      <c r="J57" s="105">
        <f>SUM(J58:J63)</f>
        <v>5</v>
      </c>
      <c r="K57" s="105">
        <f>SUM(K58:K63)</f>
        <v>5</v>
      </c>
      <c r="L57" s="103"/>
      <c r="M57" s="134"/>
      <c r="N57" s="51"/>
      <c r="O57" s="51"/>
      <c r="P57" s="103"/>
      <c r="Q57" s="103"/>
      <c r="R57" s="103"/>
      <c r="S57" s="103"/>
      <c r="T57" s="103"/>
      <c r="U57" s="103"/>
      <c r="V57" s="103"/>
      <c r="W57" s="103"/>
    </row>
    <row r="58" spans="1:23" x14ac:dyDescent="0.3">
      <c r="A58" s="149" t="s">
        <v>113</v>
      </c>
      <c r="B58" s="149"/>
      <c r="C58" s="149"/>
      <c r="D58" s="149"/>
      <c r="E58" s="149"/>
      <c r="F58" s="149"/>
      <c r="G58" s="86" t="s">
        <v>75</v>
      </c>
      <c r="H58" s="100"/>
      <c r="I58" s="82">
        <v>0</v>
      </c>
      <c r="J58" s="102">
        <f>K58-I58*K58</f>
        <v>1</v>
      </c>
      <c r="K58" s="102">
        <v>1</v>
      </c>
      <c r="L58" s="100"/>
      <c r="M58" s="135"/>
      <c r="N58" s="135"/>
      <c r="O58" s="100"/>
      <c r="P58" s="100"/>
      <c r="Q58" s="100"/>
      <c r="R58" s="100"/>
      <c r="S58" s="100"/>
      <c r="T58" s="100"/>
      <c r="U58" s="100"/>
      <c r="V58" s="100"/>
      <c r="W58" s="100"/>
    </row>
    <row r="59" spans="1:23" x14ac:dyDescent="0.3">
      <c r="A59" s="149" t="s">
        <v>114</v>
      </c>
      <c r="B59" s="149"/>
      <c r="C59" s="149"/>
      <c r="D59" s="149"/>
      <c r="E59" s="149"/>
      <c r="F59" s="149"/>
      <c r="G59" s="86" t="s">
        <v>75</v>
      </c>
      <c r="H59" s="81"/>
      <c r="I59" s="82">
        <v>0</v>
      </c>
      <c r="J59" s="102">
        <f t="shared" ref="J59:J60" si="3">K59-I59*K59</f>
        <v>1</v>
      </c>
      <c r="K59" s="102">
        <v>1</v>
      </c>
      <c r="L59" s="81"/>
      <c r="M59" s="136"/>
      <c r="N59" s="136"/>
      <c r="O59" s="81"/>
      <c r="P59" s="81"/>
      <c r="Q59" s="81"/>
      <c r="R59" s="81"/>
      <c r="S59" s="81"/>
      <c r="T59" s="81"/>
      <c r="U59" s="81"/>
      <c r="V59" s="81"/>
      <c r="W59" s="81"/>
    </row>
    <row r="60" spans="1:23" x14ac:dyDescent="0.3">
      <c r="A60" s="149" t="s">
        <v>115</v>
      </c>
      <c r="B60" s="149"/>
      <c r="C60" s="149"/>
      <c r="D60" s="149"/>
      <c r="E60" s="149"/>
      <c r="F60" s="149"/>
      <c r="G60" s="86" t="s">
        <v>75</v>
      </c>
      <c r="H60" s="100"/>
      <c r="I60" s="82">
        <v>0</v>
      </c>
      <c r="J60" s="102">
        <f t="shared" si="3"/>
        <v>1</v>
      </c>
      <c r="K60" s="102">
        <v>1</v>
      </c>
      <c r="L60" s="100"/>
      <c r="M60" s="135"/>
      <c r="N60" s="135"/>
      <c r="O60" s="100"/>
      <c r="P60" s="100"/>
      <c r="Q60" s="100"/>
      <c r="R60" s="100"/>
      <c r="S60" s="100"/>
      <c r="T60" s="100"/>
      <c r="U60" s="100"/>
      <c r="V60" s="100"/>
      <c r="W60" s="100"/>
    </row>
    <row r="61" spans="1:23" x14ac:dyDescent="0.3">
      <c r="A61" s="149" t="s">
        <v>116</v>
      </c>
      <c r="B61" s="149"/>
      <c r="C61" s="149"/>
      <c r="D61" s="149"/>
      <c r="E61" s="149"/>
      <c r="F61" s="149"/>
      <c r="G61" s="86" t="s">
        <v>75</v>
      </c>
      <c r="H61" s="100"/>
      <c r="I61" s="82">
        <v>0</v>
      </c>
      <c r="J61" s="102">
        <f>K61-I61*K61</f>
        <v>1</v>
      </c>
      <c r="K61" s="102">
        <v>1</v>
      </c>
      <c r="L61" s="100"/>
      <c r="M61" s="135"/>
      <c r="N61" s="135"/>
      <c r="O61" s="100"/>
      <c r="P61" s="100"/>
      <c r="Q61" s="100"/>
      <c r="R61" s="100"/>
      <c r="S61" s="100"/>
      <c r="T61" s="100"/>
      <c r="U61" s="100"/>
      <c r="V61" s="100"/>
      <c r="W61" s="100"/>
    </row>
    <row r="62" spans="1:23" x14ac:dyDescent="0.3">
      <c r="A62" s="149" t="s">
        <v>117</v>
      </c>
      <c r="B62" s="149"/>
      <c r="C62" s="149"/>
      <c r="D62" s="149"/>
      <c r="E62" s="149"/>
      <c r="F62" s="149"/>
      <c r="G62" s="86" t="s">
        <v>75</v>
      </c>
      <c r="H62" s="100"/>
      <c r="I62" s="82">
        <v>0</v>
      </c>
      <c r="J62" s="102">
        <f>K62-I62*K62</f>
        <v>1</v>
      </c>
      <c r="K62" s="102">
        <v>1</v>
      </c>
      <c r="L62" s="100"/>
      <c r="M62" s="135"/>
      <c r="N62" s="135"/>
      <c r="O62" s="100"/>
      <c r="P62" s="100"/>
      <c r="Q62" s="100"/>
      <c r="R62" s="100"/>
      <c r="S62" s="100"/>
      <c r="T62" s="100"/>
      <c r="U62" s="100"/>
      <c r="V62" s="100"/>
      <c r="W62" s="100"/>
    </row>
    <row r="63" spans="1:23" x14ac:dyDescent="0.3">
      <c r="A63" s="100"/>
      <c r="B63" s="100"/>
      <c r="C63" s="100"/>
      <c r="D63" s="100"/>
      <c r="E63" s="100"/>
      <c r="F63" s="100"/>
      <c r="G63" s="100"/>
      <c r="H63" s="100"/>
      <c r="I63" s="108"/>
      <c r="J63" s="108"/>
      <c r="K63" s="108"/>
      <c r="L63" s="100"/>
      <c r="M63" s="135"/>
      <c r="N63" s="135"/>
      <c r="O63" s="100"/>
      <c r="P63" s="100"/>
      <c r="Q63" s="100"/>
      <c r="R63" s="100"/>
      <c r="S63" s="100"/>
      <c r="T63" s="100"/>
      <c r="U63" s="100"/>
      <c r="V63" s="100"/>
      <c r="W63" s="100"/>
    </row>
    <row r="64" spans="1:23" x14ac:dyDescent="0.3">
      <c r="A64" s="103" t="s">
        <v>118</v>
      </c>
      <c r="B64" s="103"/>
      <c r="C64" s="103"/>
      <c r="D64" s="103"/>
      <c r="E64" s="103"/>
      <c r="F64" s="103"/>
      <c r="G64" s="50"/>
      <c r="H64" s="51"/>
      <c r="I64" s="104">
        <f>(K64-J64)/K64*100%</f>
        <v>0</v>
      </c>
      <c r="J64" s="105">
        <f>SUM(J65:J71)</f>
        <v>6</v>
      </c>
      <c r="K64" s="105">
        <f>SUM(K65:K71)</f>
        <v>6</v>
      </c>
      <c r="L64" s="103"/>
      <c r="M64" s="134"/>
      <c r="N64" s="51"/>
      <c r="O64" s="51"/>
      <c r="P64" s="103"/>
      <c r="Q64" s="103"/>
      <c r="R64" s="103"/>
      <c r="S64" s="103"/>
      <c r="T64" s="103"/>
      <c r="U64" s="103"/>
      <c r="V64" s="103"/>
      <c r="W64" s="103"/>
    </row>
    <row r="65" spans="1:23" x14ac:dyDescent="0.3">
      <c r="A65" s="149" t="s">
        <v>119</v>
      </c>
      <c r="B65" s="149"/>
      <c r="C65" s="149"/>
      <c r="D65" s="149"/>
      <c r="E65" s="149"/>
      <c r="F65" s="149"/>
      <c r="G65" s="86" t="s">
        <v>75</v>
      </c>
      <c r="H65" s="44"/>
      <c r="I65" s="82">
        <v>0</v>
      </c>
      <c r="J65" s="102">
        <f>K65-I65*K65</f>
        <v>1</v>
      </c>
      <c r="K65" s="102">
        <v>1</v>
      </c>
      <c r="L65" s="41"/>
      <c r="M65" s="44"/>
      <c r="N65" s="44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3">
      <c r="A66" s="149" t="s">
        <v>120</v>
      </c>
      <c r="B66" s="149"/>
      <c r="C66" s="149"/>
      <c r="D66" s="149"/>
      <c r="E66" s="149"/>
      <c r="F66" s="149"/>
      <c r="G66" s="86" t="s">
        <v>75</v>
      </c>
      <c r="H66" s="44"/>
      <c r="I66" s="82">
        <v>0</v>
      </c>
      <c r="J66" s="102">
        <f t="shared" ref="J66:J67" si="4">K66-I66*K66</f>
        <v>1</v>
      </c>
      <c r="K66" s="102">
        <v>1</v>
      </c>
      <c r="L66" s="41"/>
      <c r="M66" s="44"/>
      <c r="N66" s="44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3">
      <c r="A67" s="149" t="s">
        <v>121</v>
      </c>
      <c r="B67" s="149"/>
      <c r="C67" s="149"/>
      <c r="D67" s="149"/>
      <c r="E67" s="149"/>
      <c r="F67" s="149"/>
      <c r="G67" s="86" t="s">
        <v>75</v>
      </c>
      <c r="H67" s="44"/>
      <c r="I67" s="82">
        <v>0</v>
      </c>
      <c r="J67" s="102">
        <f t="shared" si="4"/>
        <v>1</v>
      </c>
      <c r="K67" s="102">
        <v>1</v>
      </c>
      <c r="L67" s="41"/>
      <c r="M67" s="44"/>
      <c r="N67" s="44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3">
      <c r="A68" s="149" t="s">
        <v>122</v>
      </c>
      <c r="B68" s="149"/>
      <c r="C68" s="149"/>
      <c r="D68" s="149"/>
      <c r="E68" s="149"/>
      <c r="F68" s="149"/>
      <c r="G68" s="86" t="s">
        <v>75</v>
      </c>
      <c r="H68" s="44"/>
      <c r="I68" s="82">
        <v>0</v>
      </c>
      <c r="J68" s="102">
        <v>1</v>
      </c>
      <c r="K68" s="102">
        <v>1</v>
      </c>
      <c r="L68" s="41"/>
      <c r="M68" s="44"/>
      <c r="N68" s="44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3">
      <c r="A69" s="149" t="s">
        <v>123</v>
      </c>
      <c r="B69" s="149"/>
      <c r="C69" s="149"/>
      <c r="D69" s="149"/>
      <c r="E69" s="149"/>
      <c r="F69" s="149"/>
      <c r="G69" s="86" t="s">
        <v>75</v>
      </c>
      <c r="H69" s="44"/>
      <c r="I69" s="82">
        <v>0</v>
      </c>
      <c r="J69" s="102">
        <f>K69-I69*K69</f>
        <v>1</v>
      </c>
      <c r="K69" s="102">
        <v>1</v>
      </c>
      <c r="L69" s="41"/>
      <c r="M69" s="44"/>
      <c r="N69" s="44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3">
      <c r="A70" s="149" t="s">
        <v>124</v>
      </c>
      <c r="B70" s="149"/>
      <c r="C70" s="149"/>
      <c r="D70" s="149"/>
      <c r="E70" s="149"/>
      <c r="F70" s="149"/>
      <c r="G70" s="86" t="s">
        <v>75</v>
      </c>
      <c r="H70" s="44"/>
      <c r="I70" s="82">
        <v>0</v>
      </c>
      <c r="J70" s="102">
        <v>1</v>
      </c>
      <c r="K70" s="102">
        <v>1</v>
      </c>
      <c r="L70" s="41"/>
      <c r="M70" s="44"/>
      <c r="N70" s="44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3">
      <c r="A71" s="100"/>
      <c r="B71" s="100"/>
      <c r="C71" s="100"/>
      <c r="D71" s="100"/>
      <c r="E71" s="100"/>
      <c r="F71" s="100"/>
      <c r="H71" s="44"/>
      <c r="I71" s="11"/>
      <c r="J71" s="41"/>
      <c r="K71" s="64"/>
      <c r="L71" s="41"/>
      <c r="M71" s="44"/>
      <c r="N71" s="44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3">
      <c r="A72" s="103" t="s">
        <v>125</v>
      </c>
      <c r="B72" s="103"/>
      <c r="C72" s="103"/>
      <c r="D72" s="103"/>
      <c r="E72" s="103"/>
      <c r="F72" s="103"/>
      <c r="G72" s="50"/>
      <c r="H72" s="51"/>
      <c r="I72" s="104">
        <f>(K72-J72)/K72*100%</f>
        <v>0</v>
      </c>
      <c r="J72" s="105">
        <f>SUM(J73:J75)</f>
        <v>2</v>
      </c>
      <c r="K72" s="105">
        <f>SUM(K73:K75)</f>
        <v>2</v>
      </c>
      <c r="L72" s="49"/>
      <c r="M72" s="51"/>
      <c r="N72" s="51"/>
      <c r="O72" s="51"/>
      <c r="P72" s="50"/>
      <c r="Q72" s="51"/>
      <c r="R72" s="51"/>
      <c r="S72" s="51"/>
      <c r="T72" s="51"/>
      <c r="U72" s="51"/>
      <c r="V72" s="51"/>
      <c r="W72" s="51"/>
    </row>
    <row r="73" spans="1:23" x14ac:dyDescent="0.3">
      <c r="A73" s="149" t="s">
        <v>126</v>
      </c>
      <c r="B73" s="149"/>
      <c r="C73" s="149"/>
      <c r="D73" s="149"/>
      <c r="E73" s="149"/>
      <c r="F73" s="149"/>
      <c r="G73" s="86" t="s">
        <v>127</v>
      </c>
      <c r="H73" s="44"/>
      <c r="I73" s="82">
        <v>0</v>
      </c>
      <c r="J73" s="102">
        <f>K73-I73*K73</f>
        <v>1</v>
      </c>
      <c r="K73" s="102">
        <v>1</v>
      </c>
      <c r="L73" s="41"/>
      <c r="M73" s="44"/>
      <c r="N73" s="44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3">
      <c r="A74" s="149" t="s">
        <v>128</v>
      </c>
      <c r="B74" s="149"/>
      <c r="C74" s="149"/>
      <c r="D74" s="149"/>
      <c r="E74" s="149"/>
      <c r="F74" s="149"/>
      <c r="G74" s="86" t="s">
        <v>127</v>
      </c>
      <c r="H74" s="44"/>
      <c r="I74" s="82">
        <v>0</v>
      </c>
      <c r="J74" s="102">
        <f>K74-I74*K74</f>
        <v>1</v>
      </c>
      <c r="K74" s="102">
        <v>1</v>
      </c>
      <c r="L74" s="41"/>
      <c r="M74" s="44"/>
      <c r="N74" s="44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3">
      <c r="A75" s="76"/>
      <c r="B75" s="76"/>
      <c r="C75" s="76"/>
      <c r="D75" s="76"/>
      <c r="E75" s="76"/>
      <c r="F75" s="76"/>
      <c r="G75" s="11"/>
      <c r="H75" s="44"/>
      <c r="I75" s="11"/>
      <c r="J75" s="41"/>
      <c r="K75" s="64"/>
      <c r="L75" s="41"/>
      <c r="M75" s="44"/>
      <c r="N75" s="44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3">
      <c r="A76" s="103" t="s">
        <v>129</v>
      </c>
      <c r="B76" s="103"/>
      <c r="C76" s="103"/>
      <c r="D76" s="103"/>
      <c r="E76" s="103"/>
      <c r="F76" s="103"/>
      <c r="G76" s="50"/>
      <c r="H76" s="51"/>
      <c r="I76" s="104">
        <f>(K76-J76)/K76*100%</f>
        <v>1</v>
      </c>
      <c r="J76" s="105">
        <f>SUM(J77:J81)</f>
        <v>0</v>
      </c>
      <c r="K76" s="105">
        <f>SUM(K77:K81)</f>
        <v>1</v>
      </c>
      <c r="L76" s="50"/>
      <c r="M76" s="51"/>
      <c r="N76" s="51"/>
      <c r="O76" s="51"/>
      <c r="P76" s="50"/>
      <c r="Q76" s="51"/>
      <c r="R76" s="51"/>
      <c r="S76" s="51"/>
      <c r="T76" s="51"/>
      <c r="U76" s="51"/>
      <c r="V76" s="51"/>
      <c r="W76" s="51"/>
    </row>
    <row r="77" spans="1:23" x14ac:dyDescent="0.3">
      <c r="A77" s="149" t="s">
        <v>130</v>
      </c>
      <c r="B77" s="149"/>
      <c r="C77" s="149"/>
      <c r="D77" s="149"/>
      <c r="E77" s="149"/>
      <c r="F77" s="149"/>
      <c r="G77" s="86" t="s">
        <v>127</v>
      </c>
      <c r="H77" s="44" t="s">
        <v>131</v>
      </c>
      <c r="I77" s="82">
        <v>1</v>
      </c>
      <c r="J77" s="102">
        <f>K77-I77*K77</f>
        <v>0</v>
      </c>
      <c r="K77" s="102">
        <v>1</v>
      </c>
      <c r="L77" s="41"/>
      <c r="M77" s="44"/>
      <c r="N77" s="44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3">
      <c r="A78" s="149"/>
      <c r="B78" s="149"/>
      <c r="C78" s="149"/>
      <c r="D78" s="149"/>
      <c r="E78" s="149"/>
      <c r="F78" s="149"/>
      <c r="G78" s="86"/>
      <c r="H78" s="44"/>
      <c r="I78" s="82"/>
      <c r="J78" s="102"/>
      <c r="K78" s="102"/>
      <c r="L78" s="41"/>
      <c r="M78" s="44"/>
      <c r="N78" s="44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3">
      <c r="A79" s="149"/>
      <c r="B79" s="149"/>
      <c r="C79" s="149"/>
      <c r="D79" s="149"/>
      <c r="E79" s="149"/>
      <c r="F79" s="149"/>
      <c r="G79" s="86"/>
      <c r="H79" s="44"/>
      <c r="I79" s="82"/>
      <c r="J79" s="102"/>
      <c r="K79" s="102"/>
      <c r="L79" s="41"/>
      <c r="M79" s="44"/>
      <c r="N79" s="44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3">
      <c r="A80" s="149"/>
      <c r="B80" s="149"/>
      <c r="C80" s="149"/>
      <c r="D80" s="149"/>
      <c r="E80" s="149"/>
      <c r="F80" s="149"/>
      <c r="G80" s="86"/>
      <c r="H80" s="44"/>
      <c r="I80" s="82"/>
      <c r="J80" s="102"/>
      <c r="K80" s="102"/>
      <c r="L80" s="39"/>
    </row>
    <row r="81" spans="1:23" x14ac:dyDescent="0.3">
      <c r="A81" s="81"/>
      <c r="B81" s="81"/>
      <c r="C81" s="81"/>
      <c r="D81" s="81"/>
      <c r="E81" s="81"/>
      <c r="F81" s="81"/>
      <c r="H81" s="38"/>
      <c r="I81" s="40"/>
      <c r="J81" s="47"/>
      <c r="K81" s="63"/>
      <c r="L81" s="39"/>
    </row>
    <row r="82" spans="1:23" x14ac:dyDescent="0.3">
      <c r="A82" s="85" t="s">
        <v>132</v>
      </c>
      <c r="B82" s="77"/>
      <c r="C82" s="77"/>
      <c r="D82" s="77"/>
      <c r="E82" s="77"/>
      <c r="F82" s="77"/>
      <c r="G82" s="20"/>
      <c r="H82" s="36"/>
      <c r="I82" s="104">
        <f>(K82-J82)/K82*100%</f>
        <v>0</v>
      </c>
      <c r="J82" s="79">
        <f>SUM(J83:J86)</f>
        <v>3</v>
      </c>
      <c r="K82" s="80">
        <f>SUM(K83:K86)</f>
        <v>3</v>
      </c>
      <c r="L82" s="39"/>
    </row>
    <row r="83" spans="1:23" x14ac:dyDescent="0.3">
      <c r="A83" s="149" t="s">
        <v>133</v>
      </c>
      <c r="B83" s="149"/>
      <c r="C83" s="149"/>
      <c r="D83" s="149"/>
      <c r="E83" s="149"/>
      <c r="F83" s="149"/>
      <c r="G83" s="86" t="s">
        <v>87</v>
      </c>
      <c r="H83" s="44"/>
      <c r="I83" s="82">
        <v>0</v>
      </c>
      <c r="J83" s="102">
        <f>K83-I83*K83</f>
        <v>1</v>
      </c>
      <c r="K83" s="102">
        <v>1</v>
      </c>
      <c r="L83" s="39"/>
    </row>
    <row r="84" spans="1:23" x14ac:dyDescent="0.3">
      <c r="A84" s="149" t="s">
        <v>134</v>
      </c>
      <c r="B84" s="149"/>
      <c r="C84" s="149"/>
      <c r="D84" s="149"/>
      <c r="E84" s="149"/>
      <c r="F84" s="149"/>
      <c r="G84" s="86" t="s">
        <v>87</v>
      </c>
      <c r="H84" s="38"/>
      <c r="I84" s="82">
        <v>0</v>
      </c>
      <c r="J84" s="102">
        <f>K84-I84*K84</f>
        <v>1</v>
      </c>
      <c r="K84" s="102">
        <v>1</v>
      </c>
      <c r="L84" s="39"/>
    </row>
    <row r="85" spans="1:23" x14ac:dyDescent="0.3">
      <c r="A85" s="149" t="s">
        <v>135</v>
      </c>
      <c r="B85" s="149"/>
      <c r="C85" s="149"/>
      <c r="D85" s="149"/>
      <c r="E85" s="149"/>
      <c r="F85" s="149"/>
      <c r="G85" s="86" t="s">
        <v>87</v>
      </c>
      <c r="H85" s="38"/>
      <c r="I85" s="82">
        <v>0</v>
      </c>
      <c r="J85" s="102">
        <f>K85-I85*K85</f>
        <v>1</v>
      </c>
      <c r="K85" s="102">
        <v>1</v>
      </c>
      <c r="L85" s="39"/>
    </row>
    <row r="86" spans="1:23" x14ac:dyDescent="0.3">
      <c r="A86" s="100"/>
      <c r="B86" s="100"/>
      <c r="C86" s="100"/>
      <c r="D86" s="100"/>
      <c r="E86" s="100"/>
      <c r="F86" s="100"/>
      <c r="G86" s="86"/>
      <c r="H86" s="38"/>
      <c r="I86" s="112"/>
      <c r="J86" s="102"/>
      <c r="K86" s="102"/>
      <c r="L86" s="39"/>
    </row>
    <row r="87" spans="1:23" x14ac:dyDescent="0.3">
      <c r="A87" s="85" t="s">
        <v>136</v>
      </c>
      <c r="B87" s="77"/>
      <c r="C87" s="77"/>
      <c r="D87" s="77"/>
      <c r="E87" s="77"/>
      <c r="F87" s="77"/>
      <c r="G87" s="20"/>
      <c r="H87" s="36"/>
      <c r="I87" s="104">
        <f>(K87-J87)/K87*100%</f>
        <v>0</v>
      </c>
      <c r="J87" s="79">
        <f>SUM(J88:J92)</f>
        <v>4</v>
      </c>
      <c r="K87" s="80">
        <f>SUM(K88:K92)</f>
        <v>4</v>
      </c>
      <c r="L87" s="37"/>
      <c r="M87" s="36"/>
      <c r="N87" s="36"/>
      <c r="O87" s="20"/>
      <c r="P87" s="20"/>
      <c r="Q87" s="20"/>
      <c r="R87" s="20"/>
      <c r="S87" s="20"/>
      <c r="T87" s="20"/>
      <c r="U87" s="20"/>
      <c r="V87" s="20"/>
      <c r="W87" s="20"/>
    </row>
    <row r="88" spans="1:23" x14ac:dyDescent="0.3">
      <c r="A88" s="149" t="s">
        <v>137</v>
      </c>
      <c r="B88" s="149"/>
      <c r="C88" s="149"/>
      <c r="D88" s="149"/>
      <c r="E88" s="149"/>
      <c r="F88" s="149"/>
      <c r="G88" s="86" t="s">
        <v>87</v>
      </c>
      <c r="H88" s="44"/>
      <c r="I88" s="82">
        <v>0</v>
      </c>
      <c r="J88" s="102">
        <f>K88-I88*K88</f>
        <v>1</v>
      </c>
      <c r="K88" s="102">
        <v>1</v>
      </c>
      <c r="L88" s="41"/>
      <c r="M88" s="44"/>
      <c r="N88" s="44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3">
      <c r="A89" s="149" t="s">
        <v>138</v>
      </c>
      <c r="B89" s="149"/>
      <c r="C89" s="149"/>
      <c r="D89" s="149"/>
      <c r="E89" s="149"/>
      <c r="F89" s="149"/>
      <c r="G89" s="86" t="s">
        <v>75</v>
      </c>
      <c r="H89" s="38"/>
      <c r="I89" s="82">
        <v>0</v>
      </c>
      <c r="J89" s="102">
        <f t="shared" ref="J89:J90" si="5">K89-I89*K89</f>
        <v>1</v>
      </c>
      <c r="K89" s="102">
        <v>1</v>
      </c>
      <c r="L89" s="39"/>
    </row>
    <row r="90" spans="1:23" x14ac:dyDescent="0.3">
      <c r="A90" s="149" t="s">
        <v>139</v>
      </c>
      <c r="B90" s="149"/>
      <c r="C90" s="149"/>
      <c r="D90" s="149"/>
      <c r="E90" s="149"/>
      <c r="F90" s="149"/>
      <c r="G90" s="86" t="s">
        <v>75</v>
      </c>
      <c r="H90" s="38"/>
      <c r="I90" s="82">
        <v>0</v>
      </c>
      <c r="J90" s="102">
        <f t="shared" si="5"/>
        <v>1</v>
      </c>
      <c r="K90" s="102">
        <v>1</v>
      </c>
      <c r="L90" s="39"/>
    </row>
    <row r="91" spans="1:23" x14ac:dyDescent="0.3">
      <c r="A91" s="149" t="s">
        <v>140</v>
      </c>
      <c r="B91" s="149"/>
      <c r="C91" s="149"/>
      <c r="D91" s="149"/>
      <c r="E91" s="149"/>
      <c r="F91" s="149"/>
      <c r="G91" s="86" t="s">
        <v>141</v>
      </c>
      <c r="H91" s="38"/>
      <c r="I91" s="82">
        <v>0</v>
      </c>
      <c r="J91" s="102">
        <f>K91-I91*K91</f>
        <v>1</v>
      </c>
      <c r="K91" s="102">
        <v>1</v>
      </c>
      <c r="L91" s="39"/>
    </row>
    <row r="92" spans="1:23" x14ac:dyDescent="0.3">
      <c r="A92" s="100"/>
      <c r="B92" s="100"/>
      <c r="C92" s="100"/>
      <c r="D92" s="100"/>
      <c r="E92" s="100"/>
      <c r="F92" s="81"/>
      <c r="H92" s="38"/>
      <c r="I92" s="38"/>
      <c r="J92" s="38"/>
      <c r="K92" s="38"/>
      <c r="L92" s="39"/>
    </row>
    <row r="93" spans="1:23" x14ac:dyDescent="0.3">
      <c r="A93" s="85" t="s">
        <v>142</v>
      </c>
      <c r="B93" s="77"/>
      <c r="C93" s="77"/>
      <c r="D93" s="77"/>
      <c r="E93" s="77"/>
      <c r="F93" s="77"/>
      <c r="G93" s="20"/>
      <c r="H93" s="36"/>
      <c r="I93" s="104">
        <f>(K93-J93)/K93*100%</f>
        <v>0</v>
      </c>
      <c r="J93" s="79">
        <f>SUM(J94:J98)</f>
        <v>4</v>
      </c>
      <c r="K93" s="80">
        <f>SUM(K94:K98)</f>
        <v>4</v>
      </c>
      <c r="L93" s="37"/>
      <c r="M93" s="36"/>
      <c r="N93" s="36"/>
      <c r="O93" s="20"/>
      <c r="P93" s="20"/>
      <c r="Q93" s="20"/>
      <c r="R93" s="20"/>
      <c r="S93" s="20"/>
      <c r="T93" s="20"/>
      <c r="U93" s="20"/>
      <c r="V93" s="20"/>
      <c r="W93" s="20"/>
    </row>
    <row r="94" spans="1:23" x14ac:dyDescent="0.3">
      <c r="A94" s="149" t="s">
        <v>143</v>
      </c>
      <c r="B94" s="149"/>
      <c r="C94" s="149"/>
      <c r="D94" s="149"/>
      <c r="E94" s="149"/>
      <c r="F94" s="149"/>
      <c r="G94" s="86" t="s">
        <v>87</v>
      </c>
      <c r="H94" s="44"/>
      <c r="I94" s="82">
        <v>0</v>
      </c>
      <c r="J94" s="102">
        <f>K94-I94*K94</f>
        <v>1</v>
      </c>
      <c r="K94" s="102">
        <v>1</v>
      </c>
      <c r="L94" s="41"/>
      <c r="M94" s="44"/>
      <c r="N94" s="44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3">
      <c r="A95" s="149" t="s">
        <v>138</v>
      </c>
      <c r="B95" s="149"/>
      <c r="C95" s="149"/>
      <c r="D95" s="149"/>
      <c r="E95" s="149"/>
      <c r="F95" s="149"/>
      <c r="G95" s="86" t="s">
        <v>75</v>
      </c>
      <c r="H95" s="38"/>
      <c r="I95" s="82">
        <v>0</v>
      </c>
      <c r="J95" s="102">
        <f t="shared" ref="J95:J96" si="6">K95-I95*K95</f>
        <v>1</v>
      </c>
      <c r="K95" s="102">
        <v>1</v>
      </c>
      <c r="L95" s="39"/>
    </row>
    <row r="96" spans="1:23" x14ac:dyDescent="0.3">
      <c r="A96" s="149" t="s">
        <v>139</v>
      </c>
      <c r="B96" s="149"/>
      <c r="C96" s="149"/>
      <c r="D96" s="149"/>
      <c r="E96" s="149"/>
      <c r="F96" s="149"/>
      <c r="G96" s="86" t="s">
        <v>75</v>
      </c>
      <c r="H96" s="38"/>
      <c r="I96" s="82">
        <v>0</v>
      </c>
      <c r="J96" s="102">
        <f t="shared" si="6"/>
        <v>1</v>
      </c>
      <c r="K96" s="102">
        <v>1</v>
      </c>
      <c r="L96" s="39"/>
    </row>
    <row r="97" spans="1:23" x14ac:dyDescent="0.3">
      <c r="A97" s="149" t="s">
        <v>140</v>
      </c>
      <c r="B97" s="149"/>
      <c r="C97" s="149"/>
      <c r="D97" s="149"/>
      <c r="E97" s="149"/>
      <c r="F97" s="149"/>
      <c r="G97" s="86" t="s">
        <v>141</v>
      </c>
      <c r="H97" s="38"/>
      <c r="I97" s="82">
        <v>0</v>
      </c>
      <c r="J97" s="102">
        <f>K97-I97*K97</f>
        <v>1</v>
      </c>
      <c r="K97" s="102">
        <v>1</v>
      </c>
      <c r="L97" s="39"/>
    </row>
    <row r="98" spans="1:23" x14ac:dyDescent="0.3">
      <c r="A98" s="100"/>
      <c r="B98" s="100"/>
      <c r="C98" s="100"/>
      <c r="D98" s="100"/>
      <c r="E98" s="100"/>
      <c r="F98" s="81"/>
      <c r="H98" s="38"/>
      <c r="I98" s="38"/>
      <c r="J98" s="38"/>
      <c r="K98" s="38"/>
      <c r="L98" s="39"/>
    </row>
    <row r="99" spans="1:23" x14ac:dyDescent="0.3">
      <c r="A99" s="103" t="s">
        <v>58</v>
      </c>
      <c r="B99" s="103"/>
      <c r="C99" s="103"/>
      <c r="D99" s="103"/>
      <c r="E99" s="103"/>
      <c r="F99" s="103"/>
      <c r="G99" s="50"/>
      <c r="H99" s="51"/>
      <c r="I99" s="104">
        <f>(K99-J99)/K99*100%</f>
        <v>0</v>
      </c>
      <c r="J99" s="79">
        <f>SUM(J100:J108)</f>
        <v>6</v>
      </c>
      <c r="K99" s="80">
        <f>SUM(K100:K108)</f>
        <v>6</v>
      </c>
      <c r="L99" s="50"/>
      <c r="M99" s="51"/>
      <c r="N99" s="51"/>
      <c r="O99" s="51"/>
      <c r="P99" s="50"/>
      <c r="Q99" s="51"/>
      <c r="R99" s="51"/>
      <c r="S99" s="51"/>
      <c r="T99" s="51"/>
      <c r="U99" s="51"/>
      <c r="V99" s="51"/>
      <c r="W99" s="51"/>
    </row>
    <row r="100" spans="1:23" x14ac:dyDescent="0.3">
      <c r="A100" s="149" t="s">
        <v>144</v>
      </c>
      <c r="B100" s="149"/>
      <c r="C100" s="149"/>
      <c r="D100" s="149"/>
      <c r="E100" s="149"/>
      <c r="F100" s="149"/>
      <c r="G100" s="86" t="s">
        <v>75</v>
      </c>
      <c r="H100" s="38"/>
      <c r="I100" s="82">
        <v>0</v>
      </c>
      <c r="J100" s="102">
        <f>K100-I100*K100</f>
        <v>1</v>
      </c>
      <c r="K100" s="102">
        <v>1</v>
      </c>
      <c r="L100" s="39"/>
    </row>
    <row r="101" spans="1:23" x14ac:dyDescent="0.3">
      <c r="A101" s="149" t="s">
        <v>145</v>
      </c>
      <c r="B101" s="149"/>
      <c r="C101" s="149"/>
      <c r="D101" s="149"/>
      <c r="E101" s="149"/>
      <c r="F101" s="149"/>
      <c r="G101" s="86" t="s">
        <v>75</v>
      </c>
      <c r="H101" s="38"/>
      <c r="I101" s="82">
        <v>0</v>
      </c>
      <c r="J101" s="102">
        <f t="shared" ref="J101:J102" si="7">K101-I101*K101</f>
        <v>1</v>
      </c>
      <c r="K101" s="102">
        <v>1</v>
      </c>
      <c r="L101" s="39"/>
    </row>
    <row r="102" spans="1:23" x14ac:dyDescent="0.3">
      <c r="A102" s="149" t="s">
        <v>146</v>
      </c>
      <c r="B102" s="149"/>
      <c r="C102" s="149"/>
      <c r="D102" s="149"/>
      <c r="E102" s="149"/>
      <c r="F102" s="149"/>
      <c r="G102" s="86" t="s">
        <v>87</v>
      </c>
      <c r="H102" s="38"/>
      <c r="I102" s="82">
        <v>0</v>
      </c>
      <c r="J102" s="102">
        <f t="shared" si="7"/>
        <v>1</v>
      </c>
      <c r="K102" s="102">
        <v>1</v>
      </c>
      <c r="L102" s="39"/>
    </row>
    <row r="103" spans="1:23" x14ac:dyDescent="0.3">
      <c r="A103" s="149" t="s">
        <v>147</v>
      </c>
      <c r="B103" s="149"/>
      <c r="C103" s="149"/>
      <c r="D103" s="149"/>
      <c r="E103" s="149"/>
      <c r="F103" s="149"/>
      <c r="G103" s="86" t="s">
        <v>141</v>
      </c>
      <c r="H103" s="38"/>
      <c r="I103" s="82">
        <v>0</v>
      </c>
      <c r="J103" s="102">
        <f>K103-I103*K103</f>
        <v>1</v>
      </c>
      <c r="K103" s="102">
        <v>1</v>
      </c>
      <c r="L103" s="39"/>
    </row>
    <row r="104" spans="1:23" x14ac:dyDescent="0.3">
      <c r="A104" s="150" t="s">
        <v>148</v>
      </c>
      <c r="B104" s="150"/>
      <c r="C104" s="150"/>
      <c r="D104" s="150"/>
      <c r="E104" s="150"/>
      <c r="F104" s="150"/>
      <c r="G104" s="86" t="s">
        <v>141</v>
      </c>
      <c r="H104" s="38"/>
      <c r="I104" s="82">
        <v>0</v>
      </c>
      <c r="J104" s="102">
        <f>K104-I104*K104</f>
        <v>1</v>
      </c>
      <c r="K104" s="102">
        <v>1</v>
      </c>
      <c r="L104" s="39"/>
    </row>
    <row r="105" spans="1:23" x14ac:dyDescent="0.3">
      <c r="A105" s="109"/>
      <c r="B105" s="109"/>
      <c r="C105" s="109"/>
      <c r="D105" s="109"/>
      <c r="E105" s="109"/>
      <c r="F105" s="109"/>
      <c r="H105" s="38"/>
      <c r="I105" s="38"/>
      <c r="J105" s="38"/>
      <c r="K105" s="38"/>
      <c r="L105" s="38"/>
    </row>
    <row r="106" spans="1:23" x14ac:dyDescent="0.3">
      <c r="A106" s="151" t="s">
        <v>149</v>
      </c>
      <c r="B106" s="151"/>
      <c r="C106" s="151"/>
      <c r="D106" s="151"/>
      <c r="E106" s="151"/>
      <c r="F106" s="151"/>
      <c r="G106" s="86" t="s">
        <v>141</v>
      </c>
      <c r="H106" s="38"/>
      <c r="I106" s="82">
        <v>0</v>
      </c>
      <c r="J106" s="102">
        <f>K106-I106*K106</f>
        <v>1</v>
      </c>
      <c r="K106" s="102">
        <v>1</v>
      </c>
      <c r="L106" s="39"/>
    </row>
    <row r="107" spans="1:23" x14ac:dyDescent="0.3">
      <c r="A107" s="81"/>
      <c r="B107" s="81"/>
      <c r="C107" s="81"/>
      <c r="D107" s="81"/>
      <c r="E107" s="81"/>
      <c r="F107" s="81"/>
      <c r="J107" s="39"/>
      <c r="K107" s="63"/>
    </row>
    <row r="108" spans="1:23" x14ac:dyDescent="0.3">
      <c r="A108" s="110"/>
      <c r="B108" s="110"/>
      <c r="C108" s="110"/>
      <c r="D108" s="110"/>
      <c r="E108" s="81"/>
      <c r="F108" s="81"/>
      <c r="H108" s="38"/>
      <c r="I108" s="48"/>
      <c r="J108" s="39"/>
      <c r="K108" s="63"/>
      <c r="L108" s="39"/>
    </row>
    <row r="109" spans="1:23" x14ac:dyDescent="0.3">
      <c r="A109" s="20" t="s">
        <v>150</v>
      </c>
      <c r="B109" s="77"/>
      <c r="C109" s="77"/>
      <c r="D109" s="77"/>
      <c r="E109" s="77"/>
      <c r="F109" s="77"/>
      <c r="G109" s="20"/>
      <c r="H109" s="36"/>
      <c r="I109" s="104">
        <f>(K109-J109)/K109*100%</f>
        <v>0</v>
      </c>
      <c r="J109" s="79">
        <f>SUM(J110:J118)</f>
        <v>8</v>
      </c>
      <c r="K109" s="80">
        <f>SUM(K110:K118)</f>
        <v>8</v>
      </c>
      <c r="L109" s="37"/>
      <c r="M109" s="36"/>
      <c r="N109" s="36"/>
      <c r="O109" s="20"/>
      <c r="P109" s="20"/>
      <c r="Q109" s="20"/>
      <c r="R109" s="20"/>
      <c r="S109" s="20"/>
      <c r="T109" s="20"/>
      <c r="U109" s="20"/>
      <c r="V109" s="20"/>
      <c r="W109" s="20"/>
    </row>
    <row r="110" spans="1:23" x14ac:dyDescent="0.3">
      <c r="A110" s="152" t="s">
        <v>151</v>
      </c>
      <c r="B110" s="152"/>
      <c r="C110" s="152"/>
      <c r="D110" s="152"/>
      <c r="E110" s="152"/>
      <c r="F110" s="152"/>
      <c r="G110" s="86" t="s">
        <v>75</v>
      </c>
      <c r="H110" s="38"/>
      <c r="I110" s="82">
        <v>0</v>
      </c>
      <c r="J110" s="102">
        <f>K110-I110*K110</f>
        <v>1</v>
      </c>
      <c r="K110" s="102">
        <v>1</v>
      </c>
      <c r="L110" s="39"/>
    </row>
    <row r="111" spans="1:23" x14ac:dyDescent="0.3">
      <c r="A111" s="149" t="s">
        <v>152</v>
      </c>
      <c r="B111" s="149"/>
      <c r="C111" s="149"/>
      <c r="D111" s="149"/>
      <c r="E111" s="149"/>
      <c r="F111" s="149"/>
      <c r="G111" s="86" t="s">
        <v>75</v>
      </c>
      <c r="H111" s="38"/>
      <c r="I111" s="82">
        <v>0</v>
      </c>
      <c r="J111" s="102">
        <f t="shared" ref="J111:J112" si="8">K111-I111*K111</f>
        <v>1</v>
      </c>
      <c r="K111" s="102">
        <v>1</v>
      </c>
      <c r="L111" s="39"/>
    </row>
    <row r="112" spans="1:23" x14ac:dyDescent="0.3">
      <c r="A112" s="149" t="s">
        <v>153</v>
      </c>
      <c r="B112" s="149"/>
      <c r="C112" s="149"/>
      <c r="D112" s="149"/>
      <c r="E112" s="149"/>
      <c r="F112" s="149"/>
      <c r="G112" s="86" t="s">
        <v>75</v>
      </c>
      <c r="H112" s="38"/>
      <c r="I112" s="82">
        <v>0</v>
      </c>
      <c r="J112" s="102">
        <f t="shared" si="8"/>
        <v>1</v>
      </c>
      <c r="K112" s="102">
        <v>1</v>
      </c>
      <c r="L112" s="39"/>
    </row>
    <row r="113" spans="1:23" x14ac:dyDescent="0.3">
      <c r="A113" s="149" t="s">
        <v>154</v>
      </c>
      <c r="B113" s="149"/>
      <c r="C113" s="149"/>
      <c r="D113" s="149"/>
      <c r="E113" s="149"/>
      <c r="F113" s="149"/>
      <c r="G113" s="86" t="s">
        <v>87</v>
      </c>
      <c r="H113" s="38"/>
      <c r="I113" s="82">
        <v>0</v>
      </c>
      <c r="J113" s="102">
        <f>K113-I113*K113</f>
        <v>1</v>
      </c>
      <c r="K113" s="102">
        <v>1</v>
      </c>
      <c r="L113" s="39"/>
    </row>
    <row r="114" spans="1:23" x14ac:dyDescent="0.3">
      <c r="A114" s="149" t="s">
        <v>155</v>
      </c>
      <c r="B114" s="149"/>
      <c r="C114" s="149"/>
      <c r="D114" s="149"/>
      <c r="E114" s="149"/>
      <c r="F114" s="149"/>
      <c r="G114" s="86" t="s">
        <v>87</v>
      </c>
      <c r="H114" s="38"/>
      <c r="I114" s="82">
        <v>0</v>
      </c>
      <c r="J114" s="102">
        <f>K114-I114*K114</f>
        <v>1</v>
      </c>
      <c r="K114" s="102">
        <v>1</v>
      </c>
      <c r="L114" s="39"/>
    </row>
    <row r="115" spans="1:23" x14ac:dyDescent="0.3">
      <c r="A115" s="149" t="s">
        <v>156</v>
      </c>
      <c r="B115" s="149"/>
      <c r="C115" s="149"/>
      <c r="D115" s="149"/>
      <c r="E115" s="149"/>
      <c r="F115" s="149"/>
      <c r="G115" s="86" t="s">
        <v>87</v>
      </c>
      <c r="H115" s="38"/>
      <c r="I115" s="82">
        <v>0</v>
      </c>
      <c r="J115" s="102">
        <f>K115-I115*K115</f>
        <v>1</v>
      </c>
      <c r="K115" s="102">
        <v>1</v>
      </c>
      <c r="L115" s="39"/>
    </row>
    <row r="116" spans="1:23" x14ac:dyDescent="0.3">
      <c r="A116" s="149" t="s">
        <v>157</v>
      </c>
      <c r="B116" s="149"/>
      <c r="C116" s="149"/>
      <c r="D116" s="149"/>
      <c r="E116" s="149"/>
      <c r="F116" s="149"/>
      <c r="G116" s="86" t="s">
        <v>127</v>
      </c>
      <c r="H116" s="38"/>
      <c r="I116" s="82">
        <v>0</v>
      </c>
      <c r="J116" s="102">
        <f t="shared" ref="J116:J117" si="9">K116-I116*K116</f>
        <v>1</v>
      </c>
      <c r="K116" s="102">
        <v>1</v>
      </c>
      <c r="L116" s="39"/>
    </row>
    <row r="117" spans="1:23" x14ac:dyDescent="0.3">
      <c r="A117" s="149" t="s">
        <v>158</v>
      </c>
      <c r="B117" s="149"/>
      <c r="C117" s="149"/>
      <c r="D117" s="149"/>
      <c r="E117" s="149"/>
      <c r="F117" s="149"/>
      <c r="G117" s="86" t="s">
        <v>159</v>
      </c>
      <c r="H117" s="38"/>
      <c r="I117" s="82">
        <v>0</v>
      </c>
      <c r="J117" s="102">
        <f t="shared" si="9"/>
        <v>1</v>
      </c>
      <c r="K117" s="102">
        <v>1</v>
      </c>
      <c r="L117" s="39"/>
    </row>
    <row r="118" spans="1:23" x14ac:dyDescent="0.3">
      <c r="A118" s="148"/>
      <c r="B118" s="148"/>
      <c r="C118" s="148"/>
      <c r="D118" s="148"/>
      <c r="E118" s="148"/>
      <c r="F118" s="148"/>
      <c r="H118" s="38"/>
      <c r="I118" s="48"/>
      <c r="J118" s="39"/>
      <c r="K118" s="63"/>
      <c r="L118" s="39"/>
    </row>
    <row r="119" spans="1:23" x14ac:dyDescent="0.3">
      <c r="A119" s="20" t="s">
        <v>160</v>
      </c>
      <c r="B119" s="77"/>
      <c r="C119" s="77"/>
      <c r="D119" s="77"/>
      <c r="E119" s="77"/>
      <c r="F119" s="77"/>
      <c r="G119" s="20"/>
      <c r="H119" s="36"/>
      <c r="I119" s="104">
        <f>(K119-J119)/K119*100%</f>
        <v>0</v>
      </c>
      <c r="J119" s="79">
        <f>SUM(J120:J129)</f>
        <v>8</v>
      </c>
      <c r="K119" s="80">
        <f>SUM(K120:K129)</f>
        <v>8</v>
      </c>
      <c r="L119" s="37"/>
      <c r="M119" s="36"/>
      <c r="N119" s="36"/>
      <c r="O119" s="20"/>
      <c r="P119" s="20"/>
      <c r="Q119" s="20"/>
      <c r="R119" s="20"/>
      <c r="S119" s="20"/>
      <c r="T119" s="20"/>
      <c r="U119" s="20"/>
      <c r="V119" s="20"/>
      <c r="W119" s="20"/>
    </row>
    <row r="120" spans="1:23" x14ac:dyDescent="0.3">
      <c r="A120" s="149" t="s">
        <v>151</v>
      </c>
      <c r="B120" s="149"/>
      <c r="C120" s="149"/>
      <c r="D120" s="149"/>
      <c r="E120" s="149"/>
      <c r="F120" s="149"/>
      <c r="G120" s="86" t="s">
        <v>75</v>
      </c>
      <c r="H120" s="38"/>
      <c r="I120" s="82">
        <v>0</v>
      </c>
      <c r="J120" s="102">
        <f>K120-I120*K120</f>
        <v>1</v>
      </c>
      <c r="K120" s="102">
        <v>1</v>
      </c>
      <c r="L120" s="39"/>
    </row>
    <row r="121" spans="1:23" x14ac:dyDescent="0.3">
      <c r="A121" s="149" t="s">
        <v>153</v>
      </c>
      <c r="B121" s="149"/>
      <c r="C121" s="149"/>
      <c r="D121" s="149"/>
      <c r="E121" s="149"/>
      <c r="F121" s="149"/>
      <c r="G121" s="86" t="s">
        <v>75</v>
      </c>
      <c r="H121" s="38"/>
      <c r="I121" s="82">
        <v>0</v>
      </c>
      <c r="J121" s="102">
        <f t="shared" ref="J121:J122" si="10">K121-I121*K121</f>
        <v>1</v>
      </c>
      <c r="K121" s="102">
        <v>1</v>
      </c>
      <c r="L121" s="39"/>
    </row>
    <row r="122" spans="1:23" x14ac:dyDescent="0.3">
      <c r="A122" s="149" t="s">
        <v>161</v>
      </c>
      <c r="B122" s="149"/>
      <c r="C122" s="149"/>
      <c r="D122" s="149"/>
      <c r="E122" s="149"/>
      <c r="F122" s="149"/>
      <c r="G122" s="86" t="s">
        <v>75</v>
      </c>
      <c r="H122" s="38"/>
      <c r="I122" s="82">
        <v>0</v>
      </c>
      <c r="J122" s="102">
        <f t="shared" si="10"/>
        <v>1</v>
      </c>
      <c r="K122" s="102">
        <v>1</v>
      </c>
      <c r="L122" s="39"/>
    </row>
    <row r="123" spans="1:23" x14ac:dyDescent="0.3">
      <c r="A123" s="149" t="s">
        <v>162</v>
      </c>
      <c r="B123" s="149"/>
      <c r="C123" s="149"/>
      <c r="D123" s="149"/>
      <c r="E123" s="149"/>
      <c r="F123" s="149"/>
      <c r="G123" s="86" t="s">
        <v>75</v>
      </c>
      <c r="H123" s="38"/>
      <c r="I123" s="82">
        <v>0</v>
      </c>
      <c r="J123" s="102">
        <f>K123-I123*K123</f>
        <v>1</v>
      </c>
      <c r="K123" s="102">
        <v>1</v>
      </c>
      <c r="L123" s="39"/>
    </row>
    <row r="124" spans="1:23" x14ac:dyDescent="0.3">
      <c r="A124" s="149" t="s">
        <v>163</v>
      </c>
      <c r="B124" s="149"/>
      <c r="C124" s="149"/>
      <c r="D124" s="149"/>
      <c r="E124" s="149"/>
      <c r="F124" s="149"/>
      <c r="G124" s="86" t="s">
        <v>164</v>
      </c>
      <c r="H124" s="38"/>
      <c r="I124" s="82">
        <v>0</v>
      </c>
      <c r="J124" s="102">
        <f>K124-I124*K124</f>
        <v>1</v>
      </c>
      <c r="K124" s="102">
        <v>1</v>
      </c>
      <c r="L124" s="39"/>
    </row>
    <row r="125" spans="1:23" x14ac:dyDescent="0.3">
      <c r="A125" s="149" t="s">
        <v>165</v>
      </c>
      <c r="B125" s="149"/>
      <c r="C125" s="149"/>
      <c r="D125" s="149"/>
      <c r="E125" s="149"/>
      <c r="F125" s="149"/>
      <c r="G125" s="86" t="s">
        <v>75</v>
      </c>
      <c r="H125" s="38"/>
      <c r="I125" s="82">
        <v>0</v>
      </c>
      <c r="J125" s="102">
        <f>K125-I125*K125</f>
        <v>1</v>
      </c>
      <c r="K125" s="102">
        <v>1</v>
      </c>
      <c r="L125" s="39"/>
    </row>
    <row r="126" spans="1:23" x14ac:dyDescent="0.3">
      <c r="A126" s="148"/>
      <c r="B126" s="148"/>
      <c r="C126" s="148"/>
      <c r="D126" s="148"/>
      <c r="E126" s="148"/>
      <c r="F126" s="148"/>
      <c r="G126" s="86"/>
      <c r="H126" s="38"/>
      <c r="I126" s="44"/>
      <c r="J126" s="44"/>
      <c r="K126" s="44"/>
      <c r="L126" s="39"/>
    </row>
    <row r="127" spans="1:23" x14ac:dyDescent="0.3">
      <c r="A127" s="149" t="s">
        <v>157</v>
      </c>
      <c r="B127" s="149"/>
      <c r="C127" s="149"/>
      <c r="D127" s="149"/>
      <c r="E127" s="149"/>
      <c r="F127" s="149"/>
      <c r="G127" s="86" t="s">
        <v>127</v>
      </c>
      <c r="H127" s="38"/>
      <c r="I127" s="82">
        <v>0</v>
      </c>
      <c r="J127" s="102">
        <f t="shared" ref="J127:J128" si="11">K127-I127*K127</f>
        <v>1</v>
      </c>
      <c r="K127" s="102">
        <v>1</v>
      </c>
      <c r="L127" s="39"/>
    </row>
    <row r="128" spans="1:23" x14ac:dyDescent="0.3">
      <c r="A128" s="149" t="s">
        <v>158</v>
      </c>
      <c r="B128" s="149"/>
      <c r="C128" s="149"/>
      <c r="D128" s="149"/>
      <c r="E128" s="149"/>
      <c r="F128" s="149"/>
      <c r="G128" s="86" t="s">
        <v>159</v>
      </c>
      <c r="H128" s="38"/>
      <c r="I128" s="82">
        <v>0</v>
      </c>
      <c r="J128" s="102">
        <f t="shared" si="11"/>
        <v>1</v>
      </c>
      <c r="K128" s="102">
        <v>1</v>
      </c>
      <c r="L128" s="39"/>
    </row>
    <row r="129" spans="1:23" x14ac:dyDescent="0.3">
      <c r="A129" s="148"/>
      <c r="B129" s="148"/>
      <c r="C129" s="148"/>
      <c r="D129" s="148"/>
      <c r="E129" s="148"/>
      <c r="F129" s="148"/>
      <c r="H129" s="38"/>
      <c r="I129" s="48"/>
      <c r="J129" s="39"/>
      <c r="K129" s="63"/>
      <c r="L129" s="39"/>
    </row>
    <row r="130" spans="1:23" x14ac:dyDescent="0.3">
      <c r="A130" s="20" t="s">
        <v>166</v>
      </c>
      <c r="B130" s="77"/>
      <c r="C130" s="77"/>
      <c r="D130" s="77"/>
      <c r="E130" s="77"/>
      <c r="F130" s="77"/>
      <c r="G130" s="20"/>
      <c r="H130" s="36"/>
      <c r="I130" s="78">
        <f>(K130-J130)/K130*100%</f>
        <v>0</v>
      </c>
      <c r="J130" s="79">
        <f>SUM(J131:J137)</f>
        <v>5</v>
      </c>
      <c r="K130" s="80">
        <f>SUM(K131:K137)</f>
        <v>5</v>
      </c>
      <c r="L130" s="37"/>
      <c r="M130" s="36"/>
      <c r="N130" s="36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 x14ac:dyDescent="0.3">
      <c r="A131" s="146" t="s">
        <v>167</v>
      </c>
      <c r="B131" s="146"/>
      <c r="C131" s="146"/>
      <c r="D131" s="146"/>
      <c r="E131" s="146"/>
      <c r="F131" s="146"/>
      <c r="G131" s="86" t="s">
        <v>75</v>
      </c>
      <c r="H131" s="38"/>
      <c r="I131" s="82">
        <v>0</v>
      </c>
      <c r="J131" s="107">
        <v>1</v>
      </c>
      <c r="K131" s="65">
        <v>1</v>
      </c>
      <c r="L131" s="39"/>
    </row>
    <row r="132" spans="1:23" x14ac:dyDescent="0.3">
      <c r="A132" s="147" t="s">
        <v>168</v>
      </c>
      <c r="B132" s="147"/>
      <c r="C132" s="147"/>
      <c r="D132" s="147"/>
      <c r="E132" s="147"/>
      <c r="F132" s="147"/>
      <c r="G132" t="s">
        <v>169</v>
      </c>
      <c r="H132" s="38"/>
      <c r="I132" s="82">
        <v>0</v>
      </c>
      <c r="J132" s="107">
        <v>1</v>
      </c>
      <c r="K132" s="65">
        <v>1</v>
      </c>
      <c r="L132" s="39"/>
    </row>
    <row r="133" spans="1:23" x14ac:dyDescent="0.3">
      <c r="A133" s="146" t="s">
        <v>170</v>
      </c>
      <c r="B133" s="146"/>
      <c r="C133" s="146"/>
      <c r="D133" s="146"/>
      <c r="E133" s="146"/>
      <c r="F133" s="146"/>
      <c r="G133" s="86" t="s">
        <v>75</v>
      </c>
      <c r="H133" s="38"/>
      <c r="I133" s="82">
        <v>0</v>
      </c>
      <c r="J133" s="107">
        <v>1</v>
      </c>
      <c r="K133" s="65">
        <v>1</v>
      </c>
      <c r="L133" s="39"/>
    </row>
    <row r="134" spans="1:23" x14ac:dyDescent="0.3">
      <c r="A134" s="146" t="s">
        <v>171</v>
      </c>
      <c r="B134" s="146"/>
      <c r="C134" s="146"/>
      <c r="D134" s="146"/>
      <c r="E134" s="146"/>
      <c r="F134" s="146"/>
      <c r="G134" s="86" t="s">
        <v>75</v>
      </c>
      <c r="H134" s="38"/>
      <c r="I134" s="82">
        <v>0</v>
      </c>
      <c r="J134" s="107">
        <v>1</v>
      </c>
      <c r="K134" s="65">
        <v>1</v>
      </c>
      <c r="L134" s="39"/>
    </row>
    <row r="135" spans="1:23" x14ac:dyDescent="0.3">
      <c r="A135" s="115" t="s">
        <v>172</v>
      </c>
      <c r="B135" s="115"/>
      <c r="C135" s="115"/>
      <c r="D135" s="115"/>
      <c r="E135" s="115"/>
      <c r="F135" s="115"/>
      <c r="G135" s="86"/>
      <c r="H135" s="38"/>
      <c r="I135" s="82">
        <v>0</v>
      </c>
      <c r="J135" s="107">
        <v>1</v>
      </c>
      <c r="K135" s="65">
        <v>1</v>
      </c>
      <c r="L135" s="39"/>
    </row>
    <row r="136" spans="1:23" x14ac:dyDescent="0.3">
      <c r="A136" s="115" t="s">
        <v>173</v>
      </c>
      <c r="B136" s="115"/>
      <c r="C136" s="115"/>
      <c r="D136" s="115"/>
      <c r="E136" s="115"/>
      <c r="F136" s="115"/>
      <c r="G136" s="86"/>
      <c r="H136" s="38"/>
      <c r="I136" s="112"/>
      <c r="J136" s="107"/>
      <c r="K136" s="65"/>
      <c r="L136" s="39"/>
    </row>
    <row r="137" spans="1:23" x14ac:dyDescent="0.3">
      <c r="H137" s="38"/>
      <c r="I137" s="48"/>
      <c r="J137" s="39"/>
      <c r="K137" s="63"/>
      <c r="L137" s="39"/>
    </row>
    <row r="138" spans="1:23" x14ac:dyDescent="0.3">
      <c r="A138" s="20" t="s">
        <v>174</v>
      </c>
      <c r="B138" s="77"/>
      <c r="C138" s="77"/>
      <c r="D138" s="77"/>
      <c r="E138" s="77"/>
      <c r="F138" s="77"/>
      <c r="G138" s="20"/>
      <c r="H138" s="36"/>
      <c r="I138" s="78">
        <f>(K138-J138)/K138*100%</f>
        <v>0</v>
      </c>
      <c r="J138" s="79">
        <f>SUM(J139:J143)</f>
        <v>5</v>
      </c>
      <c r="K138" s="80">
        <f>SUM(K139:K143)</f>
        <v>5</v>
      </c>
      <c r="L138" s="37"/>
      <c r="M138" s="36"/>
      <c r="N138" s="36"/>
      <c r="O138" s="20"/>
      <c r="P138" s="20"/>
      <c r="Q138" s="20"/>
      <c r="R138" s="20"/>
      <c r="S138" s="20"/>
      <c r="T138" s="20"/>
      <c r="U138" s="20"/>
      <c r="V138" s="20"/>
      <c r="W138" s="20"/>
    </row>
    <row r="139" spans="1:23" x14ac:dyDescent="0.3">
      <c r="A139" s="145" t="s">
        <v>175</v>
      </c>
      <c r="B139" s="145"/>
      <c r="C139" s="145"/>
      <c r="D139" s="145"/>
      <c r="E139" s="145"/>
      <c r="F139" s="145"/>
      <c r="G139" s="86" t="s">
        <v>174</v>
      </c>
      <c r="H139" s="38"/>
      <c r="I139" s="82">
        <v>0</v>
      </c>
      <c r="J139" s="107">
        <v>1</v>
      </c>
      <c r="K139" s="65">
        <v>1</v>
      </c>
      <c r="L139" s="39"/>
    </row>
    <row r="140" spans="1:23" x14ac:dyDescent="0.3">
      <c r="A140" s="145" t="s">
        <v>176</v>
      </c>
      <c r="B140" s="145"/>
      <c r="C140" s="145"/>
      <c r="D140" s="145"/>
      <c r="E140" s="145"/>
      <c r="F140" s="145"/>
      <c r="G140" s="86" t="s">
        <v>174</v>
      </c>
      <c r="H140" s="38"/>
      <c r="I140" s="82">
        <v>0</v>
      </c>
      <c r="J140" s="107">
        <v>1</v>
      </c>
      <c r="K140" s="65">
        <v>1</v>
      </c>
      <c r="L140" s="39"/>
    </row>
    <row r="141" spans="1:23" x14ac:dyDescent="0.3">
      <c r="A141" s="145" t="s">
        <v>177</v>
      </c>
      <c r="B141" s="145"/>
      <c r="C141" s="145"/>
      <c r="D141" s="145"/>
      <c r="E141" s="145"/>
      <c r="F141" s="145"/>
      <c r="G141" s="86" t="s">
        <v>174</v>
      </c>
      <c r="H141" s="38"/>
      <c r="I141" s="82">
        <v>0</v>
      </c>
      <c r="J141" s="107">
        <v>1</v>
      </c>
      <c r="K141" s="65">
        <v>1</v>
      </c>
      <c r="L141" s="39"/>
    </row>
    <row r="142" spans="1:23" x14ac:dyDescent="0.3">
      <c r="A142" s="145" t="s">
        <v>178</v>
      </c>
      <c r="B142" s="145"/>
      <c r="C142" s="145"/>
      <c r="D142" s="145"/>
      <c r="E142" s="145"/>
      <c r="F142" s="145"/>
      <c r="G142" s="86" t="s">
        <v>174</v>
      </c>
      <c r="H142" s="38"/>
      <c r="I142" s="82">
        <v>0</v>
      </c>
      <c r="J142" s="107">
        <v>1</v>
      </c>
      <c r="K142" s="65">
        <v>1</v>
      </c>
      <c r="L142" s="39"/>
    </row>
    <row r="143" spans="1:23" x14ac:dyDescent="0.3">
      <c r="A143" s="145" t="s">
        <v>179</v>
      </c>
      <c r="B143" s="145"/>
      <c r="C143" s="145"/>
      <c r="D143" s="145"/>
      <c r="E143" s="145"/>
      <c r="F143" s="145"/>
      <c r="G143" s="86" t="s">
        <v>174</v>
      </c>
      <c r="H143" s="38"/>
      <c r="I143" s="82">
        <v>0</v>
      </c>
      <c r="J143" s="107">
        <v>1</v>
      </c>
      <c r="K143" s="65">
        <v>1</v>
      </c>
      <c r="L143" s="39"/>
    </row>
    <row r="145" spans="1:1" x14ac:dyDescent="0.3">
      <c r="A145" s="116"/>
    </row>
  </sheetData>
  <mergeCells count="94">
    <mergeCell ref="A140:F140"/>
    <mergeCell ref="A141:F141"/>
    <mergeCell ref="A142:F142"/>
    <mergeCell ref="A143:F143"/>
    <mergeCell ref="A129:F129"/>
    <mergeCell ref="A131:F131"/>
    <mergeCell ref="A132:F132"/>
    <mergeCell ref="A133:F133"/>
    <mergeCell ref="A134:F134"/>
    <mergeCell ref="A139:F139"/>
    <mergeCell ref="A128:F128"/>
    <mergeCell ref="A116:F116"/>
    <mergeCell ref="A117:F117"/>
    <mergeCell ref="A118:F118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15:F115"/>
    <mergeCell ref="A100:F100"/>
    <mergeCell ref="A101:F101"/>
    <mergeCell ref="A102:F102"/>
    <mergeCell ref="A103:F103"/>
    <mergeCell ref="A104:F104"/>
    <mergeCell ref="A106:F106"/>
    <mergeCell ref="A110:F110"/>
    <mergeCell ref="A111:F111"/>
    <mergeCell ref="A112:F112"/>
    <mergeCell ref="A113:F113"/>
    <mergeCell ref="A114:F114"/>
    <mergeCell ref="A97:F97"/>
    <mergeCell ref="A80:F80"/>
    <mergeCell ref="A83:F83"/>
    <mergeCell ref="A84:F84"/>
    <mergeCell ref="A85:F85"/>
    <mergeCell ref="A88:F88"/>
    <mergeCell ref="A89:F89"/>
    <mergeCell ref="A90:F90"/>
    <mergeCell ref="A91:F91"/>
    <mergeCell ref="A94:F94"/>
    <mergeCell ref="A95:F95"/>
    <mergeCell ref="A96:F96"/>
    <mergeCell ref="A79:F79"/>
    <mergeCell ref="A62:F62"/>
    <mergeCell ref="A65:F65"/>
    <mergeCell ref="A66:F66"/>
    <mergeCell ref="A67:F67"/>
    <mergeCell ref="A68:F68"/>
    <mergeCell ref="A69:F69"/>
    <mergeCell ref="A70:F70"/>
    <mergeCell ref="A73:F73"/>
    <mergeCell ref="A74:F74"/>
    <mergeCell ref="A77:F77"/>
    <mergeCell ref="A78:F78"/>
    <mergeCell ref="A61:F61"/>
    <mergeCell ref="A42:F42"/>
    <mergeCell ref="A43:F43"/>
    <mergeCell ref="A44:F44"/>
    <mergeCell ref="A45:F45"/>
    <mergeCell ref="A48:F48"/>
    <mergeCell ref="A51:F51"/>
    <mergeCell ref="A54:F54"/>
    <mergeCell ref="A55:F55"/>
    <mergeCell ref="A58:F58"/>
    <mergeCell ref="A59:F59"/>
    <mergeCell ref="A60:F60"/>
    <mergeCell ref="A41:F41"/>
    <mergeCell ref="A21:F21"/>
    <mergeCell ref="A22:F22"/>
    <mergeCell ref="A23:F23"/>
    <mergeCell ref="A27:F27"/>
    <mergeCell ref="A28:F28"/>
    <mergeCell ref="A29:F29"/>
    <mergeCell ref="A30:F30"/>
    <mergeCell ref="A31:F31"/>
    <mergeCell ref="A36:F36"/>
    <mergeCell ref="A39:F39"/>
    <mergeCell ref="A40:F40"/>
    <mergeCell ref="A20:F20"/>
    <mergeCell ref="P3:Q3"/>
    <mergeCell ref="R3:S3"/>
    <mergeCell ref="T3:U3"/>
    <mergeCell ref="V3:W3"/>
    <mergeCell ref="L4:N9"/>
    <mergeCell ref="A14:F14"/>
    <mergeCell ref="A15:F15"/>
    <mergeCell ref="A16:F16"/>
    <mergeCell ref="A17:F17"/>
    <mergeCell ref="A18:F18"/>
    <mergeCell ref="A19:F19"/>
  </mergeCells>
  <conditionalFormatting sqref="A35:H35 L35:Q35 I83:I86 I27:I31 I73:I74">
    <cfRule type="dataBar" priority="3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{A6DD26B4-4B2D-43D0-B411-E0E298529552}</x14:id>
        </ext>
      </extLst>
    </cfRule>
  </conditionalFormatting>
  <conditionalFormatting sqref="B34:H34">
    <cfRule type="dataBar" priority="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{A9429641-26CC-4949-821C-1F7089115DDA}</x14:id>
        </ext>
      </extLst>
    </cfRule>
  </conditionalFormatting>
  <conditionalFormatting sqref="I13">
    <cfRule type="dataBar" priority="3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{0FCD5FC0-9E49-4FDD-8781-26C1F94311DB}</x14:id>
        </ext>
      </extLst>
    </cfRule>
  </conditionalFormatting>
  <conditionalFormatting sqref="I14:I24">
    <cfRule type="dataBar" priority="3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{B9A6B9F5-6FEC-4F96-89C7-224F247277DC}</x14:id>
        </ext>
      </extLst>
    </cfRule>
  </conditionalFormatting>
  <conditionalFormatting sqref="I26">
    <cfRule type="dataBar" priority="3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{F3DA47D8-ABAD-4B91-B092-953FA6721C33}</x14:id>
        </ext>
      </extLst>
    </cfRule>
  </conditionalFormatting>
  <conditionalFormatting sqref="I34">
    <cfRule type="dataBar" priority="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{9513A8CF-19C3-48DC-A5BD-B52D145DEF64}</x14:id>
        </ext>
      </extLst>
    </cfRule>
  </conditionalFormatting>
  <conditionalFormatting sqref="I36">
    <cfRule type="dataBar" priority="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{2E175698-9652-49AD-9D39-80C7B1FD8658}</x14:id>
        </ext>
      </extLst>
    </cfRule>
  </conditionalFormatting>
  <conditionalFormatting sqref="I38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{8E007AB4-27D8-430D-B508-0A15316523C7}</x14:id>
        </ext>
      </extLst>
    </cfRule>
  </conditionalFormatting>
  <conditionalFormatting sqref="I39:I46 I48">
    <cfRule type="dataBar" priority="3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{E7D7BD09-36E5-4DDF-ABE6-372D8FCF25DB}</x14:id>
        </ext>
      </extLst>
    </cfRule>
  </conditionalFormatting>
  <conditionalFormatting sqref="I47">
    <cfRule type="dataBar" priority="2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{9A36C00E-7D39-48F9-9486-9C4E5202531D}</x14:id>
        </ext>
      </extLst>
    </cfRule>
  </conditionalFormatting>
  <conditionalFormatting sqref="I50">
    <cfRule type="dataBar" priority="2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{575D0D47-03D6-4E4D-9034-F00F078439D2}</x14:id>
        </ext>
      </extLst>
    </cfRule>
  </conditionalFormatting>
  <conditionalFormatting sqref="I51">
    <cfRule type="dataBar" priority="2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{46090AC9-8AF9-4A66-95F5-72E24B29F2C8}</x14:id>
        </ext>
      </extLst>
    </cfRule>
  </conditionalFormatting>
  <conditionalFormatting sqref="I53">
    <cfRule type="dataBar" priority="2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{17B1FD55-8321-451B-9BB0-49F74006E6D8}</x14:id>
        </ext>
      </extLst>
    </cfRule>
  </conditionalFormatting>
  <conditionalFormatting sqref="I54:I55">
    <cfRule type="dataBar" priority="2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{C031C3CA-0142-4AB8-A902-FC114B5341A7}</x14:id>
        </ext>
      </extLst>
    </cfRule>
  </conditionalFormatting>
  <conditionalFormatting sqref="I57">
    <cfRule type="dataBar" priority="1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{F20501DA-698E-48AF-A6A0-9846D9BE9ED3}</x14:id>
        </ext>
      </extLst>
    </cfRule>
  </conditionalFormatting>
  <conditionalFormatting sqref="I58:I59">
    <cfRule type="dataBar" priority="2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{619C0578-8467-4A06-B677-DBE73E582003}</x14:id>
        </ext>
      </extLst>
    </cfRule>
  </conditionalFormatting>
  <conditionalFormatting sqref="I60:I62">
    <cfRule type="dataBar" priority="2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{CB4BDE94-CD37-457B-8C30-CD8F3E22F06B}</x14:id>
        </ext>
      </extLst>
    </cfRule>
  </conditionalFormatting>
  <conditionalFormatting sqref="I64">
    <cfRule type="dataBar" priority="1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{27D3A767-0884-4844-8371-6254B5FF3811}</x14:id>
        </ext>
      </extLst>
    </cfRule>
  </conditionalFormatting>
  <conditionalFormatting sqref="I65:I70">
    <cfRule type="dataBar" priority="2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{216758C3-6DE4-4D64-9968-DF9419FBF9AF}</x14:id>
        </ext>
      </extLst>
    </cfRule>
  </conditionalFormatting>
  <conditionalFormatting sqref="I72">
    <cfRule type="dataBar" priority="1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{345AD8A7-46EF-4307-97D1-2B9E08FA5A4E}</x14:id>
        </ext>
      </extLst>
    </cfRule>
  </conditionalFormatting>
  <conditionalFormatting sqref="I76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{2E55D6B9-FE72-4A43-8B77-59A54D33EF19}</x14:id>
        </ext>
      </extLst>
    </cfRule>
  </conditionalFormatting>
  <conditionalFormatting sqref="I77:I80">
    <cfRule type="dataBar" priority="2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{DFB62E3A-2F72-40B0-84FF-D0B6955D0078}</x14:id>
        </ext>
      </extLst>
    </cfRule>
  </conditionalFormatting>
  <conditionalFormatting sqref="I81">
    <cfRule type="dataBar" priority="3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{F4A268D5-DEB0-468A-B30B-04C59E5CC989}</x14:id>
        </ext>
      </extLst>
    </cfRule>
  </conditionalFormatting>
  <conditionalFormatting sqref="I82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{DD3C2E0D-5601-4117-9BA2-C4D0C5C07187}</x14:id>
        </ext>
      </extLst>
    </cfRule>
  </conditionalFormatting>
  <conditionalFormatting sqref="I87">
    <cfRule type="dataBar" priority="1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{AA2D5835-9381-467E-A61F-CC72BBECD846}</x14:id>
        </ext>
      </extLst>
    </cfRule>
  </conditionalFormatting>
  <conditionalFormatting sqref="I88:I91 I110:I118 I139:I143 I106 I94:I97 I100:I104 I120:I125 I127:I129 I131:I137">
    <cfRule type="dataBar" priority="3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{7599942A-C151-4AEE-AB0B-D13D1208D785}</x14:id>
        </ext>
      </extLst>
    </cfRule>
  </conditionalFormatting>
  <conditionalFormatting sqref="I93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{AC15E846-2E18-428F-94F5-C6BECA4AEA40}</x14:id>
        </ext>
      </extLst>
    </cfRule>
  </conditionalFormatting>
  <conditionalFormatting sqref="I99">
    <cfRule type="dataBar" priority="1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{96B7E005-D64A-4173-BDB6-C5F1DEEEDBD9}</x14:id>
        </ext>
      </extLst>
    </cfRule>
  </conditionalFormatting>
  <conditionalFormatting sqref="I108">
    <cfRule type="dataBar" priority="3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{EB599F7B-255A-4C1E-8052-B78325D7C0D8}</x14:id>
        </ext>
      </extLst>
    </cfRule>
  </conditionalFormatting>
  <conditionalFormatting sqref="I109">
    <cfRule type="dataBar" priority="1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{9B8BB2F4-226F-49B5-A68C-6CAF92733EE2}</x14:id>
        </ext>
      </extLst>
    </cfRule>
  </conditionalFormatting>
  <conditionalFormatting sqref="I119">
    <cfRule type="dataBar" priority="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{0B77819B-7807-408B-8381-93347BEEF3B5}</x14:id>
        </ext>
      </extLst>
    </cfRule>
  </conditionalFormatting>
  <conditionalFormatting sqref="I130">
    <cfRule type="dataBar" priority="1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{99E088DF-8FF0-456E-9029-1E8FEE0BA261}</x14:id>
        </ext>
      </extLst>
    </cfRule>
  </conditionalFormatting>
  <conditionalFormatting sqref="I138">
    <cfRule type="dataBar" priority="1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{9EEAB22D-4287-4A4E-830F-452D74EE453F}</x14:id>
        </ext>
      </extLst>
    </cfRule>
  </conditionalFormatting>
  <conditionalFormatting sqref="I33:K33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{E859F71A-AB56-46F2-9C53-239677724114}</x14:id>
        </ext>
      </extLst>
    </cfRule>
  </conditionalFormatting>
  <conditionalFormatting sqref="I35:K35">
    <cfRule type="dataBar" priority="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{1D52ADD8-BEAD-4EC9-BF49-A0374B9989C5}</x14:id>
        </ext>
      </extLst>
    </cfRule>
  </conditionalFormatting>
  <conditionalFormatting sqref="L34:W34">
    <cfRule type="dataBar" priority="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{D976AA7A-CE9E-4A9F-BBA7-5C4EBAEABBD3}</x14:id>
        </ext>
      </extLst>
    </cfRule>
  </conditionalFormatting>
  <conditionalFormatting sqref="R35:W35">
    <cfRule type="dataBar" priority="2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{8A560D5B-1308-4DFE-BB00-81578083CC14}</x14:id>
        </ext>
      </extLst>
    </cfRule>
  </conditionalFormatting>
  <hyperlinks>
    <hyperlink ref="P2" location="GENERAL!A1" display="HOME" xr:uid="{748EC9AA-2597-4A59-9AE6-7886834D1180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DD26B4-4B2D-43D0-B411-E0E2985295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A35:H35 L35:Q35 I83:I86 I27:I31 I73:I74</xm:sqref>
        </x14:conditionalFormatting>
        <x14:conditionalFormatting xmlns:xm="http://schemas.microsoft.com/office/excel/2006/main">
          <x14:cfRule type="dataBar" id="{A9429641-26CC-4949-821C-1F7089115D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B34:H34</xm:sqref>
        </x14:conditionalFormatting>
        <x14:conditionalFormatting xmlns:xm="http://schemas.microsoft.com/office/excel/2006/main">
          <x14:cfRule type="dataBar" id="{0FCD5FC0-9E49-4FDD-8781-26C1F94311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</xm:sqref>
        </x14:conditionalFormatting>
        <x14:conditionalFormatting xmlns:xm="http://schemas.microsoft.com/office/excel/2006/main">
          <x14:cfRule type="dataBar" id="{B9A6B9F5-6FEC-4F96-89C7-224F247277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I14:I24</xm:sqref>
        </x14:conditionalFormatting>
        <x14:conditionalFormatting xmlns:xm="http://schemas.microsoft.com/office/excel/2006/main">
          <x14:cfRule type="dataBar" id="{F3DA47D8-ABAD-4B91-B092-953FA6721C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9513A8CF-19C3-48DC-A5BD-B52D145DEF6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I34</xm:sqref>
        </x14:conditionalFormatting>
        <x14:conditionalFormatting xmlns:xm="http://schemas.microsoft.com/office/excel/2006/main">
          <x14:cfRule type="dataBar" id="{2E175698-9652-49AD-9D39-80C7B1FD86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I36</xm:sqref>
        </x14:conditionalFormatting>
        <x14:conditionalFormatting xmlns:xm="http://schemas.microsoft.com/office/excel/2006/main">
          <x14:cfRule type="dataBar" id="{8E007AB4-27D8-430D-B508-0A15316523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E7D7BD09-36E5-4DDF-ABE6-372D8FCF25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I39:I46 I48</xm:sqref>
        </x14:conditionalFormatting>
        <x14:conditionalFormatting xmlns:xm="http://schemas.microsoft.com/office/excel/2006/main">
          <x14:cfRule type="dataBar" id="{9A36C00E-7D39-48F9-9486-9C4E5202531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I47</xm:sqref>
        </x14:conditionalFormatting>
        <x14:conditionalFormatting xmlns:xm="http://schemas.microsoft.com/office/excel/2006/main">
          <x14:cfRule type="dataBar" id="{575D0D47-03D6-4E4D-9034-F00F078439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I50</xm:sqref>
        </x14:conditionalFormatting>
        <x14:conditionalFormatting xmlns:xm="http://schemas.microsoft.com/office/excel/2006/main">
          <x14:cfRule type="dataBar" id="{46090AC9-8AF9-4A66-95F5-72E24B29F2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I51</xm:sqref>
        </x14:conditionalFormatting>
        <x14:conditionalFormatting xmlns:xm="http://schemas.microsoft.com/office/excel/2006/main">
          <x14:cfRule type="dataBar" id="{17B1FD55-8321-451B-9BB0-49F74006E6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I53</xm:sqref>
        </x14:conditionalFormatting>
        <x14:conditionalFormatting xmlns:xm="http://schemas.microsoft.com/office/excel/2006/main">
          <x14:cfRule type="dataBar" id="{C031C3CA-0142-4AB8-A902-FC114B5341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I54:I55</xm:sqref>
        </x14:conditionalFormatting>
        <x14:conditionalFormatting xmlns:xm="http://schemas.microsoft.com/office/excel/2006/main">
          <x14:cfRule type="dataBar" id="{F20501DA-698E-48AF-A6A0-9846D9BE9E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I57</xm:sqref>
        </x14:conditionalFormatting>
        <x14:conditionalFormatting xmlns:xm="http://schemas.microsoft.com/office/excel/2006/main">
          <x14:cfRule type="dataBar" id="{619C0578-8467-4A06-B677-DBE73E5820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I58:I59</xm:sqref>
        </x14:conditionalFormatting>
        <x14:conditionalFormatting xmlns:xm="http://schemas.microsoft.com/office/excel/2006/main">
          <x14:cfRule type="dataBar" id="{CB4BDE94-CD37-457B-8C30-CD8F3E22F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I60:I62</xm:sqref>
        </x14:conditionalFormatting>
        <x14:conditionalFormatting xmlns:xm="http://schemas.microsoft.com/office/excel/2006/main">
          <x14:cfRule type="dataBar" id="{27D3A767-0884-4844-8371-6254B5FF38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I64</xm:sqref>
        </x14:conditionalFormatting>
        <x14:conditionalFormatting xmlns:xm="http://schemas.microsoft.com/office/excel/2006/main">
          <x14:cfRule type="dataBar" id="{216758C3-6DE4-4D64-9968-DF9419FBF9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I65:I70</xm:sqref>
        </x14:conditionalFormatting>
        <x14:conditionalFormatting xmlns:xm="http://schemas.microsoft.com/office/excel/2006/main">
          <x14:cfRule type="dataBar" id="{345AD8A7-46EF-4307-97D1-2B9E08FA5A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I72</xm:sqref>
        </x14:conditionalFormatting>
        <x14:conditionalFormatting xmlns:xm="http://schemas.microsoft.com/office/excel/2006/main">
          <x14:cfRule type="dataBar" id="{2E55D6B9-FE72-4A43-8B77-59A54D33EF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I76</xm:sqref>
        </x14:conditionalFormatting>
        <x14:conditionalFormatting xmlns:xm="http://schemas.microsoft.com/office/excel/2006/main">
          <x14:cfRule type="dataBar" id="{DFB62E3A-2F72-40B0-84FF-D0B6955D00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I77:I80</xm:sqref>
        </x14:conditionalFormatting>
        <x14:conditionalFormatting xmlns:xm="http://schemas.microsoft.com/office/excel/2006/main">
          <x14:cfRule type="dataBar" id="{F4A268D5-DEB0-468A-B30B-04C59E5CC98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I81</xm:sqref>
        </x14:conditionalFormatting>
        <x14:conditionalFormatting xmlns:xm="http://schemas.microsoft.com/office/excel/2006/main">
          <x14:cfRule type="dataBar" id="{DD3C2E0D-5601-4117-9BA2-C4D0C5C071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I82</xm:sqref>
        </x14:conditionalFormatting>
        <x14:conditionalFormatting xmlns:xm="http://schemas.microsoft.com/office/excel/2006/main">
          <x14:cfRule type="dataBar" id="{AA2D5835-9381-467E-A61F-CC72BBECD8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I87</xm:sqref>
        </x14:conditionalFormatting>
        <x14:conditionalFormatting xmlns:xm="http://schemas.microsoft.com/office/excel/2006/main">
          <x14:cfRule type="dataBar" id="{7599942A-C151-4AEE-AB0B-D13D1208D7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I88:I91 I110:I118 I139:I143 I106 I94:I97 I100:I104 I120:I125 I127:I129 I131:I137</xm:sqref>
        </x14:conditionalFormatting>
        <x14:conditionalFormatting xmlns:xm="http://schemas.microsoft.com/office/excel/2006/main">
          <x14:cfRule type="dataBar" id="{AC15E846-2E18-428F-94F5-C6BECA4AEA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I93</xm:sqref>
        </x14:conditionalFormatting>
        <x14:conditionalFormatting xmlns:xm="http://schemas.microsoft.com/office/excel/2006/main">
          <x14:cfRule type="dataBar" id="{96B7E005-D64A-4173-BDB6-C5F1DEEEDB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I99</xm:sqref>
        </x14:conditionalFormatting>
        <x14:conditionalFormatting xmlns:xm="http://schemas.microsoft.com/office/excel/2006/main">
          <x14:cfRule type="dataBar" id="{EB599F7B-255A-4C1E-8052-B78325D7C0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I108</xm:sqref>
        </x14:conditionalFormatting>
        <x14:conditionalFormatting xmlns:xm="http://schemas.microsoft.com/office/excel/2006/main">
          <x14:cfRule type="dataBar" id="{9B8BB2F4-226F-49B5-A68C-6CAF92733E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I109</xm:sqref>
        </x14:conditionalFormatting>
        <x14:conditionalFormatting xmlns:xm="http://schemas.microsoft.com/office/excel/2006/main">
          <x14:cfRule type="dataBar" id="{0B77819B-7807-408B-8381-93347BEEF3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I119</xm:sqref>
        </x14:conditionalFormatting>
        <x14:conditionalFormatting xmlns:xm="http://schemas.microsoft.com/office/excel/2006/main">
          <x14:cfRule type="dataBar" id="{99E088DF-8FF0-456E-9029-1E8FEE0BA2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I130</xm:sqref>
        </x14:conditionalFormatting>
        <x14:conditionalFormatting xmlns:xm="http://schemas.microsoft.com/office/excel/2006/main">
          <x14:cfRule type="dataBar" id="{9EEAB22D-4287-4A4E-830F-452D74EE453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I138</xm:sqref>
        </x14:conditionalFormatting>
        <x14:conditionalFormatting xmlns:xm="http://schemas.microsoft.com/office/excel/2006/main">
          <x14:cfRule type="dataBar" id="{E859F71A-AB56-46F2-9C53-2396777241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I33:K33</xm:sqref>
        </x14:conditionalFormatting>
        <x14:conditionalFormatting xmlns:xm="http://schemas.microsoft.com/office/excel/2006/main">
          <x14:cfRule type="dataBar" id="{1D52ADD8-BEAD-4EC9-BF49-A0374B9989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I35:K35</xm:sqref>
        </x14:conditionalFormatting>
        <x14:conditionalFormatting xmlns:xm="http://schemas.microsoft.com/office/excel/2006/main">
          <x14:cfRule type="dataBar" id="{D976AA7A-CE9E-4A9F-BBA7-5C4EBAEABB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L34:W34</xm:sqref>
        </x14:conditionalFormatting>
        <x14:conditionalFormatting xmlns:xm="http://schemas.microsoft.com/office/excel/2006/main">
          <x14:cfRule type="dataBar" id="{8A560D5B-1308-4DFE-BB00-81578083CC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R35:W35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6311-ABE3-41F0-9F68-3DFD1E2DC339}">
  <dimension ref="A1:W145"/>
  <sheetViews>
    <sheetView zoomScale="90" zoomScaleNormal="90" workbookViewId="0">
      <selection activeCell="A16" sqref="A16:F16"/>
    </sheetView>
  </sheetViews>
  <sheetFormatPr defaultRowHeight="14.4" x14ac:dyDescent="0.3"/>
  <cols>
    <col min="1" max="1" width="46.5546875" bestFit="1" customWidth="1"/>
    <col min="2" max="2" width="18.33203125" bestFit="1" customWidth="1"/>
    <col min="3" max="3" width="12.6640625" bestFit="1" customWidth="1"/>
    <col min="5" max="5" width="8.88671875" bestFit="1" customWidth="1"/>
    <col min="6" max="6" width="20.33203125" customWidth="1"/>
    <col min="9" max="9" width="18.88671875" bestFit="1" customWidth="1"/>
    <col min="13" max="14" width="9.109375" style="38"/>
    <col min="17" max="17" width="16.5546875" customWidth="1"/>
    <col min="19" max="19" width="10.109375" customWidth="1"/>
    <col min="20" max="20" width="12.33203125" customWidth="1"/>
    <col min="21" max="21" width="9.33203125" customWidth="1"/>
  </cols>
  <sheetData>
    <row r="1" spans="1:23" ht="23.4" x14ac:dyDescent="0.3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128"/>
      <c r="N1" s="128"/>
      <c r="O1" s="61"/>
      <c r="P1" s="61"/>
      <c r="Q1" s="21"/>
      <c r="R1" s="19"/>
      <c r="S1" s="19"/>
      <c r="T1" s="19"/>
      <c r="U1" s="19"/>
      <c r="V1" s="19"/>
      <c r="W1" s="19"/>
    </row>
    <row r="2" spans="1:23" ht="24" thickBot="1" x14ac:dyDescent="0.5">
      <c r="A2" s="87" t="s">
        <v>225</v>
      </c>
      <c r="B2" s="87"/>
      <c r="C2" s="87"/>
      <c r="D2" s="87"/>
      <c r="E2" s="87"/>
      <c r="F2" s="87"/>
      <c r="G2" s="62" t="s">
        <v>26</v>
      </c>
      <c r="H2" s="22"/>
      <c r="I2" s="22"/>
      <c r="J2" s="23"/>
      <c r="K2" s="22"/>
      <c r="L2" s="22"/>
      <c r="M2" s="129"/>
      <c r="N2" s="129"/>
      <c r="O2" s="22"/>
      <c r="P2" s="24" t="s">
        <v>27</v>
      </c>
      <c r="Q2" s="24"/>
      <c r="R2" s="34"/>
      <c r="S2" s="34"/>
      <c r="T2" s="34"/>
      <c r="U2" s="34"/>
      <c r="V2" s="34"/>
      <c r="W2" s="34"/>
    </row>
    <row r="3" spans="1:23" ht="24" thickBot="1" x14ac:dyDescent="0.5">
      <c r="A3" s="88"/>
      <c r="B3" s="88"/>
      <c r="C3" s="88"/>
      <c r="D3" s="88"/>
      <c r="E3" s="88"/>
      <c r="F3" s="88"/>
      <c r="G3" s="88"/>
      <c r="H3" s="22"/>
      <c r="I3" s="22"/>
      <c r="J3" s="23"/>
      <c r="K3" s="22"/>
      <c r="L3" s="22" t="s">
        <v>28</v>
      </c>
      <c r="M3" s="129"/>
      <c r="N3" s="129"/>
      <c r="O3" s="22"/>
      <c r="P3" s="156" t="s">
        <v>29</v>
      </c>
      <c r="Q3" s="157"/>
      <c r="R3" s="154" t="s">
        <v>30</v>
      </c>
      <c r="S3" s="155"/>
      <c r="T3" s="154" t="s">
        <v>31</v>
      </c>
      <c r="U3" s="155"/>
      <c r="V3" s="154" t="s">
        <v>32</v>
      </c>
      <c r="W3" s="155"/>
    </row>
    <row r="4" spans="1:23" x14ac:dyDescent="0.3">
      <c r="A4" s="45" t="s">
        <v>33</v>
      </c>
      <c r="B4" s="69" t="s">
        <v>207</v>
      </c>
      <c r="C4" s="123" t="s">
        <v>34</v>
      </c>
      <c r="D4" s="46">
        <v>46113</v>
      </c>
      <c r="E4" s="26" t="s">
        <v>35</v>
      </c>
      <c r="F4" s="72"/>
      <c r="G4" s="124" t="s">
        <v>36</v>
      </c>
      <c r="H4" s="22" t="s">
        <v>198</v>
      </c>
      <c r="I4" s="22"/>
      <c r="J4" s="23"/>
      <c r="K4" s="26"/>
      <c r="L4" s="158" t="s">
        <v>208</v>
      </c>
      <c r="M4" s="158"/>
      <c r="N4" s="158"/>
      <c r="O4" s="26"/>
      <c r="P4" s="89"/>
      <c r="Q4" s="90"/>
      <c r="R4" s="91"/>
      <c r="S4" s="92"/>
      <c r="T4" s="91"/>
      <c r="U4" s="92"/>
      <c r="V4" s="91"/>
      <c r="W4" s="92"/>
    </row>
    <row r="5" spans="1:23" ht="23.25" customHeight="1" x14ac:dyDescent="0.45">
      <c r="A5" s="27" t="s">
        <v>38</v>
      </c>
      <c r="B5" s="143" t="s">
        <v>209</v>
      </c>
      <c r="C5" s="123" t="s">
        <v>39</v>
      </c>
      <c r="D5" s="60"/>
      <c r="E5" s="26" t="s">
        <v>40</v>
      </c>
      <c r="F5">
        <v>941480</v>
      </c>
      <c r="G5" s="125"/>
      <c r="H5" s="22"/>
      <c r="I5" s="22"/>
      <c r="J5" s="23"/>
      <c r="K5" s="26"/>
      <c r="L5" s="158"/>
      <c r="M5" s="158"/>
      <c r="N5" s="158"/>
      <c r="O5" s="26"/>
      <c r="P5" s="93" t="s">
        <v>42</v>
      </c>
      <c r="Q5" s="94">
        <f>I13</f>
        <v>0</v>
      </c>
      <c r="R5" s="95" t="s">
        <v>43</v>
      </c>
      <c r="S5" s="96">
        <f>I34</f>
        <v>0</v>
      </c>
      <c r="T5" s="95" t="s">
        <v>44</v>
      </c>
      <c r="U5" s="96">
        <f>I82</f>
        <v>0</v>
      </c>
      <c r="V5" s="95" t="s">
        <v>45</v>
      </c>
      <c r="W5" s="96">
        <f>I72</f>
        <v>0</v>
      </c>
    </row>
    <row r="6" spans="1:23" ht="23.25" customHeight="1" x14ac:dyDescent="0.45">
      <c r="A6" s="30" t="s">
        <v>46</v>
      </c>
      <c r="B6" s="59"/>
      <c r="C6" s="30" t="s">
        <v>47</v>
      </c>
      <c r="D6" s="71"/>
      <c r="E6" s="26" t="s">
        <v>48</v>
      </c>
      <c r="F6" s="59">
        <v>45</v>
      </c>
      <c r="G6" s="125"/>
      <c r="H6" s="22"/>
      <c r="I6" s="28"/>
      <c r="J6" s="29"/>
      <c r="K6" s="26"/>
      <c r="L6" s="158"/>
      <c r="M6" s="158"/>
      <c r="N6" s="158"/>
      <c r="O6" s="25"/>
      <c r="P6" s="93" t="s">
        <v>49</v>
      </c>
      <c r="Q6" s="94">
        <f>I26</f>
        <v>0</v>
      </c>
      <c r="R6" s="97" t="str">
        <f>A38</f>
        <v>Salarisadministratie</v>
      </c>
      <c r="S6" s="96">
        <f>I38</f>
        <v>0</v>
      </c>
      <c r="T6" s="97" t="s">
        <v>50</v>
      </c>
      <c r="U6" s="96">
        <f>I87</f>
        <v>0</v>
      </c>
      <c r="V6" s="97"/>
      <c r="W6" s="96"/>
    </row>
    <row r="7" spans="1:23" ht="23.25" customHeight="1" x14ac:dyDescent="0.45">
      <c r="A7" s="25" t="s">
        <v>51</v>
      </c>
      <c r="B7" s="59" t="s">
        <v>210</v>
      </c>
      <c r="C7" s="30" t="s">
        <v>52</v>
      </c>
      <c r="D7" s="59"/>
      <c r="E7" s="25"/>
      <c r="F7" s="119"/>
      <c r="G7" s="125"/>
      <c r="H7" s="22"/>
      <c r="I7" s="31"/>
      <c r="J7" s="32"/>
      <c r="K7" s="26"/>
      <c r="L7" s="158"/>
      <c r="M7" s="158"/>
      <c r="N7" s="158"/>
      <c r="O7" s="25"/>
      <c r="P7" s="93" t="s">
        <v>53</v>
      </c>
      <c r="Q7" s="94">
        <f>AVERAGE(S5:S11)</f>
        <v>0</v>
      </c>
      <c r="R7" s="97" t="str">
        <f>A47</f>
        <v>Loonheffingen en fonds</v>
      </c>
      <c r="S7" s="96">
        <f>I47</f>
        <v>0</v>
      </c>
      <c r="T7" s="97" t="s">
        <v>54</v>
      </c>
      <c r="U7" s="96">
        <f>I93</f>
        <v>0</v>
      </c>
      <c r="V7" s="97"/>
      <c r="W7" s="96"/>
    </row>
    <row r="8" spans="1:23" x14ac:dyDescent="0.3">
      <c r="A8" s="25"/>
      <c r="B8" s="59"/>
      <c r="C8" s="30" t="s">
        <v>55</v>
      </c>
      <c r="D8" s="59" t="s">
        <v>56</v>
      </c>
      <c r="E8" s="25"/>
      <c r="F8" s="71"/>
      <c r="G8" s="126"/>
      <c r="H8" s="71"/>
      <c r="I8" s="31"/>
      <c r="J8" s="32"/>
      <c r="K8" s="26"/>
      <c r="L8" s="158"/>
      <c r="M8" s="158"/>
      <c r="N8" s="158"/>
      <c r="O8" s="25"/>
      <c r="P8" s="93" t="s">
        <v>57</v>
      </c>
      <c r="Q8" s="94">
        <f>AVERAGE(U5:U11)</f>
        <v>0</v>
      </c>
      <c r="R8" s="97" t="str">
        <f>A50</f>
        <v>Instellingen</v>
      </c>
      <c r="S8" s="96">
        <f>I50</f>
        <v>0</v>
      </c>
      <c r="T8" s="97" t="s">
        <v>58</v>
      </c>
      <c r="U8" s="96">
        <f>I99</f>
        <v>0</v>
      </c>
      <c r="V8" s="97"/>
      <c r="W8" s="96"/>
    </row>
    <row r="9" spans="1:23" ht="15" thickBot="1" x14ac:dyDescent="0.35">
      <c r="A9" s="25" t="s">
        <v>59</v>
      </c>
      <c r="B9" s="59" t="s">
        <v>204</v>
      </c>
      <c r="C9" s="30" t="s">
        <v>60</v>
      </c>
      <c r="D9" s="59"/>
      <c r="E9" s="25"/>
      <c r="F9" s="71"/>
      <c r="G9" s="126"/>
      <c r="H9" s="71"/>
      <c r="I9" s="31"/>
      <c r="J9" s="32"/>
      <c r="K9" s="26"/>
      <c r="L9" s="158"/>
      <c r="M9" s="158"/>
      <c r="N9" s="158"/>
      <c r="O9" s="25"/>
      <c r="P9" s="98" t="s">
        <v>61</v>
      </c>
      <c r="Q9" s="99">
        <f>I109</f>
        <v>0</v>
      </c>
      <c r="R9" s="97" t="str">
        <f>A53</f>
        <v>Loonstroken en Jaaropgave</v>
      </c>
      <c r="S9" s="96">
        <f>I53</f>
        <v>0</v>
      </c>
      <c r="T9" s="97"/>
      <c r="U9" s="96"/>
      <c r="V9" s="97"/>
      <c r="W9" s="96"/>
    </row>
    <row r="10" spans="1:23" ht="15" thickBot="1" x14ac:dyDescent="0.35">
      <c r="A10" s="25"/>
      <c r="B10" s="59"/>
      <c r="C10" s="25"/>
      <c r="D10" s="59"/>
      <c r="E10" s="25"/>
      <c r="F10" s="71"/>
      <c r="G10" s="31"/>
      <c r="H10" s="31"/>
      <c r="I10" s="31"/>
      <c r="J10" s="32"/>
      <c r="K10" s="31"/>
      <c r="L10" s="31"/>
      <c r="M10" s="130"/>
      <c r="N10" s="130"/>
      <c r="O10" s="28"/>
      <c r="P10" s="98" t="s">
        <v>62</v>
      </c>
      <c r="Q10" s="99">
        <f>AVERAGE(Q5:Q9)</f>
        <v>0</v>
      </c>
      <c r="R10" s="97" t="str">
        <f>A57</f>
        <v>Import medewerkers</v>
      </c>
      <c r="S10" s="96">
        <f>I57</f>
        <v>0</v>
      </c>
      <c r="T10" s="97"/>
      <c r="U10" s="96"/>
      <c r="V10" s="97"/>
      <c r="W10" s="96"/>
    </row>
    <row r="11" spans="1:23" ht="15" thickBot="1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33"/>
      <c r="K11" s="19"/>
      <c r="L11" s="34"/>
      <c r="M11" s="131" t="s">
        <v>63</v>
      </c>
      <c r="N11" s="131"/>
      <c r="O11" s="42"/>
      <c r="P11" s="19"/>
      <c r="Q11" s="19"/>
      <c r="R11" s="83" t="str">
        <f>A64</f>
        <v>Diversen</v>
      </c>
      <c r="S11" s="84">
        <f>I64</f>
        <v>0</v>
      </c>
      <c r="T11" s="83"/>
      <c r="U11" s="84"/>
      <c r="V11" s="83"/>
      <c r="W11" s="84"/>
    </row>
    <row r="12" spans="1:23" ht="15" thickBot="1" x14ac:dyDescent="0.35">
      <c r="A12" s="34" t="s">
        <v>64</v>
      </c>
      <c r="B12" s="34"/>
      <c r="C12" s="34"/>
      <c r="D12" s="34"/>
      <c r="E12" s="34"/>
      <c r="F12" s="34"/>
      <c r="G12" s="34" t="s">
        <v>65</v>
      </c>
      <c r="H12" s="34" t="s">
        <v>66</v>
      </c>
      <c r="I12" s="34" t="s">
        <v>67</v>
      </c>
      <c r="J12" s="35" t="s">
        <v>68</v>
      </c>
      <c r="K12" s="34" t="s">
        <v>69</v>
      </c>
      <c r="L12" s="34" t="s">
        <v>70</v>
      </c>
      <c r="M12" s="132" t="s">
        <v>71</v>
      </c>
      <c r="N12" s="132" t="s">
        <v>72</v>
      </c>
      <c r="O12" s="34"/>
      <c r="P12" s="34"/>
      <c r="Q12" s="34"/>
      <c r="R12" s="34"/>
      <c r="S12" s="34"/>
      <c r="T12" s="34"/>
      <c r="U12" s="34"/>
      <c r="V12" s="34"/>
      <c r="W12" s="34"/>
    </row>
    <row r="13" spans="1:23" x14ac:dyDescent="0.3">
      <c r="A13" s="20" t="s">
        <v>73</v>
      </c>
      <c r="B13" s="20"/>
      <c r="C13" s="20"/>
      <c r="D13" s="20"/>
      <c r="E13" s="20"/>
      <c r="F13" s="20"/>
      <c r="G13" s="20"/>
      <c r="H13" s="36"/>
      <c r="I13" s="78">
        <f>(K13-J13)/K13*100%</f>
        <v>0</v>
      </c>
      <c r="J13" s="79">
        <f>SUM(J14:J25)</f>
        <v>10</v>
      </c>
      <c r="K13" s="80">
        <f>SUM(K14:K25)</f>
        <v>10</v>
      </c>
      <c r="L13" s="20"/>
      <c r="M13" s="36"/>
      <c r="N13" s="36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15" thickBot="1" x14ac:dyDescent="0.35">
      <c r="A14" s="149" t="s">
        <v>74</v>
      </c>
      <c r="B14" s="149"/>
      <c r="C14" s="149"/>
      <c r="D14" s="149"/>
      <c r="E14" s="149"/>
      <c r="F14" s="149"/>
      <c r="G14" s="86" t="s">
        <v>75</v>
      </c>
      <c r="H14" s="38"/>
      <c r="I14" s="101">
        <v>0</v>
      </c>
      <c r="J14" s="102">
        <f>K14-I14*K14</f>
        <v>1</v>
      </c>
      <c r="K14" s="102">
        <v>1</v>
      </c>
      <c r="O14" s="10"/>
      <c r="P14" s="3"/>
    </row>
    <row r="15" spans="1:23" ht="15" thickBot="1" x14ac:dyDescent="0.35">
      <c r="A15" s="149" t="s">
        <v>76</v>
      </c>
      <c r="B15" s="149"/>
      <c r="C15" s="149"/>
      <c r="D15" s="149"/>
      <c r="E15" s="149"/>
      <c r="F15" s="149"/>
      <c r="G15" s="86" t="s">
        <v>75</v>
      </c>
      <c r="H15" s="38"/>
      <c r="I15" s="101">
        <v>0</v>
      </c>
      <c r="J15" s="102">
        <f t="shared" ref="J15:J23" si="0">K15-I15*K15</f>
        <v>1</v>
      </c>
      <c r="K15" s="102">
        <v>1</v>
      </c>
      <c r="O15" s="10"/>
    </row>
    <row r="16" spans="1:23" ht="15" thickBot="1" x14ac:dyDescent="0.35">
      <c r="A16" s="149" t="s">
        <v>77</v>
      </c>
      <c r="B16" s="149"/>
      <c r="C16" s="149"/>
      <c r="D16" s="149"/>
      <c r="E16" s="149"/>
      <c r="F16" s="149"/>
      <c r="G16" s="86" t="s">
        <v>75</v>
      </c>
      <c r="H16" s="38"/>
      <c r="I16" s="101">
        <v>0</v>
      </c>
      <c r="J16" s="102">
        <f t="shared" si="0"/>
        <v>1</v>
      </c>
      <c r="K16" s="102">
        <v>1</v>
      </c>
      <c r="O16" s="10"/>
    </row>
    <row r="17" spans="1:23" ht="15" thickBot="1" x14ac:dyDescent="0.35">
      <c r="A17" s="159" t="s">
        <v>78</v>
      </c>
      <c r="B17" s="159"/>
      <c r="C17" s="159"/>
      <c r="D17" s="159"/>
      <c r="E17" s="159"/>
      <c r="F17" s="159"/>
      <c r="G17" s="86" t="s">
        <v>75</v>
      </c>
      <c r="H17" s="38"/>
      <c r="I17" s="101">
        <v>0</v>
      </c>
      <c r="J17" s="102">
        <f t="shared" si="0"/>
        <v>1</v>
      </c>
      <c r="K17" s="102">
        <v>1</v>
      </c>
      <c r="O17" s="10"/>
    </row>
    <row r="18" spans="1:23" ht="15" thickBot="1" x14ac:dyDescent="0.35">
      <c r="A18" s="149" t="s">
        <v>79</v>
      </c>
      <c r="B18" s="149"/>
      <c r="C18" s="149"/>
      <c r="D18" s="149"/>
      <c r="E18" s="149"/>
      <c r="F18" s="149"/>
      <c r="G18" s="86" t="s">
        <v>75</v>
      </c>
      <c r="H18" s="38"/>
      <c r="I18" s="101">
        <v>0</v>
      </c>
      <c r="J18" s="102">
        <f t="shared" si="0"/>
        <v>1</v>
      </c>
      <c r="K18" s="102">
        <v>1</v>
      </c>
      <c r="O18" s="10"/>
    </row>
    <row r="19" spans="1:23" ht="15" thickBot="1" x14ac:dyDescent="0.35">
      <c r="A19" s="149" t="s">
        <v>80</v>
      </c>
      <c r="B19" s="149"/>
      <c r="C19" s="149"/>
      <c r="D19" s="149"/>
      <c r="E19" s="149"/>
      <c r="F19" s="149"/>
      <c r="G19" s="86" t="s">
        <v>75</v>
      </c>
      <c r="H19" s="38"/>
      <c r="I19" s="101">
        <v>0</v>
      </c>
      <c r="J19" s="102">
        <f t="shared" si="0"/>
        <v>1</v>
      </c>
      <c r="K19" s="102">
        <v>1</v>
      </c>
      <c r="O19" s="10"/>
    </row>
    <row r="20" spans="1:23" ht="15" thickBot="1" x14ac:dyDescent="0.35">
      <c r="A20" s="149" t="s">
        <v>81</v>
      </c>
      <c r="B20" s="149"/>
      <c r="C20" s="149"/>
      <c r="D20" s="149"/>
      <c r="E20" s="149"/>
      <c r="F20" s="149"/>
      <c r="G20" s="86" t="s">
        <v>75</v>
      </c>
      <c r="H20" s="38"/>
      <c r="I20" s="101">
        <v>0</v>
      </c>
      <c r="J20" s="102">
        <f t="shared" si="0"/>
        <v>1</v>
      </c>
      <c r="K20" s="102">
        <v>1</v>
      </c>
      <c r="O20" s="10" t="s">
        <v>56</v>
      </c>
    </row>
    <row r="21" spans="1:23" ht="15" thickBot="1" x14ac:dyDescent="0.35">
      <c r="A21" s="149" t="s">
        <v>82</v>
      </c>
      <c r="B21" s="149"/>
      <c r="C21" s="149"/>
      <c r="D21" s="149"/>
      <c r="E21" s="149"/>
      <c r="F21" s="149"/>
      <c r="G21" s="86" t="s">
        <v>75</v>
      </c>
      <c r="H21" s="38"/>
      <c r="I21" s="101">
        <v>0</v>
      </c>
      <c r="J21" s="102">
        <v>1</v>
      </c>
      <c r="K21" s="102">
        <v>1</v>
      </c>
      <c r="O21" s="10" t="s">
        <v>56</v>
      </c>
    </row>
    <row r="22" spans="1:23" ht="15" thickBot="1" x14ac:dyDescent="0.35">
      <c r="A22" s="149" t="s">
        <v>83</v>
      </c>
      <c r="B22" s="149"/>
      <c r="C22" s="149"/>
      <c r="D22" s="149"/>
      <c r="E22" s="149"/>
      <c r="F22" s="149"/>
      <c r="G22" s="86" t="s">
        <v>75</v>
      </c>
      <c r="H22" s="38"/>
      <c r="I22" s="101">
        <v>0</v>
      </c>
      <c r="J22" s="102">
        <f t="shared" si="0"/>
        <v>1</v>
      </c>
      <c r="K22" s="102">
        <v>1</v>
      </c>
      <c r="O22" s="10"/>
    </row>
    <row r="23" spans="1:23" ht="15" thickBot="1" x14ac:dyDescent="0.35">
      <c r="A23" s="153" t="s">
        <v>84</v>
      </c>
      <c r="B23" s="153"/>
      <c r="C23" s="153"/>
      <c r="D23" s="153"/>
      <c r="E23" s="153"/>
      <c r="F23" s="153"/>
      <c r="G23" s="86" t="s">
        <v>75</v>
      </c>
      <c r="H23" s="38"/>
      <c r="I23" s="101">
        <v>0</v>
      </c>
      <c r="J23" s="102">
        <f t="shared" si="0"/>
        <v>1</v>
      </c>
      <c r="K23" s="102">
        <v>1</v>
      </c>
      <c r="O23" s="10"/>
    </row>
    <row r="24" spans="1:23" x14ac:dyDescent="0.3">
      <c r="A24" s="138"/>
      <c r="B24" s="138"/>
      <c r="C24" s="138"/>
      <c r="D24" s="138"/>
      <c r="E24" s="138"/>
      <c r="F24" s="138"/>
      <c r="G24" s="86"/>
      <c r="H24" s="38"/>
      <c r="I24" s="139"/>
      <c r="J24" s="102"/>
      <c r="K24" s="102"/>
      <c r="O24" s="10"/>
    </row>
    <row r="25" spans="1:23" ht="15" thickBot="1" x14ac:dyDescent="0.35">
      <c r="A25" s="100"/>
      <c r="B25" s="100"/>
      <c r="C25" s="100"/>
      <c r="D25" s="100"/>
      <c r="E25" s="100"/>
      <c r="F25" s="100"/>
      <c r="H25" s="38"/>
      <c r="I25" s="10"/>
      <c r="J25" s="39"/>
      <c r="K25" s="63"/>
      <c r="L25" s="39"/>
    </row>
    <row r="26" spans="1:23" x14ac:dyDescent="0.3">
      <c r="A26" s="20" t="s">
        <v>85</v>
      </c>
      <c r="B26" s="77"/>
      <c r="C26" s="77"/>
      <c r="D26" s="77"/>
      <c r="E26" s="77"/>
      <c r="F26" s="77"/>
      <c r="G26" s="20"/>
      <c r="H26" s="36"/>
      <c r="I26" s="78">
        <f>(K26-J26)/K26*100%</f>
        <v>0</v>
      </c>
      <c r="J26" s="79">
        <f>SUM(J27:J32)</f>
        <v>5</v>
      </c>
      <c r="K26" s="80">
        <f>SUM(K27:K32)</f>
        <v>5</v>
      </c>
      <c r="L26" s="37"/>
      <c r="M26" s="36"/>
      <c r="N26" s="36"/>
      <c r="O26" s="20"/>
      <c r="P26" s="20"/>
      <c r="Q26" s="20"/>
      <c r="R26" s="20"/>
      <c r="S26" s="20"/>
      <c r="T26" s="20"/>
      <c r="U26" s="20"/>
      <c r="V26" s="20"/>
      <c r="W26" s="20"/>
    </row>
    <row r="27" spans="1:23" ht="15" thickBot="1" x14ac:dyDescent="0.35">
      <c r="A27" s="149" t="s">
        <v>86</v>
      </c>
      <c r="B27" s="149"/>
      <c r="C27" s="149"/>
      <c r="D27" s="149"/>
      <c r="E27" s="149"/>
      <c r="F27" s="149"/>
      <c r="G27" s="86" t="s">
        <v>87</v>
      </c>
      <c r="H27" s="44"/>
      <c r="I27" s="101">
        <v>0</v>
      </c>
      <c r="J27" s="102">
        <f>K27-I27*K27</f>
        <v>1</v>
      </c>
      <c r="K27" s="102">
        <v>1</v>
      </c>
      <c r="L27" s="41"/>
      <c r="M27" s="44"/>
      <c r="N27" s="44" t="s">
        <v>88</v>
      </c>
      <c r="O27" s="11"/>
      <c r="Q27" s="11"/>
      <c r="R27" s="11"/>
      <c r="S27" s="11"/>
      <c r="T27" s="11"/>
      <c r="U27" s="11"/>
      <c r="V27" s="11"/>
      <c r="W27" s="11"/>
    </row>
    <row r="28" spans="1:23" ht="15" thickBot="1" x14ac:dyDescent="0.35">
      <c r="A28" s="149" t="s">
        <v>89</v>
      </c>
      <c r="B28" s="149"/>
      <c r="C28" s="149"/>
      <c r="D28" s="149"/>
      <c r="E28" s="149"/>
      <c r="F28" s="149"/>
      <c r="G28" s="86" t="s">
        <v>87</v>
      </c>
      <c r="H28" s="44"/>
      <c r="I28" s="101">
        <v>0</v>
      </c>
      <c r="J28" s="102">
        <f t="shared" ref="J28:J31" si="1">K28-I28*K28</f>
        <v>1</v>
      </c>
      <c r="K28" s="102">
        <v>1</v>
      </c>
      <c r="L28" s="41"/>
      <c r="M28" s="44"/>
      <c r="N28" s="137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5" thickBot="1" x14ac:dyDescent="0.35">
      <c r="A29" s="149" t="s">
        <v>90</v>
      </c>
      <c r="B29" s="149"/>
      <c r="C29" s="149"/>
      <c r="D29" s="149"/>
      <c r="E29" s="149"/>
      <c r="F29" s="149"/>
      <c r="G29" s="86" t="s">
        <v>87</v>
      </c>
      <c r="H29" s="44"/>
      <c r="I29" s="101">
        <v>0</v>
      </c>
      <c r="J29" s="102">
        <f t="shared" si="1"/>
        <v>1</v>
      </c>
      <c r="K29" s="102">
        <v>1</v>
      </c>
      <c r="L29" s="41"/>
      <c r="M29" s="44"/>
      <c r="N29" s="44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" thickBot="1" x14ac:dyDescent="0.35">
      <c r="A30" s="149" t="s">
        <v>91</v>
      </c>
      <c r="B30" s="149"/>
      <c r="C30" s="149"/>
      <c r="D30" s="149"/>
      <c r="E30" s="149"/>
      <c r="F30" s="149"/>
      <c r="G30" s="86" t="s">
        <v>87</v>
      </c>
      <c r="H30" s="44"/>
      <c r="I30" s="101">
        <v>0</v>
      </c>
      <c r="J30" s="102">
        <f t="shared" si="1"/>
        <v>1</v>
      </c>
      <c r="K30" s="102">
        <v>1</v>
      </c>
      <c r="L30" s="39"/>
      <c r="M30" s="44"/>
      <c r="N30" s="44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5" thickBot="1" x14ac:dyDescent="0.35">
      <c r="A31" s="149" t="s">
        <v>92</v>
      </c>
      <c r="B31" s="149"/>
      <c r="C31" s="149"/>
      <c r="D31" s="149"/>
      <c r="E31" s="149"/>
      <c r="F31" s="149"/>
      <c r="G31" s="86" t="s">
        <v>75</v>
      </c>
      <c r="H31" s="44"/>
      <c r="I31" s="101">
        <v>0</v>
      </c>
      <c r="J31" s="102">
        <f t="shared" si="1"/>
        <v>1</v>
      </c>
      <c r="K31" s="102">
        <v>1</v>
      </c>
      <c r="L31" s="39"/>
      <c r="M31" s="44"/>
      <c r="N31" s="44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5" thickBot="1" x14ac:dyDescent="0.35">
      <c r="A32" s="81"/>
      <c r="B32" s="81"/>
      <c r="C32" s="81"/>
      <c r="D32" s="81"/>
      <c r="E32" s="81"/>
      <c r="F32" s="81"/>
      <c r="G32" s="11"/>
      <c r="H32" s="44"/>
      <c r="I32" s="44"/>
      <c r="J32" s="44"/>
      <c r="K32" s="44"/>
      <c r="L32" s="44"/>
      <c r="M32" s="44"/>
      <c r="N32" s="44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5" thickBot="1" x14ac:dyDescent="0.35">
      <c r="A33" s="20" t="s">
        <v>93</v>
      </c>
      <c r="B33" s="77"/>
      <c r="C33" s="77"/>
      <c r="D33" s="77"/>
      <c r="E33" s="77"/>
      <c r="F33" s="77"/>
      <c r="G33" s="20"/>
      <c r="H33" s="36"/>
      <c r="I33" s="78"/>
      <c r="J33" s="111"/>
      <c r="K33" s="111"/>
      <c r="L33" s="37"/>
      <c r="M33" s="36"/>
      <c r="N33" s="36"/>
      <c r="O33" s="20"/>
      <c r="P33" s="20"/>
      <c r="Q33" s="20"/>
      <c r="R33" s="20"/>
      <c r="S33" s="20"/>
      <c r="T33" s="20"/>
      <c r="U33" s="20"/>
      <c r="V33" s="20"/>
      <c r="W33" s="20"/>
    </row>
    <row r="34" spans="1:23" x14ac:dyDescent="0.3">
      <c r="A34" s="103" t="s">
        <v>94</v>
      </c>
      <c r="B34" s="106"/>
      <c r="C34" s="106"/>
      <c r="D34" s="106"/>
      <c r="E34" s="106"/>
      <c r="F34" s="106"/>
      <c r="G34" s="106"/>
      <c r="H34" s="106"/>
      <c r="I34" s="104">
        <f>(K34-J34)/K34*100%</f>
        <v>0</v>
      </c>
      <c r="J34" s="105">
        <f>(J35+J36)</f>
        <v>1</v>
      </c>
      <c r="K34" s="105">
        <f>(K35+K36)</f>
        <v>1</v>
      </c>
      <c r="L34" s="106"/>
      <c r="M34" s="133"/>
      <c r="N34" s="133"/>
      <c r="O34" s="106"/>
      <c r="P34" s="106"/>
      <c r="Q34" s="106"/>
      <c r="R34" s="106"/>
      <c r="S34" s="106"/>
      <c r="T34" s="106"/>
      <c r="U34" s="106"/>
      <c r="V34" s="106"/>
      <c r="W34" s="106"/>
    </row>
    <row r="35" spans="1:23" x14ac:dyDescent="0.3">
      <c r="A35" s="106" t="s">
        <v>95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33"/>
      <c r="N35" s="133"/>
      <c r="O35" s="106"/>
      <c r="P35" s="106"/>
      <c r="Q35" s="106"/>
      <c r="R35" s="106"/>
      <c r="S35" s="106"/>
      <c r="T35" s="106"/>
      <c r="U35" s="106"/>
      <c r="V35" s="106"/>
      <c r="W35" s="106"/>
    </row>
    <row r="36" spans="1:23" ht="15" thickBot="1" x14ac:dyDescent="0.35">
      <c r="A36" s="149" t="s">
        <v>96</v>
      </c>
      <c r="B36" s="149"/>
      <c r="C36" s="149"/>
      <c r="D36" s="149"/>
      <c r="E36" s="149"/>
      <c r="F36" s="149"/>
      <c r="G36" s="86" t="s">
        <v>75</v>
      </c>
      <c r="H36" s="44"/>
      <c r="I36" s="82">
        <v>0</v>
      </c>
      <c r="J36" s="102">
        <f>K36-I36*K36</f>
        <v>1</v>
      </c>
      <c r="K36" s="102">
        <v>1</v>
      </c>
      <c r="L36" s="41"/>
      <c r="M36" s="44"/>
      <c r="N36" s="44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15" thickBot="1" x14ac:dyDescent="0.35">
      <c r="A37" s="100"/>
      <c r="B37" s="100"/>
      <c r="C37" s="100"/>
      <c r="D37" s="100"/>
      <c r="E37" s="100"/>
      <c r="F37" s="100"/>
      <c r="G37" s="11"/>
      <c r="H37" s="44"/>
      <c r="I37" s="44"/>
      <c r="J37" s="44"/>
      <c r="K37" s="65"/>
      <c r="L37" s="41"/>
      <c r="M37" s="44"/>
      <c r="N37" s="44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3">
      <c r="A38" s="103" t="s">
        <v>97</v>
      </c>
      <c r="B38" s="103"/>
      <c r="C38" s="103"/>
      <c r="D38" s="103"/>
      <c r="E38" s="103"/>
      <c r="F38" s="103"/>
      <c r="G38" s="50"/>
      <c r="H38" s="51"/>
      <c r="I38" s="78">
        <f>(K38-J38)/K38*100%</f>
        <v>0</v>
      </c>
      <c r="J38" s="105">
        <f>SUM(J39:J46)</f>
        <v>7</v>
      </c>
      <c r="K38" s="105">
        <f>SUM(K39:K46)</f>
        <v>7</v>
      </c>
      <c r="L38" s="103"/>
      <c r="M38" s="134"/>
      <c r="N38" s="51"/>
      <c r="O38" s="51"/>
      <c r="P38" s="103"/>
      <c r="Q38" s="103"/>
      <c r="R38" s="103"/>
      <c r="S38" s="103"/>
      <c r="T38" s="103"/>
      <c r="U38" s="103"/>
      <c r="V38" s="103"/>
      <c r="W38" s="103"/>
    </row>
    <row r="39" spans="1:23" ht="15" thickBot="1" x14ac:dyDescent="0.35">
      <c r="A39" s="149" t="s">
        <v>98</v>
      </c>
      <c r="B39" s="149"/>
      <c r="C39" s="149"/>
      <c r="D39" s="149"/>
      <c r="E39" s="149"/>
      <c r="F39" s="149"/>
      <c r="G39" s="86" t="s">
        <v>75</v>
      </c>
      <c r="H39" s="44"/>
      <c r="I39" s="82">
        <v>0</v>
      </c>
      <c r="J39" s="102">
        <f>K39-I39*K39</f>
        <v>1</v>
      </c>
      <c r="K39" s="102">
        <v>1</v>
      </c>
      <c r="L39" s="41"/>
      <c r="M39" s="44"/>
      <c r="N39" s="44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15" thickBot="1" x14ac:dyDescent="0.35">
      <c r="A40" s="149" t="s">
        <v>99</v>
      </c>
      <c r="B40" s="149"/>
      <c r="C40" s="149"/>
      <c r="D40" s="149"/>
      <c r="E40" s="149"/>
      <c r="F40" s="149"/>
      <c r="G40" s="86" t="s">
        <v>75</v>
      </c>
      <c r="H40" s="44"/>
      <c r="I40" s="82">
        <v>0</v>
      </c>
      <c r="J40" s="102">
        <f t="shared" ref="J40:J44" si="2">K40-I40*K40</f>
        <v>1</v>
      </c>
      <c r="K40" s="102">
        <v>1</v>
      </c>
      <c r="L40" s="41"/>
      <c r="M40" s="44"/>
      <c r="N40" s="44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15" thickBot="1" x14ac:dyDescent="0.35">
      <c r="A41" s="149" t="s">
        <v>100</v>
      </c>
      <c r="B41" s="149"/>
      <c r="C41" s="149"/>
      <c r="D41" s="149"/>
      <c r="E41" s="149"/>
      <c r="F41" s="149"/>
      <c r="G41" s="86" t="s">
        <v>75</v>
      </c>
      <c r="H41" s="44"/>
      <c r="I41" s="82">
        <v>0</v>
      </c>
      <c r="J41" s="102">
        <f t="shared" si="2"/>
        <v>1</v>
      </c>
      <c r="K41" s="102">
        <v>1</v>
      </c>
      <c r="L41" s="41"/>
      <c r="M41" s="44"/>
      <c r="N41" s="44"/>
      <c r="O41" s="11"/>
      <c r="P41" s="11"/>
      <c r="Q41" s="11"/>
      <c r="R41" s="11"/>
      <c r="S41" s="11"/>
      <c r="T41" s="11"/>
      <c r="U41" s="11"/>
      <c r="V41" s="11"/>
      <c r="W41" s="11"/>
    </row>
    <row r="42" spans="1:23" ht="15" thickBot="1" x14ac:dyDescent="0.35">
      <c r="A42" s="149" t="s">
        <v>101</v>
      </c>
      <c r="B42" s="149"/>
      <c r="C42" s="149"/>
      <c r="D42" s="149"/>
      <c r="E42" s="149"/>
      <c r="F42" s="149"/>
      <c r="G42" s="86" t="s">
        <v>75</v>
      </c>
      <c r="H42" s="44"/>
      <c r="I42" s="82">
        <v>0</v>
      </c>
      <c r="J42" s="102">
        <f t="shared" si="2"/>
        <v>1</v>
      </c>
      <c r="K42" s="102">
        <v>1</v>
      </c>
      <c r="L42" s="41"/>
      <c r="M42" s="44"/>
      <c r="N42" s="137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5" thickBot="1" x14ac:dyDescent="0.35">
      <c r="A43" s="149" t="s">
        <v>102</v>
      </c>
      <c r="B43" s="149"/>
      <c r="C43" s="149"/>
      <c r="D43" s="149"/>
      <c r="E43" s="149"/>
      <c r="F43" s="149"/>
      <c r="G43" s="86" t="s">
        <v>75</v>
      </c>
      <c r="H43" s="44"/>
      <c r="I43" s="82">
        <v>0</v>
      </c>
      <c r="J43" s="102">
        <f>K43-I43*K43</f>
        <v>1</v>
      </c>
      <c r="K43" s="102">
        <v>1</v>
      </c>
      <c r="L43" s="41"/>
      <c r="M43" s="44"/>
      <c r="N43" s="44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15" thickBot="1" x14ac:dyDescent="0.35">
      <c r="A44" s="149" t="s">
        <v>103</v>
      </c>
      <c r="B44" s="149"/>
      <c r="C44" s="149"/>
      <c r="D44" s="149"/>
      <c r="E44" s="149"/>
      <c r="F44" s="149"/>
      <c r="G44" s="86" t="s">
        <v>75</v>
      </c>
      <c r="H44" s="44"/>
      <c r="I44" s="82">
        <v>0</v>
      </c>
      <c r="J44" s="102">
        <f t="shared" si="2"/>
        <v>1</v>
      </c>
      <c r="K44" s="102">
        <v>1</v>
      </c>
      <c r="L44" s="41"/>
      <c r="M44" s="44"/>
      <c r="N44" s="44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15" thickBot="1" x14ac:dyDescent="0.35">
      <c r="A45" s="149" t="s">
        <v>104</v>
      </c>
      <c r="B45" s="149"/>
      <c r="C45" s="149"/>
      <c r="D45" s="149"/>
      <c r="E45" s="149"/>
      <c r="F45" s="149"/>
      <c r="G45" s="86" t="s">
        <v>75</v>
      </c>
      <c r="H45" s="44"/>
      <c r="I45" s="82">
        <v>0</v>
      </c>
      <c r="J45" s="102">
        <v>1</v>
      </c>
      <c r="K45" s="102">
        <v>1</v>
      </c>
      <c r="L45" s="41"/>
      <c r="M45" s="44"/>
      <c r="N45" s="44"/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5" thickBot="1" x14ac:dyDescent="0.35">
      <c r="A46" s="100"/>
      <c r="B46" s="100"/>
      <c r="C46" s="100"/>
      <c r="D46" s="100"/>
      <c r="E46" s="100"/>
      <c r="F46" s="100"/>
      <c r="G46" s="86"/>
      <c r="H46" s="44"/>
      <c r="I46" s="141"/>
      <c r="J46" s="142"/>
      <c r="K46" s="142"/>
      <c r="L46" s="41"/>
      <c r="M46" s="44"/>
      <c r="N46" s="44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3">
      <c r="A47" s="103" t="s">
        <v>105</v>
      </c>
      <c r="B47" s="103"/>
      <c r="C47" s="103"/>
      <c r="D47" s="103"/>
      <c r="E47" s="103"/>
      <c r="F47" s="103"/>
      <c r="G47" s="50"/>
      <c r="H47" s="51"/>
      <c r="I47" s="104">
        <f>(K47-J47)/K47*100%</f>
        <v>0</v>
      </c>
      <c r="J47" s="105">
        <f>SUM(J48:J49)</f>
        <v>1</v>
      </c>
      <c r="K47" s="105">
        <f>SUM(K48:K49)</f>
        <v>1</v>
      </c>
      <c r="L47" s="103"/>
      <c r="M47" s="134"/>
      <c r="N47" s="51"/>
      <c r="O47" s="51"/>
      <c r="P47" s="103"/>
      <c r="Q47" s="103"/>
      <c r="R47" s="103"/>
      <c r="S47" s="103"/>
      <c r="T47" s="103"/>
      <c r="U47" s="103"/>
      <c r="V47" s="103"/>
      <c r="W47" s="103"/>
    </row>
    <row r="48" spans="1:23" ht="15" thickBot="1" x14ac:dyDescent="0.35">
      <c r="A48" s="149" t="s">
        <v>106</v>
      </c>
      <c r="B48" s="149"/>
      <c r="C48" s="149"/>
      <c r="D48" s="149"/>
      <c r="E48" s="149"/>
      <c r="F48" s="149"/>
      <c r="G48" s="86" t="s">
        <v>75</v>
      </c>
      <c r="H48" s="100"/>
      <c r="I48" s="82">
        <v>0</v>
      </c>
      <c r="J48" s="102">
        <f>K48-I48*K48</f>
        <v>1</v>
      </c>
      <c r="K48" s="102">
        <v>1</v>
      </c>
      <c r="L48" s="100"/>
      <c r="M48" s="135"/>
      <c r="N48" s="135"/>
      <c r="O48" s="100"/>
      <c r="P48" s="100"/>
      <c r="Q48" s="100"/>
      <c r="R48" s="100"/>
      <c r="S48" s="100"/>
      <c r="T48" s="100"/>
      <c r="U48" s="100"/>
      <c r="V48" s="100"/>
      <c r="W48" s="100"/>
    </row>
    <row r="49" spans="1:23" ht="15" thickBot="1" x14ac:dyDescent="0.35">
      <c r="A49" s="100"/>
      <c r="B49" s="100"/>
      <c r="C49" s="100"/>
      <c r="D49" s="100"/>
      <c r="E49" s="100"/>
      <c r="F49" s="100"/>
      <c r="G49" s="100"/>
      <c r="H49" s="100"/>
      <c r="I49" s="66"/>
      <c r="J49" s="67"/>
      <c r="K49" s="68"/>
      <c r="L49" s="100"/>
      <c r="M49" s="135"/>
      <c r="N49" s="135"/>
      <c r="O49" s="100"/>
      <c r="P49" s="100"/>
      <c r="Q49" s="100"/>
      <c r="R49" s="100"/>
      <c r="S49" s="100"/>
      <c r="T49" s="100"/>
      <c r="U49" s="100"/>
      <c r="V49" s="100"/>
      <c r="W49" s="100"/>
    </row>
    <row r="50" spans="1:23" x14ac:dyDescent="0.3">
      <c r="A50" s="103" t="s">
        <v>107</v>
      </c>
      <c r="B50" s="103"/>
      <c r="C50" s="103"/>
      <c r="D50" s="103"/>
      <c r="E50" s="103"/>
      <c r="F50" s="103"/>
      <c r="G50" s="50"/>
      <c r="H50" s="51"/>
      <c r="I50" s="104">
        <f>(K50-J50)/K50*100%</f>
        <v>0</v>
      </c>
      <c r="J50" s="105">
        <f>SUM(J51:J52)</f>
        <v>1</v>
      </c>
      <c r="K50" s="105">
        <f>SUM(K51:K52)</f>
        <v>1</v>
      </c>
      <c r="L50" s="103"/>
      <c r="M50" s="134"/>
      <c r="N50" s="51"/>
      <c r="O50" s="51"/>
      <c r="P50" s="103"/>
      <c r="Q50" s="103"/>
      <c r="R50" s="103"/>
      <c r="S50" s="103"/>
      <c r="T50" s="103"/>
      <c r="U50" s="103"/>
      <c r="V50" s="103"/>
      <c r="W50" s="103"/>
    </row>
    <row r="51" spans="1:23" ht="15" thickBot="1" x14ac:dyDescent="0.35">
      <c r="A51" s="149" t="s">
        <v>108</v>
      </c>
      <c r="B51" s="149"/>
      <c r="C51" s="149"/>
      <c r="D51" s="149"/>
      <c r="E51" s="149"/>
      <c r="F51" s="149"/>
      <c r="G51" s="86" t="s">
        <v>75</v>
      </c>
      <c r="H51" s="44"/>
      <c r="I51" s="82">
        <v>0</v>
      </c>
      <c r="J51" s="102">
        <f>K51-I51*K51</f>
        <v>1</v>
      </c>
      <c r="K51" s="102">
        <v>1</v>
      </c>
      <c r="L51" s="41"/>
      <c r="M51" s="44"/>
      <c r="N51" s="44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15" thickBot="1" x14ac:dyDescent="0.35">
      <c r="A52" s="100"/>
      <c r="B52" s="100"/>
      <c r="C52" s="100"/>
      <c r="D52" s="100"/>
      <c r="E52" s="100"/>
      <c r="F52" s="100"/>
      <c r="G52" s="11"/>
      <c r="H52" s="44"/>
      <c r="I52" s="66"/>
      <c r="J52" s="67"/>
      <c r="K52" s="68"/>
      <c r="L52" s="41"/>
      <c r="M52" s="44"/>
      <c r="N52" s="44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3">
      <c r="A53" s="103" t="s">
        <v>109</v>
      </c>
      <c r="B53" s="103"/>
      <c r="C53" s="103"/>
      <c r="D53" s="103"/>
      <c r="E53" s="103"/>
      <c r="F53" s="103"/>
      <c r="G53" s="50"/>
      <c r="H53" s="51"/>
      <c r="I53" s="104">
        <f>(K53-J53)/K53*100%</f>
        <v>0</v>
      </c>
      <c r="J53" s="105">
        <f>SUM(J54:J56)</f>
        <v>2</v>
      </c>
      <c r="K53" s="105">
        <f>SUM(K54:K56)</f>
        <v>2</v>
      </c>
      <c r="L53" s="103"/>
      <c r="M53" s="134"/>
      <c r="N53" s="51"/>
      <c r="O53" s="51"/>
      <c r="P53" s="103"/>
      <c r="Q53" s="103"/>
      <c r="R53" s="103"/>
      <c r="S53" s="103"/>
      <c r="T53" s="103"/>
      <c r="U53" s="103"/>
      <c r="V53" s="103"/>
      <c r="W53" s="103"/>
    </row>
    <row r="54" spans="1:23" ht="15" thickBot="1" x14ac:dyDescent="0.35">
      <c r="A54" s="149" t="s">
        <v>110</v>
      </c>
      <c r="B54" s="149"/>
      <c r="C54" s="149"/>
      <c r="D54" s="149"/>
      <c r="E54" s="149"/>
      <c r="F54" s="149"/>
      <c r="G54" s="86" t="s">
        <v>75</v>
      </c>
      <c r="H54" s="100"/>
      <c r="I54" s="82">
        <v>0</v>
      </c>
      <c r="J54" s="102">
        <f>K54-I54*K54</f>
        <v>1</v>
      </c>
      <c r="K54" s="102">
        <v>1</v>
      </c>
      <c r="L54" s="41"/>
      <c r="M54" s="44"/>
      <c r="N54" s="44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5" thickBot="1" x14ac:dyDescent="0.35">
      <c r="A55" s="149" t="s">
        <v>111</v>
      </c>
      <c r="B55" s="149"/>
      <c r="C55" s="149"/>
      <c r="D55" s="149"/>
      <c r="E55" s="149"/>
      <c r="F55" s="149"/>
      <c r="G55" s="86" t="s">
        <v>75</v>
      </c>
      <c r="H55" s="100"/>
      <c r="I55" s="82">
        <v>0</v>
      </c>
      <c r="J55" s="102">
        <f>K55-I55*K55</f>
        <v>1</v>
      </c>
      <c r="K55" s="102">
        <v>1</v>
      </c>
      <c r="L55" s="41"/>
      <c r="M55" s="44"/>
      <c r="N55" s="44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5" thickBot="1" x14ac:dyDescent="0.35">
      <c r="A56" s="100"/>
      <c r="B56" s="100"/>
      <c r="C56" s="100"/>
      <c r="D56" s="100"/>
      <c r="E56" s="100"/>
      <c r="F56" s="100"/>
      <c r="G56" s="100"/>
      <c r="H56" s="100"/>
      <c r="I56" s="66"/>
      <c r="J56" s="67"/>
      <c r="K56" s="68"/>
      <c r="L56" s="41"/>
      <c r="M56" s="44"/>
      <c r="N56" s="44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3">
      <c r="A57" s="103" t="s">
        <v>112</v>
      </c>
      <c r="B57" s="103"/>
      <c r="C57" s="103"/>
      <c r="D57" s="103"/>
      <c r="E57" s="103"/>
      <c r="F57" s="103"/>
      <c r="G57" s="50"/>
      <c r="H57" s="51"/>
      <c r="I57" s="104">
        <f>(K57-J57)/K57*100%</f>
        <v>0</v>
      </c>
      <c r="J57" s="105">
        <f>SUM(J58:J63)</f>
        <v>5</v>
      </c>
      <c r="K57" s="105">
        <f>SUM(K58:K63)</f>
        <v>5</v>
      </c>
      <c r="L57" s="103"/>
      <c r="M57" s="134"/>
      <c r="N57" s="51"/>
      <c r="O57" s="51"/>
      <c r="P57" s="103"/>
      <c r="Q57" s="103"/>
      <c r="R57" s="103"/>
      <c r="S57" s="103"/>
      <c r="T57" s="103"/>
      <c r="U57" s="103"/>
      <c r="V57" s="103"/>
      <c r="W57" s="103"/>
    </row>
    <row r="58" spans="1:23" ht="15" thickBot="1" x14ac:dyDescent="0.35">
      <c r="A58" s="149" t="s">
        <v>113</v>
      </c>
      <c r="B58" s="149"/>
      <c r="C58" s="149"/>
      <c r="D58" s="149"/>
      <c r="E58" s="149"/>
      <c r="F58" s="149"/>
      <c r="G58" s="86" t="s">
        <v>75</v>
      </c>
      <c r="H58" s="100"/>
      <c r="I58" s="82">
        <v>0</v>
      </c>
      <c r="J58" s="102">
        <f>K58-I58*K58</f>
        <v>1</v>
      </c>
      <c r="K58" s="102">
        <v>1</v>
      </c>
      <c r="L58" s="100"/>
      <c r="M58" s="135"/>
      <c r="N58" s="135"/>
      <c r="O58" s="100"/>
      <c r="P58" s="100"/>
      <c r="Q58" s="100"/>
      <c r="R58" s="100"/>
      <c r="S58" s="100"/>
      <c r="T58" s="100"/>
      <c r="U58" s="100"/>
      <c r="V58" s="100"/>
      <c r="W58" s="100"/>
    </row>
    <row r="59" spans="1:23" ht="15" thickBot="1" x14ac:dyDescent="0.35">
      <c r="A59" s="149" t="s">
        <v>114</v>
      </c>
      <c r="B59" s="149"/>
      <c r="C59" s="149"/>
      <c r="D59" s="149"/>
      <c r="E59" s="149"/>
      <c r="F59" s="149"/>
      <c r="G59" s="86" t="s">
        <v>75</v>
      </c>
      <c r="H59" s="81"/>
      <c r="I59" s="82">
        <v>0</v>
      </c>
      <c r="J59" s="102">
        <f t="shared" ref="J59:J60" si="3">K59-I59*K59</f>
        <v>1</v>
      </c>
      <c r="K59" s="102">
        <v>1</v>
      </c>
      <c r="L59" s="81"/>
      <c r="M59" s="136"/>
      <c r="N59" s="136"/>
      <c r="O59" s="81"/>
      <c r="P59" s="81"/>
      <c r="Q59" s="81"/>
      <c r="R59" s="81"/>
      <c r="S59" s="81"/>
      <c r="T59" s="81"/>
      <c r="U59" s="81"/>
      <c r="V59" s="81"/>
      <c r="W59" s="81"/>
    </row>
    <row r="60" spans="1:23" ht="15" thickBot="1" x14ac:dyDescent="0.35">
      <c r="A60" s="149" t="s">
        <v>115</v>
      </c>
      <c r="B60" s="149"/>
      <c r="C60" s="149"/>
      <c r="D60" s="149"/>
      <c r="E60" s="149"/>
      <c r="F60" s="149"/>
      <c r="G60" s="86" t="s">
        <v>75</v>
      </c>
      <c r="H60" s="100"/>
      <c r="I60" s="82">
        <v>0</v>
      </c>
      <c r="J60" s="102">
        <f t="shared" si="3"/>
        <v>1</v>
      </c>
      <c r="K60" s="102">
        <v>1</v>
      </c>
      <c r="L60" s="100"/>
      <c r="M60" s="135"/>
      <c r="N60" s="135"/>
      <c r="O60" s="100"/>
      <c r="P60" s="100"/>
      <c r="Q60" s="100"/>
      <c r="R60" s="100"/>
      <c r="S60" s="100"/>
      <c r="T60" s="100"/>
      <c r="U60" s="100"/>
      <c r="V60" s="100"/>
      <c r="W60" s="100"/>
    </row>
    <row r="61" spans="1:23" ht="15" thickBot="1" x14ac:dyDescent="0.35">
      <c r="A61" s="149" t="s">
        <v>116</v>
      </c>
      <c r="B61" s="149"/>
      <c r="C61" s="149"/>
      <c r="D61" s="149"/>
      <c r="E61" s="149"/>
      <c r="F61" s="149"/>
      <c r="G61" s="86" t="s">
        <v>75</v>
      </c>
      <c r="H61" s="100"/>
      <c r="I61" s="82">
        <v>0</v>
      </c>
      <c r="J61" s="102">
        <f>K61-I61*K61</f>
        <v>1</v>
      </c>
      <c r="K61" s="102">
        <v>1</v>
      </c>
      <c r="L61" s="100"/>
      <c r="M61" s="135"/>
      <c r="N61" s="135"/>
      <c r="O61" s="100"/>
      <c r="P61" s="100"/>
      <c r="Q61" s="100"/>
      <c r="R61" s="100"/>
      <c r="S61" s="100"/>
      <c r="T61" s="100"/>
      <c r="U61" s="100"/>
      <c r="V61" s="100"/>
      <c r="W61" s="100"/>
    </row>
    <row r="62" spans="1:23" ht="15" thickBot="1" x14ac:dyDescent="0.35">
      <c r="A62" s="149" t="s">
        <v>117</v>
      </c>
      <c r="B62" s="149"/>
      <c r="C62" s="149"/>
      <c r="D62" s="149"/>
      <c r="E62" s="149"/>
      <c r="F62" s="149"/>
      <c r="G62" s="86" t="s">
        <v>75</v>
      </c>
      <c r="H62" s="100"/>
      <c r="I62" s="82">
        <v>0</v>
      </c>
      <c r="J62" s="102">
        <f>K62-I62*K62</f>
        <v>1</v>
      </c>
      <c r="K62" s="102">
        <v>1</v>
      </c>
      <c r="L62" s="100"/>
      <c r="M62" s="135"/>
      <c r="N62" s="135"/>
      <c r="O62" s="100"/>
      <c r="P62" s="100"/>
      <c r="Q62" s="100"/>
      <c r="R62" s="100"/>
      <c r="S62" s="100"/>
      <c r="T62" s="100"/>
      <c r="U62" s="100"/>
      <c r="V62" s="100"/>
      <c r="W62" s="100"/>
    </row>
    <row r="63" spans="1:23" ht="15" thickBot="1" x14ac:dyDescent="0.35">
      <c r="A63" s="100"/>
      <c r="B63" s="100"/>
      <c r="C63" s="100"/>
      <c r="D63" s="100"/>
      <c r="E63" s="100"/>
      <c r="F63" s="100"/>
      <c r="G63" s="100"/>
      <c r="H63" s="100"/>
      <c r="I63" s="108"/>
      <c r="J63" s="108"/>
      <c r="K63" s="108"/>
      <c r="L63" s="100"/>
      <c r="M63" s="135"/>
      <c r="N63" s="135"/>
      <c r="O63" s="100"/>
      <c r="P63" s="100"/>
      <c r="Q63" s="100"/>
      <c r="R63" s="100"/>
      <c r="S63" s="100"/>
      <c r="T63" s="100"/>
      <c r="U63" s="100"/>
      <c r="V63" s="100"/>
      <c r="W63" s="100"/>
    </row>
    <row r="64" spans="1:23" x14ac:dyDescent="0.3">
      <c r="A64" s="103" t="s">
        <v>118</v>
      </c>
      <c r="B64" s="103"/>
      <c r="C64" s="103"/>
      <c r="D64" s="103"/>
      <c r="E64" s="103"/>
      <c r="F64" s="103"/>
      <c r="G64" s="50"/>
      <c r="H64" s="51"/>
      <c r="I64" s="104">
        <f>(K64-J64)/K64*100%</f>
        <v>0</v>
      </c>
      <c r="J64" s="105">
        <f>SUM(J65:J71)</f>
        <v>6</v>
      </c>
      <c r="K64" s="105">
        <f>SUM(K65:K71)</f>
        <v>6</v>
      </c>
      <c r="L64" s="103"/>
      <c r="M64" s="134"/>
      <c r="N64" s="51"/>
      <c r="O64" s="51"/>
      <c r="P64" s="103"/>
      <c r="Q64" s="103"/>
      <c r="R64" s="103"/>
      <c r="S64" s="103"/>
      <c r="T64" s="103"/>
      <c r="U64" s="103"/>
      <c r="V64" s="103"/>
      <c r="W64" s="103"/>
    </row>
    <row r="65" spans="1:23" ht="15" thickBot="1" x14ac:dyDescent="0.35">
      <c r="A65" s="149" t="s">
        <v>119</v>
      </c>
      <c r="B65" s="149"/>
      <c r="C65" s="149"/>
      <c r="D65" s="149"/>
      <c r="E65" s="149"/>
      <c r="F65" s="149"/>
      <c r="G65" s="86" t="s">
        <v>75</v>
      </c>
      <c r="H65" s="44"/>
      <c r="I65" s="82">
        <v>0</v>
      </c>
      <c r="J65" s="102">
        <f>K65-I65*K65</f>
        <v>1</v>
      </c>
      <c r="K65" s="102">
        <v>1</v>
      </c>
      <c r="L65" s="41"/>
      <c r="M65" s="44"/>
      <c r="N65" s="44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5" thickBot="1" x14ac:dyDescent="0.35">
      <c r="A66" s="149" t="s">
        <v>120</v>
      </c>
      <c r="B66" s="149"/>
      <c r="C66" s="149"/>
      <c r="D66" s="149"/>
      <c r="E66" s="149"/>
      <c r="F66" s="149"/>
      <c r="G66" s="86" t="s">
        <v>75</v>
      </c>
      <c r="H66" s="44"/>
      <c r="I66" s="82">
        <v>0</v>
      </c>
      <c r="J66" s="102">
        <f t="shared" ref="J66:J67" si="4">K66-I66*K66</f>
        <v>1</v>
      </c>
      <c r="K66" s="102">
        <v>1</v>
      </c>
      <c r="L66" s="41"/>
      <c r="M66" s="44"/>
      <c r="N66" s="44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15" thickBot="1" x14ac:dyDescent="0.35">
      <c r="A67" s="149" t="s">
        <v>121</v>
      </c>
      <c r="B67" s="149"/>
      <c r="C67" s="149"/>
      <c r="D67" s="149"/>
      <c r="E67" s="149"/>
      <c r="F67" s="149"/>
      <c r="G67" s="86" t="s">
        <v>75</v>
      </c>
      <c r="H67" s="44"/>
      <c r="I67" s="82">
        <v>0</v>
      </c>
      <c r="J67" s="102">
        <f t="shared" si="4"/>
        <v>1</v>
      </c>
      <c r="K67" s="102">
        <v>1</v>
      </c>
      <c r="L67" s="41"/>
      <c r="M67" s="44"/>
      <c r="N67" s="44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5" thickBot="1" x14ac:dyDescent="0.35">
      <c r="A68" s="149" t="s">
        <v>122</v>
      </c>
      <c r="B68" s="149"/>
      <c r="C68" s="149"/>
      <c r="D68" s="149"/>
      <c r="E68" s="149"/>
      <c r="F68" s="149"/>
      <c r="G68" s="86" t="s">
        <v>75</v>
      </c>
      <c r="H68" s="44"/>
      <c r="I68" s="82">
        <v>0</v>
      </c>
      <c r="J68" s="102">
        <v>1</v>
      </c>
      <c r="K68" s="102">
        <v>1</v>
      </c>
      <c r="L68" s="41"/>
      <c r="M68" s="44"/>
      <c r="N68" s="44"/>
      <c r="O68" s="11"/>
      <c r="P68" s="11"/>
      <c r="Q68" s="11"/>
      <c r="R68" s="11"/>
      <c r="S68" s="11"/>
      <c r="T68" s="11"/>
      <c r="U68" s="11"/>
      <c r="V68" s="11"/>
      <c r="W68" s="11"/>
    </row>
    <row r="69" spans="1:23" ht="15" thickBot="1" x14ac:dyDescent="0.35">
      <c r="A69" s="149" t="s">
        <v>123</v>
      </c>
      <c r="B69" s="149"/>
      <c r="C69" s="149"/>
      <c r="D69" s="149"/>
      <c r="E69" s="149"/>
      <c r="F69" s="149"/>
      <c r="G69" s="86" t="s">
        <v>75</v>
      </c>
      <c r="H69" s="44"/>
      <c r="I69" s="82">
        <v>0</v>
      </c>
      <c r="J69" s="102">
        <f>K69-I69*K69</f>
        <v>1</v>
      </c>
      <c r="K69" s="102">
        <v>1</v>
      </c>
      <c r="L69" s="41"/>
      <c r="M69" s="44"/>
      <c r="N69" s="44"/>
      <c r="O69" s="11"/>
      <c r="P69" s="11"/>
      <c r="Q69" s="11"/>
      <c r="R69" s="11"/>
      <c r="S69" s="11"/>
      <c r="T69" s="11"/>
      <c r="U69" s="11"/>
      <c r="V69" s="11"/>
      <c r="W69" s="11"/>
    </row>
    <row r="70" spans="1:23" ht="15" thickBot="1" x14ac:dyDescent="0.35">
      <c r="A70" s="149" t="s">
        <v>124</v>
      </c>
      <c r="B70" s="149"/>
      <c r="C70" s="149"/>
      <c r="D70" s="149"/>
      <c r="E70" s="149"/>
      <c r="F70" s="149"/>
      <c r="G70" s="86" t="s">
        <v>75</v>
      </c>
      <c r="H70" s="44"/>
      <c r="I70" s="82">
        <v>0</v>
      </c>
      <c r="J70" s="102">
        <v>1</v>
      </c>
      <c r="K70" s="102">
        <v>1</v>
      </c>
      <c r="L70" s="41"/>
      <c r="M70" s="44"/>
      <c r="N70" s="44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5" thickBot="1" x14ac:dyDescent="0.35">
      <c r="A71" s="100"/>
      <c r="B71" s="100"/>
      <c r="C71" s="100"/>
      <c r="D71" s="100"/>
      <c r="E71" s="100"/>
      <c r="F71" s="100"/>
      <c r="H71" s="44"/>
      <c r="I71" s="11"/>
      <c r="J71" s="41"/>
      <c r="K71" s="64"/>
      <c r="L71" s="41"/>
      <c r="M71" s="44"/>
      <c r="N71" s="44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3">
      <c r="A72" s="103" t="s">
        <v>125</v>
      </c>
      <c r="B72" s="103"/>
      <c r="C72" s="103"/>
      <c r="D72" s="103"/>
      <c r="E72" s="103"/>
      <c r="F72" s="103"/>
      <c r="G72" s="50"/>
      <c r="H72" s="51"/>
      <c r="I72" s="104">
        <f>(K72-J72)/K72*100%</f>
        <v>0</v>
      </c>
      <c r="J72" s="105">
        <f>SUM(J73:J75)</f>
        <v>2</v>
      </c>
      <c r="K72" s="105">
        <f>SUM(K73:K75)</f>
        <v>2</v>
      </c>
      <c r="L72" s="49"/>
      <c r="M72" s="51"/>
      <c r="N72" s="51"/>
      <c r="O72" s="51"/>
      <c r="P72" s="50"/>
      <c r="Q72" s="51"/>
      <c r="R72" s="51"/>
      <c r="S72" s="51"/>
      <c r="T72" s="51"/>
      <c r="U72" s="51"/>
      <c r="V72" s="51"/>
      <c r="W72" s="51"/>
    </row>
    <row r="73" spans="1:23" ht="15" thickBot="1" x14ac:dyDescent="0.35">
      <c r="A73" s="149" t="s">
        <v>126</v>
      </c>
      <c r="B73" s="149"/>
      <c r="C73" s="149"/>
      <c r="D73" s="149"/>
      <c r="E73" s="149"/>
      <c r="F73" s="149"/>
      <c r="G73" s="86" t="s">
        <v>127</v>
      </c>
      <c r="H73" s="44"/>
      <c r="I73" s="82">
        <v>0</v>
      </c>
      <c r="J73" s="102">
        <f>K73-I73*K73</f>
        <v>1</v>
      </c>
      <c r="K73" s="102">
        <v>1</v>
      </c>
      <c r="L73" s="41"/>
      <c r="M73" s="44"/>
      <c r="N73" s="44"/>
      <c r="O73" s="11"/>
      <c r="P73" s="11"/>
      <c r="Q73" s="11"/>
      <c r="R73" s="11"/>
      <c r="S73" s="11"/>
      <c r="T73" s="11"/>
      <c r="U73" s="11"/>
      <c r="V73" s="11"/>
      <c r="W73" s="11"/>
    </row>
    <row r="74" spans="1:23" ht="15" thickBot="1" x14ac:dyDescent="0.35">
      <c r="A74" s="149" t="s">
        <v>128</v>
      </c>
      <c r="B74" s="149"/>
      <c r="C74" s="149"/>
      <c r="D74" s="149"/>
      <c r="E74" s="149"/>
      <c r="F74" s="149"/>
      <c r="G74" s="86" t="s">
        <v>127</v>
      </c>
      <c r="H74" s="44"/>
      <c r="I74" s="82">
        <v>0</v>
      </c>
      <c r="J74" s="102">
        <f>K74-I74*K74</f>
        <v>1</v>
      </c>
      <c r="K74" s="102">
        <v>1</v>
      </c>
      <c r="L74" s="41"/>
      <c r="M74" s="44"/>
      <c r="N74" s="44"/>
      <c r="O74" s="11"/>
      <c r="P74" s="11"/>
      <c r="Q74" s="11"/>
      <c r="R74" s="11"/>
      <c r="S74" s="11"/>
      <c r="T74" s="11"/>
      <c r="U74" s="11"/>
      <c r="V74" s="11"/>
      <c r="W74" s="11"/>
    </row>
    <row r="75" spans="1:23" ht="15" thickBot="1" x14ac:dyDescent="0.35">
      <c r="A75" s="76"/>
      <c r="B75" s="76"/>
      <c r="C75" s="76"/>
      <c r="D75" s="76"/>
      <c r="E75" s="76"/>
      <c r="F75" s="76"/>
      <c r="G75" s="11"/>
      <c r="H75" s="44"/>
      <c r="I75" s="11"/>
      <c r="J75" s="41"/>
      <c r="K75" s="64"/>
      <c r="L75" s="41"/>
      <c r="M75" s="44"/>
      <c r="N75" s="44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3">
      <c r="A76" s="103" t="s">
        <v>129</v>
      </c>
      <c r="B76" s="103"/>
      <c r="C76" s="103"/>
      <c r="D76" s="103"/>
      <c r="E76" s="103"/>
      <c r="F76" s="103"/>
      <c r="G76" s="50"/>
      <c r="H76" s="51"/>
      <c r="I76" s="104">
        <f>(K76-J76)/K76*100%</f>
        <v>1</v>
      </c>
      <c r="J76" s="105">
        <f>SUM(J77:J81)</f>
        <v>0</v>
      </c>
      <c r="K76" s="105">
        <f>SUM(K77:K81)</f>
        <v>1</v>
      </c>
      <c r="L76" s="50"/>
      <c r="M76" s="51"/>
      <c r="N76" s="51"/>
      <c r="O76" s="51"/>
      <c r="P76" s="50"/>
      <c r="Q76" s="51"/>
      <c r="R76" s="51"/>
      <c r="S76" s="51"/>
      <c r="T76" s="51"/>
      <c r="U76" s="51"/>
      <c r="V76" s="51"/>
      <c r="W76" s="51"/>
    </row>
    <row r="77" spans="1:23" ht="15" thickBot="1" x14ac:dyDescent="0.35">
      <c r="A77" s="149" t="s">
        <v>130</v>
      </c>
      <c r="B77" s="149"/>
      <c r="C77" s="149"/>
      <c r="D77" s="149"/>
      <c r="E77" s="149"/>
      <c r="F77" s="149"/>
      <c r="G77" s="86" t="s">
        <v>127</v>
      </c>
      <c r="H77" s="44" t="s">
        <v>131</v>
      </c>
      <c r="I77" s="82">
        <v>1</v>
      </c>
      <c r="J77" s="102">
        <f>K77-I77*K77</f>
        <v>0</v>
      </c>
      <c r="K77" s="102">
        <v>1</v>
      </c>
      <c r="L77" s="41"/>
      <c r="M77" s="44"/>
      <c r="N77" s="44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5" thickBot="1" x14ac:dyDescent="0.35">
      <c r="A78" s="149"/>
      <c r="B78" s="149"/>
      <c r="C78" s="149"/>
      <c r="D78" s="149"/>
      <c r="E78" s="149"/>
      <c r="F78" s="149"/>
      <c r="G78" s="86"/>
      <c r="H78" s="44"/>
      <c r="I78" s="82"/>
      <c r="J78" s="102"/>
      <c r="K78" s="102"/>
      <c r="L78" s="41"/>
      <c r="M78" s="44"/>
      <c r="N78" s="44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15" thickBot="1" x14ac:dyDescent="0.35">
      <c r="A79" s="149"/>
      <c r="B79" s="149"/>
      <c r="C79" s="149"/>
      <c r="D79" s="149"/>
      <c r="E79" s="149"/>
      <c r="F79" s="149"/>
      <c r="G79" s="86"/>
      <c r="H79" s="44"/>
      <c r="I79" s="82"/>
      <c r="J79" s="102"/>
      <c r="K79" s="102"/>
      <c r="L79" s="41"/>
      <c r="M79" s="44"/>
      <c r="N79" s="44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15" thickBot="1" x14ac:dyDescent="0.35">
      <c r="A80" s="149"/>
      <c r="B80" s="149"/>
      <c r="C80" s="149"/>
      <c r="D80" s="149"/>
      <c r="E80" s="149"/>
      <c r="F80" s="149"/>
      <c r="G80" s="86"/>
      <c r="H80" s="44"/>
      <c r="I80" s="82"/>
      <c r="J80" s="102"/>
      <c r="K80" s="102"/>
      <c r="L80" s="39"/>
    </row>
    <row r="81" spans="1:23" ht="15" thickBot="1" x14ac:dyDescent="0.35">
      <c r="A81" s="81"/>
      <c r="B81" s="81"/>
      <c r="C81" s="81"/>
      <c r="D81" s="81"/>
      <c r="E81" s="81"/>
      <c r="F81" s="81"/>
      <c r="H81" s="38"/>
      <c r="I81" s="40"/>
      <c r="J81" s="47"/>
      <c r="K81" s="63"/>
      <c r="L81" s="39"/>
    </row>
    <row r="82" spans="1:23" x14ac:dyDescent="0.3">
      <c r="A82" s="85" t="s">
        <v>132</v>
      </c>
      <c r="B82" s="77"/>
      <c r="C82" s="77"/>
      <c r="D82" s="77"/>
      <c r="E82" s="77"/>
      <c r="F82" s="77"/>
      <c r="G82" s="20"/>
      <c r="H82" s="36"/>
      <c r="I82" s="104">
        <f>(K82-J82)/K82*100%</f>
        <v>0</v>
      </c>
      <c r="J82" s="79">
        <f>SUM(J83:J86)</f>
        <v>3</v>
      </c>
      <c r="K82" s="80">
        <f>SUM(K83:K86)</f>
        <v>3</v>
      </c>
      <c r="L82" s="39"/>
    </row>
    <row r="83" spans="1:23" ht="15" thickBot="1" x14ac:dyDescent="0.35">
      <c r="A83" s="149" t="s">
        <v>133</v>
      </c>
      <c r="B83" s="149"/>
      <c r="C83" s="149"/>
      <c r="D83" s="149"/>
      <c r="E83" s="149"/>
      <c r="F83" s="149"/>
      <c r="G83" s="86" t="s">
        <v>87</v>
      </c>
      <c r="H83" s="44"/>
      <c r="I83" s="82">
        <v>0</v>
      </c>
      <c r="J83" s="102">
        <f>K83-I83*K83</f>
        <v>1</v>
      </c>
      <c r="K83" s="102">
        <v>1</v>
      </c>
      <c r="L83" s="39"/>
    </row>
    <row r="84" spans="1:23" ht="15" thickBot="1" x14ac:dyDescent="0.35">
      <c r="A84" s="149" t="s">
        <v>134</v>
      </c>
      <c r="B84" s="149"/>
      <c r="C84" s="149"/>
      <c r="D84" s="149"/>
      <c r="E84" s="149"/>
      <c r="F84" s="149"/>
      <c r="G84" s="86" t="s">
        <v>87</v>
      </c>
      <c r="H84" s="38"/>
      <c r="I84" s="82">
        <v>0</v>
      </c>
      <c r="J84" s="102">
        <f>K84-I84*K84</f>
        <v>1</v>
      </c>
      <c r="K84" s="102">
        <v>1</v>
      </c>
      <c r="L84" s="39"/>
    </row>
    <row r="85" spans="1:23" ht="15" thickBot="1" x14ac:dyDescent="0.35">
      <c r="A85" s="149" t="s">
        <v>135</v>
      </c>
      <c r="B85" s="149"/>
      <c r="C85" s="149"/>
      <c r="D85" s="149"/>
      <c r="E85" s="149"/>
      <c r="F85" s="149"/>
      <c r="G85" s="86" t="s">
        <v>87</v>
      </c>
      <c r="H85" s="38"/>
      <c r="I85" s="82">
        <v>0</v>
      </c>
      <c r="J85" s="102">
        <f>K85-I85*K85</f>
        <v>1</v>
      </c>
      <c r="K85" s="102">
        <v>1</v>
      </c>
      <c r="L85" s="39"/>
    </row>
    <row r="86" spans="1:23" ht="15" thickBot="1" x14ac:dyDescent="0.35">
      <c r="A86" s="100"/>
      <c r="B86" s="100"/>
      <c r="C86" s="100"/>
      <c r="D86" s="100"/>
      <c r="E86" s="100"/>
      <c r="F86" s="100"/>
      <c r="G86" s="86"/>
      <c r="H86" s="38"/>
      <c r="I86" s="112"/>
      <c r="J86" s="102"/>
      <c r="K86" s="102"/>
      <c r="L86" s="39"/>
    </row>
    <row r="87" spans="1:23" x14ac:dyDescent="0.3">
      <c r="A87" s="85" t="s">
        <v>136</v>
      </c>
      <c r="B87" s="77"/>
      <c r="C87" s="77"/>
      <c r="D87" s="77"/>
      <c r="E87" s="77"/>
      <c r="F87" s="77"/>
      <c r="G87" s="20"/>
      <c r="H87" s="36"/>
      <c r="I87" s="104">
        <f>(K87-J87)/K87*100%</f>
        <v>0</v>
      </c>
      <c r="J87" s="79">
        <f>SUM(J88:J92)</f>
        <v>4</v>
      </c>
      <c r="K87" s="80">
        <f>SUM(K88:K92)</f>
        <v>4</v>
      </c>
      <c r="L87" s="37"/>
      <c r="M87" s="36"/>
      <c r="N87" s="36"/>
      <c r="O87" s="20"/>
      <c r="P87" s="20"/>
      <c r="Q87" s="20"/>
      <c r="R87" s="20"/>
      <c r="S87" s="20"/>
      <c r="T87" s="20"/>
      <c r="U87" s="20"/>
      <c r="V87" s="20"/>
      <c r="W87" s="20"/>
    </row>
    <row r="88" spans="1:23" ht="15" thickBot="1" x14ac:dyDescent="0.35">
      <c r="A88" s="149" t="s">
        <v>137</v>
      </c>
      <c r="B88" s="149"/>
      <c r="C88" s="149"/>
      <c r="D88" s="149"/>
      <c r="E88" s="149"/>
      <c r="F88" s="149"/>
      <c r="G88" s="86" t="s">
        <v>87</v>
      </c>
      <c r="H88" s="44"/>
      <c r="I88" s="82">
        <v>0</v>
      </c>
      <c r="J88" s="102">
        <f>K88-I88*K88</f>
        <v>1</v>
      </c>
      <c r="K88" s="102">
        <v>1</v>
      </c>
      <c r="L88" s="41"/>
      <c r="M88" s="44"/>
      <c r="N88" s="44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5" thickBot="1" x14ac:dyDescent="0.35">
      <c r="A89" s="149" t="s">
        <v>138</v>
      </c>
      <c r="B89" s="149"/>
      <c r="C89" s="149"/>
      <c r="D89" s="149"/>
      <c r="E89" s="149"/>
      <c r="F89" s="149"/>
      <c r="G89" s="86" t="s">
        <v>75</v>
      </c>
      <c r="H89" s="38"/>
      <c r="I89" s="82">
        <v>0</v>
      </c>
      <c r="J89" s="102">
        <f t="shared" ref="J89:J90" si="5">K89-I89*K89</f>
        <v>1</v>
      </c>
      <c r="K89" s="102">
        <v>1</v>
      </c>
      <c r="L89" s="39"/>
    </row>
    <row r="90" spans="1:23" ht="15" thickBot="1" x14ac:dyDescent="0.35">
      <c r="A90" s="149" t="s">
        <v>139</v>
      </c>
      <c r="B90" s="149"/>
      <c r="C90" s="149"/>
      <c r="D90" s="149"/>
      <c r="E90" s="149"/>
      <c r="F90" s="149"/>
      <c r="G90" s="86" t="s">
        <v>75</v>
      </c>
      <c r="H90" s="38"/>
      <c r="I90" s="82">
        <v>0</v>
      </c>
      <c r="J90" s="102">
        <f t="shared" si="5"/>
        <v>1</v>
      </c>
      <c r="K90" s="102">
        <v>1</v>
      </c>
      <c r="L90" s="39"/>
    </row>
    <row r="91" spans="1:23" ht="15" thickBot="1" x14ac:dyDescent="0.35">
      <c r="A91" s="149" t="s">
        <v>140</v>
      </c>
      <c r="B91" s="149"/>
      <c r="C91" s="149"/>
      <c r="D91" s="149"/>
      <c r="E91" s="149"/>
      <c r="F91" s="149"/>
      <c r="G91" s="86" t="s">
        <v>141</v>
      </c>
      <c r="H91" s="38"/>
      <c r="I91" s="82">
        <v>0</v>
      </c>
      <c r="J91" s="102">
        <f>K91-I91*K91</f>
        <v>1</v>
      </c>
      <c r="K91" s="102">
        <v>1</v>
      </c>
      <c r="L91" s="39"/>
    </row>
    <row r="92" spans="1:23" ht="15" thickBot="1" x14ac:dyDescent="0.35">
      <c r="A92" s="100"/>
      <c r="B92" s="100"/>
      <c r="C92" s="100"/>
      <c r="D92" s="100"/>
      <c r="E92" s="100"/>
      <c r="F92" s="81"/>
      <c r="H92" s="38"/>
      <c r="I92" s="38"/>
      <c r="J92" s="38"/>
      <c r="K92" s="38"/>
      <c r="L92" s="39"/>
    </row>
    <row r="93" spans="1:23" x14ac:dyDescent="0.3">
      <c r="A93" s="85" t="s">
        <v>142</v>
      </c>
      <c r="B93" s="77"/>
      <c r="C93" s="77"/>
      <c r="D93" s="77"/>
      <c r="E93" s="77"/>
      <c r="F93" s="77"/>
      <c r="G93" s="20"/>
      <c r="H93" s="36"/>
      <c r="I93" s="104">
        <f>(K93-J93)/K93*100%</f>
        <v>0</v>
      </c>
      <c r="J93" s="79">
        <f>SUM(J94:J98)</f>
        <v>4</v>
      </c>
      <c r="K93" s="80">
        <f>SUM(K94:K98)</f>
        <v>4</v>
      </c>
      <c r="L93" s="37"/>
      <c r="M93" s="36"/>
      <c r="N93" s="36"/>
      <c r="O93" s="20"/>
      <c r="P93" s="20"/>
      <c r="Q93" s="20"/>
      <c r="R93" s="20"/>
      <c r="S93" s="20"/>
      <c r="T93" s="20"/>
      <c r="U93" s="20"/>
      <c r="V93" s="20"/>
      <c r="W93" s="20"/>
    </row>
    <row r="94" spans="1:23" ht="15" thickBot="1" x14ac:dyDescent="0.35">
      <c r="A94" s="149" t="s">
        <v>143</v>
      </c>
      <c r="B94" s="149"/>
      <c r="C94" s="149"/>
      <c r="D94" s="149"/>
      <c r="E94" s="149"/>
      <c r="F94" s="149"/>
      <c r="G94" s="86" t="s">
        <v>87</v>
      </c>
      <c r="H94" s="44"/>
      <c r="I94" s="82">
        <v>0</v>
      </c>
      <c r="J94" s="102">
        <f>K94-I94*K94</f>
        <v>1</v>
      </c>
      <c r="K94" s="102">
        <v>1</v>
      </c>
      <c r="L94" s="41"/>
      <c r="M94" s="44"/>
      <c r="N94" s="44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15" thickBot="1" x14ac:dyDescent="0.35">
      <c r="A95" s="149" t="s">
        <v>138</v>
      </c>
      <c r="B95" s="149"/>
      <c r="C95" s="149"/>
      <c r="D95" s="149"/>
      <c r="E95" s="149"/>
      <c r="F95" s="149"/>
      <c r="G95" s="86" t="s">
        <v>75</v>
      </c>
      <c r="H95" s="38"/>
      <c r="I95" s="82">
        <v>0</v>
      </c>
      <c r="J95" s="102">
        <f t="shared" ref="J95:J96" si="6">K95-I95*K95</f>
        <v>1</v>
      </c>
      <c r="K95" s="102">
        <v>1</v>
      </c>
      <c r="L95" s="39"/>
    </row>
    <row r="96" spans="1:23" ht="15" thickBot="1" x14ac:dyDescent="0.35">
      <c r="A96" s="149" t="s">
        <v>139</v>
      </c>
      <c r="B96" s="149"/>
      <c r="C96" s="149"/>
      <c r="D96" s="149"/>
      <c r="E96" s="149"/>
      <c r="F96" s="149"/>
      <c r="G96" s="86" t="s">
        <v>75</v>
      </c>
      <c r="H96" s="38"/>
      <c r="I96" s="82">
        <v>0</v>
      </c>
      <c r="J96" s="102">
        <f t="shared" si="6"/>
        <v>1</v>
      </c>
      <c r="K96" s="102">
        <v>1</v>
      </c>
      <c r="L96" s="39"/>
    </row>
    <row r="97" spans="1:23" ht="15" thickBot="1" x14ac:dyDescent="0.35">
      <c r="A97" s="149" t="s">
        <v>140</v>
      </c>
      <c r="B97" s="149"/>
      <c r="C97" s="149"/>
      <c r="D97" s="149"/>
      <c r="E97" s="149"/>
      <c r="F97" s="149"/>
      <c r="G97" s="86" t="s">
        <v>141</v>
      </c>
      <c r="H97" s="38"/>
      <c r="I97" s="82">
        <v>0</v>
      </c>
      <c r="J97" s="102">
        <f>K97-I97*K97</f>
        <v>1</v>
      </c>
      <c r="K97" s="102">
        <v>1</v>
      </c>
      <c r="L97" s="39"/>
    </row>
    <row r="98" spans="1:23" ht="15" thickBot="1" x14ac:dyDescent="0.35">
      <c r="A98" s="100"/>
      <c r="B98" s="100"/>
      <c r="C98" s="100"/>
      <c r="D98" s="100"/>
      <c r="E98" s="100"/>
      <c r="F98" s="81"/>
      <c r="H98" s="38"/>
      <c r="I98" s="38"/>
      <c r="J98" s="38"/>
      <c r="K98" s="38"/>
      <c r="L98" s="39"/>
    </row>
    <row r="99" spans="1:23" x14ac:dyDescent="0.3">
      <c r="A99" s="103" t="s">
        <v>58</v>
      </c>
      <c r="B99" s="103"/>
      <c r="C99" s="103"/>
      <c r="D99" s="103"/>
      <c r="E99" s="103"/>
      <c r="F99" s="103"/>
      <c r="G99" s="50"/>
      <c r="H99" s="51"/>
      <c r="I99" s="104">
        <f>(K99-J99)/K99*100%</f>
        <v>0</v>
      </c>
      <c r="J99" s="79">
        <f>SUM(J100:J108)</f>
        <v>6</v>
      </c>
      <c r="K99" s="80">
        <f>SUM(K100:K108)</f>
        <v>6</v>
      </c>
      <c r="L99" s="50"/>
      <c r="M99" s="51"/>
      <c r="N99" s="51"/>
      <c r="O99" s="51"/>
      <c r="P99" s="50"/>
      <c r="Q99" s="51"/>
      <c r="R99" s="51"/>
      <c r="S99" s="51"/>
      <c r="T99" s="51"/>
      <c r="U99" s="51"/>
      <c r="V99" s="51"/>
      <c r="W99" s="51"/>
    </row>
    <row r="100" spans="1:23" ht="15" thickBot="1" x14ac:dyDescent="0.35">
      <c r="A100" s="149" t="s">
        <v>144</v>
      </c>
      <c r="B100" s="149"/>
      <c r="C100" s="149"/>
      <c r="D100" s="149"/>
      <c r="E100" s="149"/>
      <c r="F100" s="149"/>
      <c r="G100" s="86" t="s">
        <v>75</v>
      </c>
      <c r="H100" s="38"/>
      <c r="I100" s="82">
        <v>0</v>
      </c>
      <c r="J100" s="102">
        <f>K100-I100*K100</f>
        <v>1</v>
      </c>
      <c r="K100" s="102">
        <v>1</v>
      </c>
      <c r="L100" s="39"/>
    </row>
    <row r="101" spans="1:23" ht="15" thickBot="1" x14ac:dyDescent="0.35">
      <c r="A101" s="149" t="s">
        <v>145</v>
      </c>
      <c r="B101" s="149"/>
      <c r="C101" s="149"/>
      <c r="D101" s="149"/>
      <c r="E101" s="149"/>
      <c r="F101" s="149"/>
      <c r="G101" s="86" t="s">
        <v>75</v>
      </c>
      <c r="H101" s="38"/>
      <c r="I101" s="82">
        <v>0</v>
      </c>
      <c r="J101" s="102">
        <f t="shared" ref="J101:J102" si="7">K101-I101*K101</f>
        <v>1</v>
      </c>
      <c r="K101" s="102">
        <v>1</v>
      </c>
      <c r="L101" s="39"/>
    </row>
    <row r="102" spans="1:23" ht="15" thickBot="1" x14ac:dyDescent="0.35">
      <c r="A102" s="149" t="s">
        <v>146</v>
      </c>
      <c r="B102" s="149"/>
      <c r="C102" s="149"/>
      <c r="D102" s="149"/>
      <c r="E102" s="149"/>
      <c r="F102" s="149"/>
      <c r="G102" s="86" t="s">
        <v>87</v>
      </c>
      <c r="H102" s="38"/>
      <c r="I102" s="82">
        <v>0</v>
      </c>
      <c r="J102" s="102">
        <f t="shared" si="7"/>
        <v>1</v>
      </c>
      <c r="K102" s="102">
        <v>1</v>
      </c>
      <c r="L102" s="39"/>
    </row>
    <row r="103" spans="1:23" ht="15" thickBot="1" x14ac:dyDescent="0.35">
      <c r="A103" s="149" t="s">
        <v>147</v>
      </c>
      <c r="B103" s="149"/>
      <c r="C103" s="149"/>
      <c r="D103" s="149"/>
      <c r="E103" s="149"/>
      <c r="F103" s="149"/>
      <c r="G103" s="86" t="s">
        <v>141</v>
      </c>
      <c r="H103" s="38"/>
      <c r="I103" s="82">
        <v>0</v>
      </c>
      <c r="J103" s="102">
        <f>K103-I103*K103</f>
        <v>1</v>
      </c>
      <c r="K103" s="102">
        <v>1</v>
      </c>
      <c r="L103" s="39"/>
    </row>
    <row r="104" spans="1:23" ht="15" thickBot="1" x14ac:dyDescent="0.35">
      <c r="A104" s="150" t="s">
        <v>148</v>
      </c>
      <c r="B104" s="150"/>
      <c r="C104" s="150"/>
      <c r="D104" s="150"/>
      <c r="E104" s="150"/>
      <c r="F104" s="150"/>
      <c r="G104" s="86" t="s">
        <v>141</v>
      </c>
      <c r="H104" s="38"/>
      <c r="I104" s="82">
        <v>0</v>
      </c>
      <c r="J104" s="102">
        <f>K104-I104*K104</f>
        <v>1</v>
      </c>
      <c r="K104" s="102">
        <v>1</v>
      </c>
      <c r="L104" s="39"/>
    </row>
    <row r="105" spans="1:23" x14ac:dyDescent="0.3">
      <c r="A105" s="109"/>
      <c r="B105" s="109"/>
      <c r="C105" s="109"/>
      <c r="D105" s="109"/>
      <c r="E105" s="109"/>
      <c r="F105" s="109"/>
      <c r="H105" s="38"/>
      <c r="I105" s="38"/>
      <c r="J105" s="38"/>
      <c r="K105" s="38"/>
      <c r="L105" s="38"/>
    </row>
    <row r="106" spans="1:23" ht="15" thickBot="1" x14ac:dyDescent="0.35">
      <c r="A106" s="151" t="s">
        <v>149</v>
      </c>
      <c r="B106" s="151"/>
      <c r="C106" s="151"/>
      <c r="D106" s="151"/>
      <c r="E106" s="151"/>
      <c r="F106" s="151"/>
      <c r="G106" s="86" t="s">
        <v>141</v>
      </c>
      <c r="H106" s="38"/>
      <c r="I106" s="82">
        <v>0</v>
      </c>
      <c r="J106" s="102">
        <f>K106-I106*K106</f>
        <v>1</v>
      </c>
      <c r="K106" s="102">
        <v>1</v>
      </c>
      <c r="L106" s="39"/>
    </row>
    <row r="107" spans="1:23" ht="15" thickBot="1" x14ac:dyDescent="0.35">
      <c r="A107" s="81"/>
      <c r="B107" s="81"/>
      <c r="C107" s="81"/>
      <c r="D107" s="81"/>
      <c r="E107" s="81"/>
      <c r="F107" s="81"/>
      <c r="J107" s="39"/>
      <c r="K107" s="63"/>
    </row>
    <row r="108" spans="1:23" ht="15" thickBot="1" x14ac:dyDescent="0.35">
      <c r="A108" s="110"/>
      <c r="B108" s="110"/>
      <c r="C108" s="110"/>
      <c r="D108" s="110"/>
      <c r="E108" s="81"/>
      <c r="F108" s="81"/>
      <c r="H108" s="38"/>
      <c r="I108" s="48"/>
      <c r="J108" s="39"/>
      <c r="K108" s="63"/>
      <c r="L108" s="39"/>
    </row>
    <row r="109" spans="1:23" x14ac:dyDescent="0.3">
      <c r="A109" s="20" t="s">
        <v>150</v>
      </c>
      <c r="B109" s="77"/>
      <c r="C109" s="77"/>
      <c r="D109" s="77"/>
      <c r="E109" s="77"/>
      <c r="F109" s="77"/>
      <c r="G109" s="20"/>
      <c r="H109" s="36"/>
      <c r="I109" s="104">
        <f>(K109-J109)/K109*100%</f>
        <v>0</v>
      </c>
      <c r="J109" s="79">
        <f>SUM(J110:J118)</f>
        <v>8</v>
      </c>
      <c r="K109" s="80">
        <f>SUM(K110:K118)</f>
        <v>8</v>
      </c>
      <c r="L109" s="37"/>
      <c r="M109" s="36"/>
      <c r="N109" s="36"/>
      <c r="O109" s="20"/>
      <c r="P109" s="20"/>
      <c r="Q109" s="20"/>
      <c r="R109" s="20"/>
      <c r="S109" s="20"/>
      <c r="T109" s="20"/>
      <c r="U109" s="20"/>
      <c r="V109" s="20"/>
      <c r="W109" s="20"/>
    </row>
    <row r="110" spans="1:23" ht="15" thickBot="1" x14ac:dyDescent="0.35">
      <c r="A110" s="152" t="s">
        <v>151</v>
      </c>
      <c r="B110" s="152"/>
      <c r="C110" s="152"/>
      <c r="D110" s="152"/>
      <c r="E110" s="152"/>
      <c r="F110" s="152"/>
      <c r="G110" s="86" t="s">
        <v>75</v>
      </c>
      <c r="H110" s="38"/>
      <c r="I110" s="82">
        <v>0</v>
      </c>
      <c r="J110" s="102">
        <f>K110-I110*K110</f>
        <v>1</v>
      </c>
      <c r="K110" s="102">
        <v>1</v>
      </c>
      <c r="L110" s="39"/>
    </row>
    <row r="111" spans="1:23" ht="15" thickBot="1" x14ac:dyDescent="0.35">
      <c r="A111" s="149" t="s">
        <v>152</v>
      </c>
      <c r="B111" s="149"/>
      <c r="C111" s="149"/>
      <c r="D111" s="149"/>
      <c r="E111" s="149"/>
      <c r="F111" s="149"/>
      <c r="G111" s="86" t="s">
        <v>75</v>
      </c>
      <c r="H111" s="38"/>
      <c r="I111" s="82">
        <v>0</v>
      </c>
      <c r="J111" s="102">
        <f t="shared" ref="J111:J112" si="8">K111-I111*K111</f>
        <v>1</v>
      </c>
      <c r="K111" s="102">
        <v>1</v>
      </c>
      <c r="L111" s="39"/>
    </row>
    <row r="112" spans="1:23" ht="15" thickBot="1" x14ac:dyDescent="0.35">
      <c r="A112" s="149" t="s">
        <v>153</v>
      </c>
      <c r="B112" s="149"/>
      <c r="C112" s="149"/>
      <c r="D112" s="149"/>
      <c r="E112" s="149"/>
      <c r="F112" s="149"/>
      <c r="G112" s="86" t="s">
        <v>75</v>
      </c>
      <c r="H112" s="38"/>
      <c r="I112" s="82">
        <v>0</v>
      </c>
      <c r="J112" s="102">
        <f t="shared" si="8"/>
        <v>1</v>
      </c>
      <c r="K112" s="102">
        <v>1</v>
      </c>
      <c r="L112" s="39"/>
    </row>
    <row r="113" spans="1:23" ht="15" thickBot="1" x14ac:dyDescent="0.35">
      <c r="A113" s="149" t="s">
        <v>154</v>
      </c>
      <c r="B113" s="149"/>
      <c r="C113" s="149"/>
      <c r="D113" s="149"/>
      <c r="E113" s="149"/>
      <c r="F113" s="149"/>
      <c r="G113" s="86" t="s">
        <v>87</v>
      </c>
      <c r="H113" s="38"/>
      <c r="I113" s="82">
        <v>0</v>
      </c>
      <c r="J113" s="102">
        <f>K113-I113*K113</f>
        <v>1</v>
      </c>
      <c r="K113" s="102">
        <v>1</v>
      </c>
      <c r="L113" s="39"/>
    </row>
    <row r="114" spans="1:23" ht="15" thickBot="1" x14ac:dyDescent="0.35">
      <c r="A114" s="149" t="s">
        <v>155</v>
      </c>
      <c r="B114" s="149"/>
      <c r="C114" s="149"/>
      <c r="D114" s="149"/>
      <c r="E114" s="149"/>
      <c r="F114" s="149"/>
      <c r="G114" s="86" t="s">
        <v>87</v>
      </c>
      <c r="H114" s="38"/>
      <c r="I114" s="82">
        <v>0</v>
      </c>
      <c r="J114" s="102">
        <f>K114-I114*K114</f>
        <v>1</v>
      </c>
      <c r="K114" s="102">
        <v>1</v>
      </c>
      <c r="L114" s="39"/>
    </row>
    <row r="115" spans="1:23" ht="15" thickBot="1" x14ac:dyDescent="0.35">
      <c r="A115" s="149" t="s">
        <v>156</v>
      </c>
      <c r="B115" s="149"/>
      <c r="C115" s="149"/>
      <c r="D115" s="149"/>
      <c r="E115" s="149"/>
      <c r="F115" s="149"/>
      <c r="G115" s="86" t="s">
        <v>87</v>
      </c>
      <c r="H115" s="38"/>
      <c r="I115" s="82">
        <v>0</v>
      </c>
      <c r="J115" s="102">
        <f>K115-I115*K115</f>
        <v>1</v>
      </c>
      <c r="K115" s="102">
        <v>1</v>
      </c>
      <c r="L115" s="39"/>
    </row>
    <row r="116" spans="1:23" ht="15" thickBot="1" x14ac:dyDescent="0.35">
      <c r="A116" s="149" t="s">
        <v>157</v>
      </c>
      <c r="B116" s="149"/>
      <c r="C116" s="149"/>
      <c r="D116" s="149"/>
      <c r="E116" s="149"/>
      <c r="F116" s="149"/>
      <c r="G116" s="86" t="s">
        <v>127</v>
      </c>
      <c r="H116" s="38"/>
      <c r="I116" s="82">
        <v>0</v>
      </c>
      <c r="J116" s="102">
        <f t="shared" ref="J116:J117" si="9">K116-I116*K116</f>
        <v>1</v>
      </c>
      <c r="K116" s="102">
        <v>1</v>
      </c>
      <c r="L116" s="39"/>
    </row>
    <row r="117" spans="1:23" ht="15" thickBot="1" x14ac:dyDescent="0.35">
      <c r="A117" s="149" t="s">
        <v>158</v>
      </c>
      <c r="B117" s="149"/>
      <c r="C117" s="149"/>
      <c r="D117" s="149"/>
      <c r="E117" s="149"/>
      <c r="F117" s="149"/>
      <c r="G117" s="86" t="s">
        <v>159</v>
      </c>
      <c r="H117" s="38"/>
      <c r="I117" s="82">
        <v>0</v>
      </c>
      <c r="J117" s="102">
        <f t="shared" si="9"/>
        <v>1</v>
      </c>
      <c r="K117" s="102">
        <v>1</v>
      </c>
      <c r="L117" s="39"/>
    </row>
    <row r="118" spans="1:23" ht="15" thickBot="1" x14ac:dyDescent="0.35">
      <c r="A118" s="148"/>
      <c r="B118" s="148"/>
      <c r="C118" s="148"/>
      <c r="D118" s="148"/>
      <c r="E118" s="148"/>
      <c r="F118" s="148"/>
      <c r="H118" s="38"/>
      <c r="I118" s="48"/>
      <c r="J118" s="39"/>
      <c r="K118" s="63"/>
      <c r="L118" s="39"/>
    </row>
    <row r="119" spans="1:23" x14ac:dyDescent="0.3">
      <c r="A119" s="20" t="s">
        <v>160</v>
      </c>
      <c r="B119" s="77"/>
      <c r="C119" s="77"/>
      <c r="D119" s="77"/>
      <c r="E119" s="77"/>
      <c r="F119" s="77"/>
      <c r="G119" s="20"/>
      <c r="H119" s="36"/>
      <c r="I119" s="104">
        <f>(K119-J119)/K119*100%</f>
        <v>0</v>
      </c>
      <c r="J119" s="79">
        <f>SUM(J120:J129)</f>
        <v>8</v>
      </c>
      <c r="K119" s="80">
        <f>SUM(K120:K129)</f>
        <v>8</v>
      </c>
      <c r="L119" s="37"/>
      <c r="M119" s="36"/>
      <c r="N119" s="36"/>
      <c r="O119" s="20"/>
      <c r="P119" s="20"/>
      <c r="Q119" s="20"/>
      <c r="R119" s="20"/>
      <c r="S119" s="20"/>
      <c r="T119" s="20"/>
      <c r="U119" s="20"/>
      <c r="V119" s="20"/>
      <c r="W119" s="20"/>
    </row>
    <row r="120" spans="1:23" ht="15" thickBot="1" x14ac:dyDescent="0.35">
      <c r="A120" s="149" t="s">
        <v>151</v>
      </c>
      <c r="B120" s="149"/>
      <c r="C120" s="149"/>
      <c r="D120" s="149"/>
      <c r="E120" s="149"/>
      <c r="F120" s="149"/>
      <c r="G120" s="86" t="s">
        <v>75</v>
      </c>
      <c r="H120" s="38"/>
      <c r="I120" s="82">
        <v>0</v>
      </c>
      <c r="J120" s="102">
        <f>K120-I120*K120</f>
        <v>1</v>
      </c>
      <c r="K120" s="102">
        <v>1</v>
      </c>
      <c r="L120" s="39"/>
    </row>
    <row r="121" spans="1:23" ht="15" thickBot="1" x14ac:dyDescent="0.35">
      <c r="A121" s="149" t="s">
        <v>153</v>
      </c>
      <c r="B121" s="149"/>
      <c r="C121" s="149"/>
      <c r="D121" s="149"/>
      <c r="E121" s="149"/>
      <c r="F121" s="149"/>
      <c r="G121" s="86" t="s">
        <v>75</v>
      </c>
      <c r="H121" s="38"/>
      <c r="I121" s="82">
        <v>0</v>
      </c>
      <c r="J121" s="102">
        <f t="shared" ref="J121:J122" si="10">K121-I121*K121</f>
        <v>1</v>
      </c>
      <c r="K121" s="102">
        <v>1</v>
      </c>
      <c r="L121" s="39"/>
    </row>
    <row r="122" spans="1:23" ht="15" thickBot="1" x14ac:dyDescent="0.35">
      <c r="A122" s="149" t="s">
        <v>161</v>
      </c>
      <c r="B122" s="149"/>
      <c r="C122" s="149"/>
      <c r="D122" s="149"/>
      <c r="E122" s="149"/>
      <c r="F122" s="149"/>
      <c r="G122" s="86" t="s">
        <v>75</v>
      </c>
      <c r="H122" s="38"/>
      <c r="I122" s="82">
        <v>0</v>
      </c>
      <c r="J122" s="102">
        <f t="shared" si="10"/>
        <v>1</v>
      </c>
      <c r="K122" s="102">
        <v>1</v>
      </c>
      <c r="L122" s="39"/>
    </row>
    <row r="123" spans="1:23" ht="15" thickBot="1" x14ac:dyDescent="0.35">
      <c r="A123" s="149" t="s">
        <v>162</v>
      </c>
      <c r="B123" s="149"/>
      <c r="C123" s="149"/>
      <c r="D123" s="149"/>
      <c r="E123" s="149"/>
      <c r="F123" s="149"/>
      <c r="G123" s="86" t="s">
        <v>75</v>
      </c>
      <c r="H123" s="38"/>
      <c r="I123" s="82">
        <v>0</v>
      </c>
      <c r="J123" s="102">
        <f>K123-I123*K123</f>
        <v>1</v>
      </c>
      <c r="K123" s="102">
        <v>1</v>
      </c>
      <c r="L123" s="39"/>
    </row>
    <row r="124" spans="1:23" ht="15" thickBot="1" x14ac:dyDescent="0.35">
      <c r="A124" s="149" t="s">
        <v>163</v>
      </c>
      <c r="B124" s="149"/>
      <c r="C124" s="149"/>
      <c r="D124" s="149"/>
      <c r="E124" s="149"/>
      <c r="F124" s="149"/>
      <c r="G124" s="86" t="s">
        <v>164</v>
      </c>
      <c r="H124" s="38"/>
      <c r="I124" s="82">
        <v>0</v>
      </c>
      <c r="J124" s="102">
        <f>K124-I124*K124</f>
        <v>1</v>
      </c>
      <c r="K124" s="102">
        <v>1</v>
      </c>
      <c r="L124" s="39"/>
    </row>
    <row r="125" spans="1:23" ht="15" thickBot="1" x14ac:dyDescent="0.35">
      <c r="A125" s="149" t="s">
        <v>165</v>
      </c>
      <c r="B125" s="149"/>
      <c r="C125" s="149"/>
      <c r="D125" s="149"/>
      <c r="E125" s="149"/>
      <c r="F125" s="149"/>
      <c r="G125" s="86" t="s">
        <v>75</v>
      </c>
      <c r="H125" s="38"/>
      <c r="I125" s="82">
        <v>0</v>
      </c>
      <c r="J125" s="102">
        <f>K125-I125*K125</f>
        <v>1</v>
      </c>
      <c r="K125" s="102">
        <v>1</v>
      </c>
      <c r="L125" s="39"/>
    </row>
    <row r="126" spans="1:23" x14ac:dyDescent="0.3">
      <c r="A126" s="148"/>
      <c r="B126" s="148"/>
      <c r="C126" s="148"/>
      <c r="D126" s="148"/>
      <c r="E126" s="148"/>
      <c r="F126" s="148"/>
      <c r="G126" s="86"/>
      <c r="H126" s="38"/>
      <c r="I126" s="44"/>
      <c r="J126" s="44"/>
      <c r="K126" s="44"/>
      <c r="L126" s="39"/>
    </row>
    <row r="127" spans="1:23" ht="15" thickBot="1" x14ac:dyDescent="0.35">
      <c r="A127" s="149" t="s">
        <v>157</v>
      </c>
      <c r="B127" s="149"/>
      <c r="C127" s="149"/>
      <c r="D127" s="149"/>
      <c r="E127" s="149"/>
      <c r="F127" s="149"/>
      <c r="G127" s="86" t="s">
        <v>127</v>
      </c>
      <c r="H127" s="38"/>
      <c r="I127" s="82">
        <v>0</v>
      </c>
      <c r="J127" s="102">
        <f t="shared" ref="J127:J128" si="11">K127-I127*K127</f>
        <v>1</v>
      </c>
      <c r="K127" s="102">
        <v>1</v>
      </c>
      <c r="L127" s="39"/>
    </row>
    <row r="128" spans="1:23" ht="15" thickBot="1" x14ac:dyDescent="0.35">
      <c r="A128" s="149" t="s">
        <v>158</v>
      </c>
      <c r="B128" s="149"/>
      <c r="C128" s="149"/>
      <c r="D128" s="149"/>
      <c r="E128" s="149"/>
      <c r="F128" s="149"/>
      <c r="G128" s="86" t="s">
        <v>159</v>
      </c>
      <c r="H128" s="38"/>
      <c r="I128" s="82">
        <v>0</v>
      </c>
      <c r="J128" s="102">
        <f t="shared" si="11"/>
        <v>1</v>
      </c>
      <c r="K128" s="102">
        <v>1</v>
      </c>
      <c r="L128" s="39"/>
    </row>
    <row r="129" spans="1:23" ht="15" thickBot="1" x14ac:dyDescent="0.35">
      <c r="A129" s="148"/>
      <c r="B129" s="148"/>
      <c r="C129" s="148"/>
      <c r="D129" s="148"/>
      <c r="E129" s="148"/>
      <c r="F129" s="148"/>
      <c r="H129" s="38"/>
      <c r="I129" s="48"/>
      <c r="J129" s="39"/>
      <c r="K129" s="63"/>
      <c r="L129" s="39"/>
    </row>
    <row r="130" spans="1:23" x14ac:dyDescent="0.3">
      <c r="A130" s="20" t="s">
        <v>166</v>
      </c>
      <c r="B130" s="77"/>
      <c r="C130" s="77"/>
      <c r="D130" s="77"/>
      <c r="E130" s="77"/>
      <c r="F130" s="77"/>
      <c r="G130" s="20"/>
      <c r="H130" s="36"/>
      <c r="I130" s="78">
        <f>(K130-J130)/K130*100%</f>
        <v>0</v>
      </c>
      <c r="J130" s="79">
        <f>SUM(J131:J137)</f>
        <v>5</v>
      </c>
      <c r="K130" s="80">
        <f>SUM(K131:K137)</f>
        <v>5</v>
      </c>
      <c r="L130" s="37"/>
      <c r="M130" s="36"/>
      <c r="N130" s="36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 ht="15" thickBot="1" x14ac:dyDescent="0.35">
      <c r="A131" s="146" t="s">
        <v>167</v>
      </c>
      <c r="B131" s="146"/>
      <c r="C131" s="146"/>
      <c r="D131" s="146"/>
      <c r="E131" s="146"/>
      <c r="F131" s="146"/>
      <c r="G131" s="86" t="s">
        <v>75</v>
      </c>
      <c r="H131" s="38"/>
      <c r="I131" s="82">
        <v>0</v>
      </c>
      <c r="J131" s="107">
        <v>1</v>
      </c>
      <c r="K131" s="65">
        <v>1</v>
      </c>
      <c r="L131" s="39"/>
    </row>
    <row r="132" spans="1:23" ht="15" thickBot="1" x14ac:dyDescent="0.35">
      <c r="A132" s="147" t="s">
        <v>168</v>
      </c>
      <c r="B132" s="147"/>
      <c r="C132" s="147"/>
      <c r="D132" s="147"/>
      <c r="E132" s="147"/>
      <c r="F132" s="147"/>
      <c r="G132" t="s">
        <v>169</v>
      </c>
      <c r="H132" s="38"/>
      <c r="I132" s="82">
        <v>0</v>
      </c>
      <c r="J132" s="107">
        <v>1</v>
      </c>
      <c r="K132" s="65">
        <v>1</v>
      </c>
      <c r="L132" s="39"/>
    </row>
    <row r="133" spans="1:23" ht="15" thickBot="1" x14ac:dyDescent="0.35">
      <c r="A133" s="146" t="s">
        <v>170</v>
      </c>
      <c r="B133" s="146"/>
      <c r="C133" s="146"/>
      <c r="D133" s="146"/>
      <c r="E133" s="146"/>
      <c r="F133" s="146"/>
      <c r="G133" s="86" t="s">
        <v>75</v>
      </c>
      <c r="H133" s="38"/>
      <c r="I133" s="82">
        <v>0</v>
      </c>
      <c r="J133" s="107">
        <v>1</v>
      </c>
      <c r="K133" s="65">
        <v>1</v>
      </c>
      <c r="L133" s="39"/>
    </row>
    <row r="134" spans="1:23" ht="15" thickBot="1" x14ac:dyDescent="0.35">
      <c r="A134" s="146" t="s">
        <v>171</v>
      </c>
      <c r="B134" s="146"/>
      <c r="C134" s="146"/>
      <c r="D134" s="146"/>
      <c r="E134" s="146"/>
      <c r="F134" s="146"/>
      <c r="G134" s="86" t="s">
        <v>75</v>
      </c>
      <c r="H134" s="38"/>
      <c r="I134" s="82">
        <v>0</v>
      </c>
      <c r="J134" s="107">
        <v>1</v>
      </c>
      <c r="K134" s="65">
        <v>1</v>
      </c>
      <c r="L134" s="39"/>
    </row>
    <row r="135" spans="1:23" ht="15" thickBot="1" x14ac:dyDescent="0.35">
      <c r="A135" s="115" t="s">
        <v>172</v>
      </c>
      <c r="B135" s="115"/>
      <c r="C135" s="115"/>
      <c r="D135" s="115"/>
      <c r="E135" s="115"/>
      <c r="F135" s="115"/>
      <c r="G135" s="86"/>
      <c r="H135" s="38"/>
      <c r="I135" s="82">
        <v>0</v>
      </c>
      <c r="J135" s="107">
        <v>1</v>
      </c>
      <c r="K135" s="65">
        <v>1</v>
      </c>
      <c r="L135" s="39"/>
    </row>
    <row r="136" spans="1:23" ht="15" thickBot="1" x14ac:dyDescent="0.35">
      <c r="A136" s="115" t="s">
        <v>173</v>
      </c>
      <c r="B136" s="115"/>
      <c r="C136" s="115"/>
      <c r="D136" s="115"/>
      <c r="E136" s="115"/>
      <c r="F136" s="115"/>
      <c r="G136" s="86"/>
      <c r="H136" s="38"/>
      <c r="I136" s="112"/>
      <c r="J136" s="107"/>
      <c r="K136" s="65"/>
      <c r="L136" s="39"/>
    </row>
    <row r="137" spans="1:23" ht="15" thickBot="1" x14ac:dyDescent="0.35">
      <c r="H137" s="38"/>
      <c r="I137" s="48"/>
      <c r="J137" s="39"/>
      <c r="K137" s="63"/>
      <c r="L137" s="39"/>
    </row>
    <row r="138" spans="1:23" x14ac:dyDescent="0.3">
      <c r="A138" s="20" t="s">
        <v>174</v>
      </c>
      <c r="B138" s="77"/>
      <c r="C138" s="77"/>
      <c r="D138" s="77"/>
      <c r="E138" s="77"/>
      <c r="F138" s="77"/>
      <c r="G138" s="20"/>
      <c r="H138" s="36"/>
      <c r="I138" s="78">
        <f>(K138-J138)/K138*100%</f>
        <v>0</v>
      </c>
      <c r="J138" s="79">
        <f>SUM(J139:J143)</f>
        <v>5</v>
      </c>
      <c r="K138" s="80">
        <f>SUM(K139:K143)</f>
        <v>5</v>
      </c>
      <c r="L138" s="37"/>
      <c r="M138" s="36"/>
      <c r="N138" s="36"/>
      <c r="O138" s="20"/>
      <c r="P138" s="20"/>
      <c r="Q138" s="20"/>
      <c r="R138" s="20"/>
      <c r="S138" s="20"/>
      <c r="T138" s="20"/>
      <c r="U138" s="20"/>
      <c r="V138" s="20"/>
      <c r="W138" s="20"/>
    </row>
    <row r="139" spans="1:23" ht="15" thickBot="1" x14ac:dyDescent="0.35">
      <c r="A139" s="145" t="s">
        <v>175</v>
      </c>
      <c r="B139" s="145"/>
      <c r="C139" s="145"/>
      <c r="D139" s="145"/>
      <c r="E139" s="145"/>
      <c r="F139" s="145"/>
      <c r="G139" s="86" t="s">
        <v>174</v>
      </c>
      <c r="H139" s="38"/>
      <c r="I139" s="82">
        <v>0</v>
      </c>
      <c r="J139" s="107">
        <v>1</v>
      </c>
      <c r="K139" s="65">
        <v>1</v>
      </c>
      <c r="L139" s="39"/>
    </row>
    <row r="140" spans="1:23" ht="15" thickBot="1" x14ac:dyDescent="0.35">
      <c r="A140" s="145" t="s">
        <v>176</v>
      </c>
      <c r="B140" s="145"/>
      <c r="C140" s="145"/>
      <c r="D140" s="145"/>
      <c r="E140" s="145"/>
      <c r="F140" s="145"/>
      <c r="G140" s="86" t="s">
        <v>174</v>
      </c>
      <c r="H140" s="38"/>
      <c r="I140" s="82">
        <v>0</v>
      </c>
      <c r="J140" s="107">
        <v>1</v>
      </c>
      <c r="K140" s="65">
        <v>1</v>
      </c>
      <c r="L140" s="39"/>
    </row>
    <row r="141" spans="1:23" ht="15" thickBot="1" x14ac:dyDescent="0.35">
      <c r="A141" s="145" t="s">
        <v>177</v>
      </c>
      <c r="B141" s="145"/>
      <c r="C141" s="145"/>
      <c r="D141" s="145"/>
      <c r="E141" s="145"/>
      <c r="F141" s="145"/>
      <c r="G141" s="86" t="s">
        <v>174</v>
      </c>
      <c r="H141" s="38"/>
      <c r="I141" s="82">
        <v>0</v>
      </c>
      <c r="J141" s="107">
        <v>1</v>
      </c>
      <c r="K141" s="65">
        <v>1</v>
      </c>
      <c r="L141" s="39"/>
    </row>
    <row r="142" spans="1:23" ht="15" thickBot="1" x14ac:dyDescent="0.35">
      <c r="A142" s="145" t="s">
        <v>178</v>
      </c>
      <c r="B142" s="145"/>
      <c r="C142" s="145"/>
      <c r="D142" s="145"/>
      <c r="E142" s="145"/>
      <c r="F142" s="145"/>
      <c r="G142" s="86" t="s">
        <v>174</v>
      </c>
      <c r="H142" s="38"/>
      <c r="I142" s="82">
        <v>0</v>
      </c>
      <c r="J142" s="107">
        <v>1</v>
      </c>
      <c r="K142" s="65">
        <v>1</v>
      </c>
      <c r="L142" s="39"/>
    </row>
    <row r="143" spans="1:23" ht="15" thickBot="1" x14ac:dyDescent="0.35">
      <c r="A143" s="145" t="s">
        <v>179</v>
      </c>
      <c r="B143" s="145"/>
      <c r="C143" s="145"/>
      <c r="D143" s="145"/>
      <c r="E143" s="145"/>
      <c r="F143" s="145"/>
      <c r="G143" s="86" t="s">
        <v>174</v>
      </c>
      <c r="H143" s="38"/>
      <c r="I143" s="82">
        <v>0</v>
      </c>
      <c r="J143" s="107">
        <v>1</v>
      </c>
      <c r="K143" s="65">
        <v>1</v>
      </c>
      <c r="L143" s="39"/>
    </row>
    <row r="145" spans="1:1" x14ac:dyDescent="0.3">
      <c r="A145" s="116"/>
    </row>
  </sheetData>
  <mergeCells count="94">
    <mergeCell ref="A20:F20"/>
    <mergeCell ref="P3:Q3"/>
    <mergeCell ref="R3:S3"/>
    <mergeCell ref="T3:U3"/>
    <mergeCell ref="V3:W3"/>
    <mergeCell ref="L4:N9"/>
    <mergeCell ref="A14:F14"/>
    <mergeCell ref="A15:F15"/>
    <mergeCell ref="A16:F16"/>
    <mergeCell ref="A17:F17"/>
    <mergeCell ref="A18:F18"/>
    <mergeCell ref="A19:F19"/>
    <mergeCell ref="A41:F41"/>
    <mergeCell ref="A21:F21"/>
    <mergeCell ref="A22:F22"/>
    <mergeCell ref="A23:F23"/>
    <mergeCell ref="A27:F27"/>
    <mergeCell ref="A28:F28"/>
    <mergeCell ref="A29:F29"/>
    <mergeCell ref="A30:F30"/>
    <mergeCell ref="A31:F31"/>
    <mergeCell ref="A36:F36"/>
    <mergeCell ref="A39:F39"/>
    <mergeCell ref="A40:F40"/>
    <mergeCell ref="A61:F61"/>
    <mergeCell ref="A42:F42"/>
    <mergeCell ref="A43:F43"/>
    <mergeCell ref="A44:F44"/>
    <mergeCell ref="A45:F45"/>
    <mergeCell ref="A48:F48"/>
    <mergeCell ref="A51:F51"/>
    <mergeCell ref="A54:F54"/>
    <mergeCell ref="A55:F55"/>
    <mergeCell ref="A58:F58"/>
    <mergeCell ref="A59:F59"/>
    <mergeCell ref="A60:F60"/>
    <mergeCell ref="A79:F79"/>
    <mergeCell ref="A62:F62"/>
    <mergeCell ref="A65:F65"/>
    <mergeCell ref="A66:F66"/>
    <mergeCell ref="A67:F67"/>
    <mergeCell ref="A68:F68"/>
    <mergeCell ref="A69:F69"/>
    <mergeCell ref="A70:F70"/>
    <mergeCell ref="A73:F73"/>
    <mergeCell ref="A74:F74"/>
    <mergeCell ref="A77:F77"/>
    <mergeCell ref="A78:F78"/>
    <mergeCell ref="A97:F97"/>
    <mergeCell ref="A80:F80"/>
    <mergeCell ref="A83:F83"/>
    <mergeCell ref="A84:F84"/>
    <mergeCell ref="A85:F85"/>
    <mergeCell ref="A88:F88"/>
    <mergeCell ref="A89:F89"/>
    <mergeCell ref="A90:F90"/>
    <mergeCell ref="A91:F91"/>
    <mergeCell ref="A94:F94"/>
    <mergeCell ref="A95:F95"/>
    <mergeCell ref="A96:F96"/>
    <mergeCell ref="A115:F115"/>
    <mergeCell ref="A100:F100"/>
    <mergeCell ref="A101:F101"/>
    <mergeCell ref="A102:F102"/>
    <mergeCell ref="A103:F103"/>
    <mergeCell ref="A104:F104"/>
    <mergeCell ref="A106:F106"/>
    <mergeCell ref="A110:F110"/>
    <mergeCell ref="A111:F111"/>
    <mergeCell ref="A112:F112"/>
    <mergeCell ref="A113:F113"/>
    <mergeCell ref="A114:F114"/>
    <mergeCell ref="A128:F128"/>
    <mergeCell ref="A116:F116"/>
    <mergeCell ref="A117:F117"/>
    <mergeCell ref="A118:F118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40:F140"/>
    <mergeCell ref="A141:F141"/>
    <mergeCell ref="A142:F142"/>
    <mergeCell ref="A143:F143"/>
    <mergeCell ref="A129:F129"/>
    <mergeCell ref="A131:F131"/>
    <mergeCell ref="A132:F132"/>
    <mergeCell ref="A133:F133"/>
    <mergeCell ref="A134:F134"/>
    <mergeCell ref="A139:F139"/>
  </mergeCells>
  <conditionalFormatting sqref="A35:H35 L35:Q35 I83:I86 I27:I31 I73:I74">
    <cfRule type="dataBar" priority="3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{77EEB652-F52A-4F8E-BC60-FEAB28F8762D}</x14:id>
        </ext>
      </extLst>
    </cfRule>
  </conditionalFormatting>
  <conditionalFormatting sqref="B34:H34">
    <cfRule type="dataBar" priority="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{F83FFF03-6288-4312-8856-A50AFBAA84FE}</x14:id>
        </ext>
      </extLst>
    </cfRule>
  </conditionalFormatting>
  <conditionalFormatting sqref="I13">
    <cfRule type="dataBar" priority="3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{DD4CB3A7-C192-4FC5-A140-10063F3C3F8B}</x14:id>
        </ext>
      </extLst>
    </cfRule>
  </conditionalFormatting>
  <conditionalFormatting sqref="I14:I24">
    <cfRule type="dataBar" priority="3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{921A395D-0302-47EC-B690-47F5B5942E29}</x14:id>
        </ext>
      </extLst>
    </cfRule>
  </conditionalFormatting>
  <conditionalFormatting sqref="I26">
    <cfRule type="dataBar" priority="3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{71E39119-4077-4C4E-9FB1-7E6371A1EA9B}</x14:id>
        </ext>
      </extLst>
    </cfRule>
  </conditionalFormatting>
  <conditionalFormatting sqref="I34">
    <cfRule type="dataBar" priority="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{F5DDE1F9-B7B8-4C6E-AB3E-45650FE9A1FA}</x14:id>
        </ext>
      </extLst>
    </cfRule>
  </conditionalFormatting>
  <conditionalFormatting sqref="I36">
    <cfRule type="dataBar" priority="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{060EB267-3B34-40EC-BB1D-DDCBA0197160}</x14:id>
        </ext>
      </extLst>
    </cfRule>
  </conditionalFormatting>
  <conditionalFormatting sqref="I38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{8BE5ECC2-85A4-42D2-9BBF-CD4B2E12AB52}</x14:id>
        </ext>
      </extLst>
    </cfRule>
  </conditionalFormatting>
  <conditionalFormatting sqref="I39:I46 I48">
    <cfRule type="dataBar" priority="3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{2AA5B685-FBDF-42CE-9288-A0762C586672}</x14:id>
        </ext>
      </extLst>
    </cfRule>
  </conditionalFormatting>
  <conditionalFormatting sqref="I47">
    <cfRule type="dataBar" priority="2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{7342DF1F-F759-40EC-B5D8-C6ABD45EE1D7}</x14:id>
        </ext>
      </extLst>
    </cfRule>
  </conditionalFormatting>
  <conditionalFormatting sqref="I50">
    <cfRule type="dataBar" priority="2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{6C8DA488-8846-4F07-928B-0EE601CFD0DB}</x14:id>
        </ext>
      </extLst>
    </cfRule>
  </conditionalFormatting>
  <conditionalFormatting sqref="I51">
    <cfRule type="dataBar" priority="2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{C5C81A1D-B984-477E-BD98-B2E6E7CE0E1F}</x14:id>
        </ext>
      </extLst>
    </cfRule>
  </conditionalFormatting>
  <conditionalFormatting sqref="I53">
    <cfRule type="dataBar" priority="2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{D6EFFF54-246A-4C77-843E-BB7FD3BCCCD4}</x14:id>
        </ext>
      </extLst>
    </cfRule>
  </conditionalFormatting>
  <conditionalFormatting sqref="I54:I55">
    <cfRule type="dataBar" priority="2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{7FF9C7B4-578A-4E04-BB3D-E8DA30DC37F8}</x14:id>
        </ext>
      </extLst>
    </cfRule>
  </conditionalFormatting>
  <conditionalFormatting sqref="I57">
    <cfRule type="dataBar" priority="1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{8095DB81-8278-4247-9C1C-B2EE305B2FDA}</x14:id>
        </ext>
      </extLst>
    </cfRule>
  </conditionalFormatting>
  <conditionalFormatting sqref="I58:I59">
    <cfRule type="dataBar" priority="2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{06A2BE7B-D54D-4572-A837-C580B901EAEC}</x14:id>
        </ext>
      </extLst>
    </cfRule>
  </conditionalFormatting>
  <conditionalFormatting sqref="I60:I62">
    <cfRule type="dataBar" priority="2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{D56D635E-0FF5-47BB-BFE0-6B1D87DB80B6}</x14:id>
        </ext>
      </extLst>
    </cfRule>
  </conditionalFormatting>
  <conditionalFormatting sqref="I64">
    <cfRule type="dataBar" priority="1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{C15D0C8B-A163-467E-BF26-AA07AE491C1B}</x14:id>
        </ext>
      </extLst>
    </cfRule>
  </conditionalFormatting>
  <conditionalFormatting sqref="I65:I70">
    <cfRule type="dataBar" priority="2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{7678B553-F29A-40CC-8A21-3F235739883C}</x14:id>
        </ext>
      </extLst>
    </cfRule>
  </conditionalFormatting>
  <conditionalFormatting sqref="I72">
    <cfRule type="dataBar" priority="1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{B5A959D4-9B5C-45A2-A7A0-0DD11EA99E10}</x14:id>
        </ext>
      </extLst>
    </cfRule>
  </conditionalFormatting>
  <conditionalFormatting sqref="I76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{4C95AD26-A098-4CE9-97A8-C2890D8A1B78}</x14:id>
        </ext>
      </extLst>
    </cfRule>
  </conditionalFormatting>
  <conditionalFormatting sqref="I77:I80">
    <cfRule type="dataBar" priority="2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{06D45626-9215-4024-BEF3-6FAB5D4E5FD4}</x14:id>
        </ext>
      </extLst>
    </cfRule>
  </conditionalFormatting>
  <conditionalFormatting sqref="I81">
    <cfRule type="dataBar" priority="3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{E2AF0C4B-9F6B-410F-B9D5-28A1E1F4E8A0}</x14:id>
        </ext>
      </extLst>
    </cfRule>
  </conditionalFormatting>
  <conditionalFormatting sqref="I82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{8D6380C1-422C-4E18-B9E5-92FC0AB91345}</x14:id>
        </ext>
      </extLst>
    </cfRule>
  </conditionalFormatting>
  <conditionalFormatting sqref="I87">
    <cfRule type="dataBar" priority="1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{62487316-9A67-4330-81C0-D22829443EBF}</x14:id>
        </ext>
      </extLst>
    </cfRule>
  </conditionalFormatting>
  <conditionalFormatting sqref="I88:I91 I110:I118 I139:I143 I106 I94:I97 I100:I104 I120:I125 I127:I129 I131:I137">
    <cfRule type="dataBar" priority="3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{B2B2329E-54B4-416A-BA3A-63B9E7AE6930}</x14:id>
        </ext>
      </extLst>
    </cfRule>
  </conditionalFormatting>
  <conditionalFormatting sqref="I93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{35B4350D-D04F-492F-8A9D-ED597A2B5F13}</x14:id>
        </ext>
      </extLst>
    </cfRule>
  </conditionalFormatting>
  <conditionalFormatting sqref="I99">
    <cfRule type="dataBar" priority="1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{3BD51D8B-050D-474B-BE57-D45566EF7D2F}</x14:id>
        </ext>
      </extLst>
    </cfRule>
  </conditionalFormatting>
  <conditionalFormatting sqref="I108">
    <cfRule type="dataBar" priority="3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{E99435A0-11EC-4CBC-9436-3BB802698A35}</x14:id>
        </ext>
      </extLst>
    </cfRule>
  </conditionalFormatting>
  <conditionalFormatting sqref="I109">
    <cfRule type="dataBar" priority="1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{4FA74683-482A-44F3-9BD0-634BA1A300E1}</x14:id>
        </ext>
      </extLst>
    </cfRule>
  </conditionalFormatting>
  <conditionalFormatting sqref="I119">
    <cfRule type="dataBar" priority="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{1A8DAD8A-835B-4C62-9A22-0460ADAFEC28}</x14:id>
        </ext>
      </extLst>
    </cfRule>
  </conditionalFormatting>
  <conditionalFormatting sqref="I130">
    <cfRule type="dataBar" priority="1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{E98DB8A6-0D9E-4DAB-9E47-03889A17056F}</x14:id>
        </ext>
      </extLst>
    </cfRule>
  </conditionalFormatting>
  <conditionalFormatting sqref="I138">
    <cfRule type="dataBar" priority="1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{18F48E8F-5F17-4D67-B1CF-F759DDEE94F8}</x14:id>
        </ext>
      </extLst>
    </cfRule>
  </conditionalFormatting>
  <conditionalFormatting sqref="I33:K33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{175AE162-AF24-4930-9279-AF0320168712}</x14:id>
        </ext>
      </extLst>
    </cfRule>
  </conditionalFormatting>
  <conditionalFormatting sqref="I35:K35">
    <cfRule type="dataBar" priority="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{78CAB25D-B3D7-4924-9F50-05ED7FFF2629}</x14:id>
        </ext>
      </extLst>
    </cfRule>
  </conditionalFormatting>
  <conditionalFormatting sqref="L34:W34">
    <cfRule type="dataBar" priority="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{EDFE998C-6931-4BC8-9F02-80C8EF4C4135}</x14:id>
        </ext>
      </extLst>
    </cfRule>
  </conditionalFormatting>
  <conditionalFormatting sqref="R35:W35">
    <cfRule type="dataBar" priority="2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{A0E27E7E-B0F2-4988-B558-B75A0460ACC8}</x14:id>
        </ext>
      </extLst>
    </cfRule>
  </conditionalFormatting>
  <hyperlinks>
    <hyperlink ref="P2" location="GENERAL!A1" display="HOME" xr:uid="{E513CA14-C84C-4198-BCFE-415C31DF6E86}"/>
  </hyperlink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EEB652-F52A-4F8E-BC60-FEAB28F876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A35:H35 L35:Q35 I83:I86 I27:I31 I73:I74</xm:sqref>
        </x14:conditionalFormatting>
        <x14:conditionalFormatting xmlns:xm="http://schemas.microsoft.com/office/excel/2006/main">
          <x14:cfRule type="dataBar" id="{F83FFF03-6288-4312-8856-A50AFBAA84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B34:H34</xm:sqref>
        </x14:conditionalFormatting>
        <x14:conditionalFormatting xmlns:xm="http://schemas.microsoft.com/office/excel/2006/main">
          <x14:cfRule type="dataBar" id="{DD4CB3A7-C192-4FC5-A140-10063F3C3F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</xm:sqref>
        </x14:conditionalFormatting>
        <x14:conditionalFormatting xmlns:xm="http://schemas.microsoft.com/office/excel/2006/main">
          <x14:cfRule type="dataBar" id="{921A395D-0302-47EC-B690-47F5B5942E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I14:I24</xm:sqref>
        </x14:conditionalFormatting>
        <x14:conditionalFormatting xmlns:xm="http://schemas.microsoft.com/office/excel/2006/main">
          <x14:cfRule type="dataBar" id="{71E39119-4077-4C4E-9FB1-7E6371A1EA9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F5DDE1F9-B7B8-4C6E-AB3E-45650FE9A1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I34</xm:sqref>
        </x14:conditionalFormatting>
        <x14:conditionalFormatting xmlns:xm="http://schemas.microsoft.com/office/excel/2006/main">
          <x14:cfRule type="dataBar" id="{060EB267-3B34-40EC-BB1D-DDCBA01971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I36</xm:sqref>
        </x14:conditionalFormatting>
        <x14:conditionalFormatting xmlns:xm="http://schemas.microsoft.com/office/excel/2006/main">
          <x14:cfRule type="dataBar" id="{8BE5ECC2-85A4-42D2-9BBF-CD4B2E12AB5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2AA5B685-FBDF-42CE-9288-A0762C5866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I39:I46 I48</xm:sqref>
        </x14:conditionalFormatting>
        <x14:conditionalFormatting xmlns:xm="http://schemas.microsoft.com/office/excel/2006/main">
          <x14:cfRule type="dataBar" id="{7342DF1F-F759-40EC-B5D8-C6ABD45EE1D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I47</xm:sqref>
        </x14:conditionalFormatting>
        <x14:conditionalFormatting xmlns:xm="http://schemas.microsoft.com/office/excel/2006/main">
          <x14:cfRule type="dataBar" id="{6C8DA488-8846-4F07-928B-0EE601CFD0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I50</xm:sqref>
        </x14:conditionalFormatting>
        <x14:conditionalFormatting xmlns:xm="http://schemas.microsoft.com/office/excel/2006/main">
          <x14:cfRule type="dataBar" id="{C5C81A1D-B984-477E-BD98-B2E6E7CE0E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I51</xm:sqref>
        </x14:conditionalFormatting>
        <x14:conditionalFormatting xmlns:xm="http://schemas.microsoft.com/office/excel/2006/main">
          <x14:cfRule type="dataBar" id="{D6EFFF54-246A-4C77-843E-BB7FD3BCCC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I53</xm:sqref>
        </x14:conditionalFormatting>
        <x14:conditionalFormatting xmlns:xm="http://schemas.microsoft.com/office/excel/2006/main">
          <x14:cfRule type="dataBar" id="{7FF9C7B4-578A-4E04-BB3D-E8DA30DC37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I54:I55</xm:sqref>
        </x14:conditionalFormatting>
        <x14:conditionalFormatting xmlns:xm="http://schemas.microsoft.com/office/excel/2006/main">
          <x14:cfRule type="dataBar" id="{8095DB81-8278-4247-9C1C-B2EE305B2F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I57</xm:sqref>
        </x14:conditionalFormatting>
        <x14:conditionalFormatting xmlns:xm="http://schemas.microsoft.com/office/excel/2006/main">
          <x14:cfRule type="dataBar" id="{06A2BE7B-D54D-4572-A837-C580B901EA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I58:I59</xm:sqref>
        </x14:conditionalFormatting>
        <x14:conditionalFormatting xmlns:xm="http://schemas.microsoft.com/office/excel/2006/main">
          <x14:cfRule type="dataBar" id="{D56D635E-0FF5-47BB-BFE0-6B1D87DB80B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I60:I62</xm:sqref>
        </x14:conditionalFormatting>
        <x14:conditionalFormatting xmlns:xm="http://schemas.microsoft.com/office/excel/2006/main">
          <x14:cfRule type="dataBar" id="{C15D0C8B-A163-467E-BF26-AA07AE491C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I64</xm:sqref>
        </x14:conditionalFormatting>
        <x14:conditionalFormatting xmlns:xm="http://schemas.microsoft.com/office/excel/2006/main">
          <x14:cfRule type="dataBar" id="{7678B553-F29A-40CC-8A21-3F23573988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I65:I70</xm:sqref>
        </x14:conditionalFormatting>
        <x14:conditionalFormatting xmlns:xm="http://schemas.microsoft.com/office/excel/2006/main">
          <x14:cfRule type="dataBar" id="{B5A959D4-9B5C-45A2-A7A0-0DD11EA99E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I72</xm:sqref>
        </x14:conditionalFormatting>
        <x14:conditionalFormatting xmlns:xm="http://schemas.microsoft.com/office/excel/2006/main">
          <x14:cfRule type="dataBar" id="{4C95AD26-A098-4CE9-97A8-C2890D8A1B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I76</xm:sqref>
        </x14:conditionalFormatting>
        <x14:conditionalFormatting xmlns:xm="http://schemas.microsoft.com/office/excel/2006/main">
          <x14:cfRule type="dataBar" id="{06D45626-9215-4024-BEF3-6FAB5D4E5F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I77:I80</xm:sqref>
        </x14:conditionalFormatting>
        <x14:conditionalFormatting xmlns:xm="http://schemas.microsoft.com/office/excel/2006/main">
          <x14:cfRule type="dataBar" id="{E2AF0C4B-9F6B-410F-B9D5-28A1E1F4E8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I81</xm:sqref>
        </x14:conditionalFormatting>
        <x14:conditionalFormatting xmlns:xm="http://schemas.microsoft.com/office/excel/2006/main">
          <x14:cfRule type="dataBar" id="{8D6380C1-422C-4E18-B9E5-92FC0AB913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I82</xm:sqref>
        </x14:conditionalFormatting>
        <x14:conditionalFormatting xmlns:xm="http://schemas.microsoft.com/office/excel/2006/main">
          <x14:cfRule type="dataBar" id="{62487316-9A67-4330-81C0-D22829443E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I87</xm:sqref>
        </x14:conditionalFormatting>
        <x14:conditionalFormatting xmlns:xm="http://schemas.microsoft.com/office/excel/2006/main">
          <x14:cfRule type="dataBar" id="{B2B2329E-54B4-416A-BA3A-63B9E7AE693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I88:I91 I110:I118 I139:I143 I106 I94:I97 I100:I104 I120:I125 I127:I129 I131:I137</xm:sqref>
        </x14:conditionalFormatting>
        <x14:conditionalFormatting xmlns:xm="http://schemas.microsoft.com/office/excel/2006/main">
          <x14:cfRule type="dataBar" id="{35B4350D-D04F-492F-8A9D-ED597A2B5F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I93</xm:sqref>
        </x14:conditionalFormatting>
        <x14:conditionalFormatting xmlns:xm="http://schemas.microsoft.com/office/excel/2006/main">
          <x14:cfRule type="dataBar" id="{3BD51D8B-050D-474B-BE57-D45566EF7D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I99</xm:sqref>
        </x14:conditionalFormatting>
        <x14:conditionalFormatting xmlns:xm="http://schemas.microsoft.com/office/excel/2006/main">
          <x14:cfRule type="dataBar" id="{E99435A0-11EC-4CBC-9436-3BB802698A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I108</xm:sqref>
        </x14:conditionalFormatting>
        <x14:conditionalFormatting xmlns:xm="http://schemas.microsoft.com/office/excel/2006/main">
          <x14:cfRule type="dataBar" id="{4FA74683-482A-44F3-9BD0-634BA1A300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I109</xm:sqref>
        </x14:conditionalFormatting>
        <x14:conditionalFormatting xmlns:xm="http://schemas.microsoft.com/office/excel/2006/main">
          <x14:cfRule type="dataBar" id="{1A8DAD8A-835B-4C62-9A22-0460ADAFEC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I119</xm:sqref>
        </x14:conditionalFormatting>
        <x14:conditionalFormatting xmlns:xm="http://schemas.microsoft.com/office/excel/2006/main">
          <x14:cfRule type="dataBar" id="{E98DB8A6-0D9E-4DAB-9E47-03889A1705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I130</xm:sqref>
        </x14:conditionalFormatting>
        <x14:conditionalFormatting xmlns:xm="http://schemas.microsoft.com/office/excel/2006/main">
          <x14:cfRule type="dataBar" id="{18F48E8F-5F17-4D67-B1CF-F759DDEE94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I138</xm:sqref>
        </x14:conditionalFormatting>
        <x14:conditionalFormatting xmlns:xm="http://schemas.microsoft.com/office/excel/2006/main">
          <x14:cfRule type="dataBar" id="{175AE162-AF24-4930-9279-AF03201687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I33:K33</xm:sqref>
        </x14:conditionalFormatting>
        <x14:conditionalFormatting xmlns:xm="http://schemas.microsoft.com/office/excel/2006/main">
          <x14:cfRule type="dataBar" id="{78CAB25D-B3D7-4924-9F50-05ED7FFF26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I35:K35</xm:sqref>
        </x14:conditionalFormatting>
        <x14:conditionalFormatting xmlns:xm="http://schemas.microsoft.com/office/excel/2006/main">
          <x14:cfRule type="dataBar" id="{EDFE998C-6931-4BC8-9F02-80C8EF4C413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L34:W34</xm:sqref>
        </x14:conditionalFormatting>
        <x14:conditionalFormatting xmlns:xm="http://schemas.microsoft.com/office/excel/2006/main">
          <x14:cfRule type="dataBar" id="{A0E27E7E-B0F2-4988-B558-B75A0460AC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R35:W35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B64A-D2CB-428C-B70B-F9351D9236FA}">
  <dimension ref="A1:W145"/>
  <sheetViews>
    <sheetView zoomScale="90" zoomScaleNormal="90" workbookViewId="0">
      <selection activeCell="A2" sqref="A2"/>
    </sheetView>
  </sheetViews>
  <sheetFormatPr defaultRowHeight="14.4" x14ac:dyDescent="0.3"/>
  <cols>
    <col min="1" max="1" width="46.5546875" bestFit="1" customWidth="1"/>
    <col min="2" max="2" width="18.33203125" bestFit="1" customWidth="1"/>
    <col min="3" max="3" width="12.6640625" bestFit="1" customWidth="1"/>
    <col min="5" max="5" width="8.88671875" bestFit="1" customWidth="1"/>
    <col min="6" max="6" width="20.33203125" customWidth="1"/>
    <col min="9" max="9" width="18.88671875" bestFit="1" customWidth="1"/>
    <col min="13" max="14" width="9.109375" style="38"/>
    <col min="17" max="17" width="16.5546875" customWidth="1"/>
    <col min="19" max="19" width="10.109375" customWidth="1"/>
    <col min="20" max="20" width="12.33203125" customWidth="1"/>
    <col min="21" max="21" width="9.33203125" customWidth="1"/>
  </cols>
  <sheetData>
    <row r="1" spans="1:23" ht="23.4" x14ac:dyDescent="0.3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128"/>
      <c r="N1" s="128"/>
      <c r="O1" s="61"/>
      <c r="P1" s="61"/>
      <c r="Q1" s="21"/>
      <c r="R1" s="19"/>
      <c r="S1" s="19"/>
      <c r="T1" s="19"/>
      <c r="U1" s="19"/>
      <c r="V1" s="19"/>
      <c r="W1" s="19"/>
    </row>
    <row r="2" spans="1:23" ht="24" thickBot="1" x14ac:dyDescent="0.5">
      <c r="A2" s="143" t="s">
        <v>226</v>
      </c>
      <c r="B2" s="87"/>
      <c r="C2" s="87"/>
      <c r="D2" s="87"/>
      <c r="E2" s="87"/>
      <c r="F2" s="87"/>
      <c r="G2" s="62" t="s">
        <v>26</v>
      </c>
      <c r="H2" s="22"/>
      <c r="I2" s="22"/>
      <c r="J2" s="23"/>
      <c r="K2" s="22"/>
      <c r="L2" s="22"/>
      <c r="M2" s="129"/>
      <c r="N2" s="129"/>
      <c r="O2" s="22"/>
      <c r="P2" s="24" t="s">
        <v>27</v>
      </c>
      <c r="Q2" s="24"/>
      <c r="R2" s="34"/>
      <c r="S2" s="34"/>
      <c r="T2" s="34"/>
      <c r="U2" s="34"/>
      <c r="V2" s="34"/>
      <c r="W2" s="34"/>
    </row>
    <row r="3" spans="1:23" ht="24" thickBot="1" x14ac:dyDescent="0.5">
      <c r="A3" s="88"/>
      <c r="B3" s="88"/>
      <c r="C3" s="88"/>
      <c r="D3" s="88"/>
      <c r="E3" s="88"/>
      <c r="F3" s="88"/>
      <c r="G3" s="88"/>
      <c r="H3" s="22"/>
      <c r="I3" s="22"/>
      <c r="J3" s="23"/>
      <c r="K3" s="22"/>
      <c r="L3" s="22" t="s">
        <v>28</v>
      </c>
      <c r="M3" s="129"/>
      <c r="N3" s="129"/>
      <c r="O3" s="22"/>
      <c r="P3" s="156" t="s">
        <v>29</v>
      </c>
      <c r="Q3" s="157"/>
      <c r="R3" s="154" t="s">
        <v>30</v>
      </c>
      <c r="S3" s="155"/>
      <c r="T3" s="154" t="s">
        <v>31</v>
      </c>
      <c r="U3" s="155"/>
      <c r="V3" s="154" t="s">
        <v>32</v>
      </c>
      <c r="W3" s="155"/>
    </row>
    <row r="4" spans="1:23" x14ac:dyDescent="0.3">
      <c r="A4" s="45" t="s">
        <v>33</v>
      </c>
      <c r="B4" s="69" t="s">
        <v>207</v>
      </c>
      <c r="C4" s="123" t="s">
        <v>34</v>
      </c>
      <c r="D4" s="46">
        <v>46388</v>
      </c>
      <c r="E4" s="26" t="s">
        <v>35</v>
      </c>
      <c r="F4" s="72"/>
      <c r="G4" s="124" t="s">
        <v>36</v>
      </c>
      <c r="H4" s="22" t="s">
        <v>211</v>
      </c>
      <c r="I4" s="22"/>
      <c r="J4" s="23"/>
      <c r="K4" s="26"/>
      <c r="L4" s="158" t="s">
        <v>212</v>
      </c>
      <c r="M4" s="158"/>
      <c r="N4" s="158"/>
      <c r="O4" s="26"/>
      <c r="P4" s="89"/>
      <c r="Q4" s="90"/>
      <c r="R4" s="91"/>
      <c r="S4" s="92"/>
      <c r="T4" s="91"/>
      <c r="U4" s="92"/>
      <c r="V4" s="91"/>
      <c r="W4" s="92"/>
    </row>
    <row r="5" spans="1:23" ht="23.25" customHeight="1" x14ac:dyDescent="0.45">
      <c r="A5" s="27" t="s">
        <v>38</v>
      </c>
      <c r="B5" s="59" t="s">
        <v>213</v>
      </c>
      <c r="C5" s="123" t="s">
        <v>39</v>
      </c>
      <c r="D5" s="60"/>
      <c r="E5" s="26" t="s">
        <v>40</v>
      </c>
      <c r="F5">
        <v>941479</v>
      </c>
      <c r="G5" s="125"/>
      <c r="H5" s="22"/>
      <c r="I5" s="22"/>
      <c r="J5" s="23"/>
      <c r="K5" s="26"/>
      <c r="L5" s="158"/>
      <c r="M5" s="158"/>
      <c r="N5" s="158"/>
      <c r="O5" s="26"/>
      <c r="P5" s="93" t="s">
        <v>42</v>
      </c>
      <c r="Q5" s="94">
        <f>I13</f>
        <v>0</v>
      </c>
      <c r="R5" s="95" t="s">
        <v>43</v>
      </c>
      <c r="S5" s="96">
        <f>I34</f>
        <v>0</v>
      </c>
      <c r="T5" s="95" t="s">
        <v>44</v>
      </c>
      <c r="U5" s="96">
        <f>I82</f>
        <v>0</v>
      </c>
      <c r="V5" s="95" t="s">
        <v>45</v>
      </c>
      <c r="W5" s="96">
        <f>I72</f>
        <v>0</v>
      </c>
    </row>
    <row r="6" spans="1:23" ht="23.25" customHeight="1" x14ac:dyDescent="0.45">
      <c r="A6" s="30" t="s">
        <v>46</v>
      </c>
      <c r="B6" s="59"/>
      <c r="C6" s="30" t="s">
        <v>47</v>
      </c>
      <c r="D6" s="71"/>
      <c r="E6" s="26" t="s">
        <v>48</v>
      </c>
      <c r="F6" s="59">
        <v>201</v>
      </c>
      <c r="G6" s="125"/>
      <c r="H6" s="22"/>
      <c r="I6" s="28"/>
      <c r="J6" s="29"/>
      <c r="K6" s="26"/>
      <c r="L6" s="158"/>
      <c r="M6" s="158"/>
      <c r="N6" s="158"/>
      <c r="O6" s="25"/>
      <c r="P6" s="93" t="s">
        <v>49</v>
      </c>
      <c r="Q6" s="94">
        <f>I26</f>
        <v>0</v>
      </c>
      <c r="R6" s="97" t="str">
        <f>A38</f>
        <v>Salarisadministratie</v>
      </c>
      <c r="S6" s="96">
        <f>I38</f>
        <v>0</v>
      </c>
      <c r="T6" s="97" t="s">
        <v>50</v>
      </c>
      <c r="U6" s="96">
        <f>I87</f>
        <v>0</v>
      </c>
      <c r="V6" s="97"/>
      <c r="W6" s="96"/>
    </row>
    <row r="7" spans="1:23" ht="23.25" customHeight="1" x14ac:dyDescent="0.45">
      <c r="A7" s="25" t="s">
        <v>51</v>
      </c>
      <c r="B7" s="59" t="s">
        <v>214</v>
      </c>
      <c r="C7" s="30" t="s">
        <v>52</v>
      </c>
      <c r="D7" s="59"/>
      <c r="E7" s="25"/>
      <c r="F7" s="119"/>
      <c r="G7" s="125"/>
      <c r="H7" s="22"/>
      <c r="I7" s="31"/>
      <c r="J7" s="32"/>
      <c r="K7" s="26"/>
      <c r="L7" s="158"/>
      <c r="M7" s="158"/>
      <c r="N7" s="158"/>
      <c r="O7" s="25"/>
      <c r="P7" s="93" t="s">
        <v>53</v>
      </c>
      <c r="Q7" s="94">
        <f>AVERAGE(S5:S11)</f>
        <v>0</v>
      </c>
      <c r="R7" s="97" t="str">
        <f>A47</f>
        <v>Loonheffingen en fonds</v>
      </c>
      <c r="S7" s="96">
        <f>I47</f>
        <v>0</v>
      </c>
      <c r="T7" s="97" t="s">
        <v>54</v>
      </c>
      <c r="U7" s="96">
        <f>I93</f>
        <v>0</v>
      </c>
      <c r="V7" s="97"/>
      <c r="W7" s="96"/>
    </row>
    <row r="8" spans="1:23" x14ac:dyDescent="0.3">
      <c r="A8" s="25"/>
      <c r="B8" s="59"/>
      <c r="C8" s="30" t="s">
        <v>55</v>
      </c>
      <c r="D8" s="59" t="s">
        <v>56</v>
      </c>
      <c r="E8" s="25"/>
      <c r="F8" s="71"/>
      <c r="G8" s="126"/>
      <c r="H8" s="71"/>
      <c r="I8" s="31"/>
      <c r="J8" s="32"/>
      <c r="K8" s="26"/>
      <c r="L8" s="158"/>
      <c r="M8" s="158"/>
      <c r="N8" s="158"/>
      <c r="O8" s="25"/>
      <c r="P8" s="93" t="s">
        <v>57</v>
      </c>
      <c r="Q8" s="94">
        <f>AVERAGE(U5:U11)</f>
        <v>0</v>
      </c>
      <c r="R8" s="97" t="str">
        <f>A50</f>
        <v>Instellingen</v>
      </c>
      <c r="S8" s="96">
        <f>I50</f>
        <v>0</v>
      </c>
      <c r="T8" s="97" t="s">
        <v>58</v>
      </c>
      <c r="U8" s="96">
        <f>I99</f>
        <v>0</v>
      </c>
      <c r="V8" s="97"/>
      <c r="W8" s="96"/>
    </row>
    <row r="9" spans="1:23" ht="15" thickBot="1" x14ac:dyDescent="0.35">
      <c r="A9" s="25" t="s">
        <v>59</v>
      </c>
      <c r="B9" s="59" t="s">
        <v>204</v>
      </c>
      <c r="C9" s="30" t="s">
        <v>60</v>
      </c>
      <c r="D9" s="59" t="s">
        <v>204</v>
      </c>
      <c r="E9" s="25"/>
      <c r="F9" s="71"/>
      <c r="G9" s="126"/>
      <c r="H9" s="71"/>
      <c r="I9" s="31"/>
      <c r="J9" s="32"/>
      <c r="K9" s="26"/>
      <c r="L9" s="158"/>
      <c r="M9" s="158"/>
      <c r="N9" s="158"/>
      <c r="O9" s="25"/>
      <c r="P9" s="98" t="s">
        <v>61</v>
      </c>
      <c r="Q9" s="99">
        <f>I109</f>
        <v>0</v>
      </c>
      <c r="R9" s="97" t="str">
        <f>A53</f>
        <v>Loonstroken en Jaaropgave</v>
      </c>
      <c r="S9" s="96">
        <f>I53</f>
        <v>0</v>
      </c>
      <c r="T9" s="97"/>
      <c r="U9" s="96"/>
      <c r="V9" s="97"/>
      <c r="W9" s="96"/>
    </row>
    <row r="10" spans="1:23" ht="15" thickBot="1" x14ac:dyDescent="0.35">
      <c r="A10" s="25"/>
      <c r="B10" s="59"/>
      <c r="C10" s="25"/>
      <c r="D10" s="59"/>
      <c r="E10" s="25"/>
      <c r="F10" s="71"/>
      <c r="G10" s="31"/>
      <c r="H10" s="31"/>
      <c r="I10" s="31"/>
      <c r="J10" s="32"/>
      <c r="K10" s="31"/>
      <c r="L10" s="31"/>
      <c r="M10" s="130"/>
      <c r="N10" s="130"/>
      <c r="O10" s="28"/>
      <c r="P10" s="98" t="s">
        <v>62</v>
      </c>
      <c r="Q10" s="99">
        <f>AVERAGE(Q5:Q9)</f>
        <v>0</v>
      </c>
      <c r="R10" s="97" t="str">
        <f>A57</f>
        <v>Import medewerkers</v>
      </c>
      <c r="S10" s="96">
        <f>I57</f>
        <v>0</v>
      </c>
      <c r="T10" s="97"/>
      <c r="U10" s="96"/>
      <c r="V10" s="97"/>
      <c r="W10" s="96"/>
    </row>
    <row r="11" spans="1:23" ht="15" thickBot="1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33"/>
      <c r="K11" s="19"/>
      <c r="L11" s="34"/>
      <c r="M11" s="131" t="s">
        <v>63</v>
      </c>
      <c r="N11" s="131"/>
      <c r="O11" s="42"/>
      <c r="P11" s="19"/>
      <c r="Q11" s="19"/>
      <c r="R11" s="83" t="str">
        <f>A64</f>
        <v>Diversen</v>
      </c>
      <c r="S11" s="84">
        <f>I64</f>
        <v>0</v>
      </c>
      <c r="T11" s="83"/>
      <c r="U11" s="84"/>
      <c r="V11" s="83"/>
      <c r="W11" s="84"/>
    </row>
    <row r="12" spans="1:23" ht="15" thickBot="1" x14ac:dyDescent="0.35">
      <c r="A12" s="34" t="s">
        <v>64</v>
      </c>
      <c r="B12" s="34"/>
      <c r="C12" s="34"/>
      <c r="D12" s="34"/>
      <c r="E12" s="34"/>
      <c r="F12" s="34"/>
      <c r="G12" s="34" t="s">
        <v>65</v>
      </c>
      <c r="H12" s="34" t="s">
        <v>66</v>
      </c>
      <c r="I12" s="34" t="s">
        <v>67</v>
      </c>
      <c r="J12" s="35" t="s">
        <v>68</v>
      </c>
      <c r="K12" s="34" t="s">
        <v>69</v>
      </c>
      <c r="L12" s="34" t="s">
        <v>70</v>
      </c>
      <c r="M12" s="132" t="s">
        <v>71</v>
      </c>
      <c r="N12" s="132" t="s">
        <v>72</v>
      </c>
      <c r="O12" s="34"/>
      <c r="P12" s="34"/>
      <c r="Q12" s="34"/>
      <c r="R12" s="34"/>
      <c r="S12" s="34"/>
      <c r="T12" s="34"/>
      <c r="U12" s="34"/>
      <c r="V12" s="34"/>
      <c r="W12" s="34"/>
    </row>
    <row r="13" spans="1:23" x14ac:dyDescent="0.3">
      <c r="A13" s="20" t="s">
        <v>73</v>
      </c>
      <c r="B13" s="20"/>
      <c r="C13" s="20"/>
      <c r="D13" s="20"/>
      <c r="E13" s="20"/>
      <c r="F13" s="20"/>
      <c r="G13" s="20"/>
      <c r="H13" s="36"/>
      <c r="I13" s="78">
        <f>(K13-J13)/K13*100%</f>
        <v>0</v>
      </c>
      <c r="J13" s="79">
        <f>SUM(J14:J25)</f>
        <v>10</v>
      </c>
      <c r="K13" s="80">
        <f>SUM(K14:K25)</f>
        <v>10</v>
      </c>
      <c r="L13" s="20"/>
      <c r="M13" s="36"/>
      <c r="N13" s="36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15" thickBot="1" x14ac:dyDescent="0.35">
      <c r="A14" s="149" t="s">
        <v>74</v>
      </c>
      <c r="B14" s="149"/>
      <c r="C14" s="149"/>
      <c r="D14" s="149"/>
      <c r="E14" s="149"/>
      <c r="F14" s="149"/>
      <c r="G14" s="86" t="s">
        <v>75</v>
      </c>
      <c r="H14" s="38"/>
      <c r="I14" s="101">
        <v>0</v>
      </c>
      <c r="J14" s="102">
        <f>K14-I14*K14</f>
        <v>1</v>
      </c>
      <c r="K14" s="102">
        <v>1</v>
      </c>
      <c r="O14" s="10"/>
      <c r="P14" s="3"/>
    </row>
    <row r="15" spans="1:23" ht="15" thickBot="1" x14ac:dyDescent="0.35">
      <c r="A15" s="149" t="s">
        <v>76</v>
      </c>
      <c r="B15" s="149"/>
      <c r="C15" s="149"/>
      <c r="D15" s="149"/>
      <c r="E15" s="149"/>
      <c r="F15" s="149"/>
      <c r="G15" s="86" t="s">
        <v>75</v>
      </c>
      <c r="H15" s="38"/>
      <c r="I15" s="101">
        <v>0</v>
      </c>
      <c r="J15" s="102">
        <f t="shared" ref="J15:J23" si="0">K15-I15*K15</f>
        <v>1</v>
      </c>
      <c r="K15" s="102">
        <v>1</v>
      </c>
      <c r="O15" s="10"/>
    </row>
    <row r="16" spans="1:23" ht="15" thickBot="1" x14ac:dyDescent="0.35">
      <c r="A16" s="149" t="s">
        <v>77</v>
      </c>
      <c r="B16" s="149"/>
      <c r="C16" s="149"/>
      <c r="D16" s="149"/>
      <c r="E16" s="149"/>
      <c r="F16" s="149"/>
      <c r="G16" s="86" t="s">
        <v>75</v>
      </c>
      <c r="H16" s="38"/>
      <c r="I16" s="101">
        <v>0</v>
      </c>
      <c r="J16" s="102">
        <f t="shared" si="0"/>
        <v>1</v>
      </c>
      <c r="K16" s="102">
        <v>1</v>
      </c>
      <c r="O16" s="10"/>
    </row>
    <row r="17" spans="1:23" ht="15" thickBot="1" x14ac:dyDescent="0.35">
      <c r="A17" s="159" t="s">
        <v>78</v>
      </c>
      <c r="B17" s="159"/>
      <c r="C17" s="159"/>
      <c r="D17" s="159"/>
      <c r="E17" s="159"/>
      <c r="F17" s="159"/>
      <c r="G17" s="86" t="s">
        <v>75</v>
      </c>
      <c r="H17" s="38"/>
      <c r="I17" s="101">
        <v>0</v>
      </c>
      <c r="J17" s="102">
        <f t="shared" si="0"/>
        <v>1</v>
      </c>
      <c r="K17" s="102">
        <v>1</v>
      </c>
      <c r="O17" s="10"/>
    </row>
    <row r="18" spans="1:23" ht="15" thickBot="1" x14ac:dyDescent="0.35">
      <c r="A18" s="149" t="s">
        <v>79</v>
      </c>
      <c r="B18" s="149"/>
      <c r="C18" s="149"/>
      <c r="D18" s="149"/>
      <c r="E18" s="149"/>
      <c r="F18" s="149"/>
      <c r="G18" s="86" t="s">
        <v>75</v>
      </c>
      <c r="H18" s="38"/>
      <c r="I18" s="101">
        <v>0</v>
      </c>
      <c r="J18" s="102">
        <f t="shared" si="0"/>
        <v>1</v>
      </c>
      <c r="K18" s="102">
        <v>1</v>
      </c>
      <c r="O18" s="10"/>
    </row>
    <row r="19" spans="1:23" ht="15" thickBot="1" x14ac:dyDescent="0.35">
      <c r="A19" s="149" t="s">
        <v>80</v>
      </c>
      <c r="B19" s="149"/>
      <c r="C19" s="149"/>
      <c r="D19" s="149"/>
      <c r="E19" s="149"/>
      <c r="F19" s="149"/>
      <c r="G19" s="86" t="s">
        <v>75</v>
      </c>
      <c r="H19" s="38"/>
      <c r="I19" s="101">
        <v>0</v>
      </c>
      <c r="J19" s="102">
        <f t="shared" si="0"/>
        <v>1</v>
      </c>
      <c r="K19" s="102">
        <v>1</v>
      </c>
      <c r="O19" s="10"/>
    </row>
    <row r="20" spans="1:23" ht="15" thickBot="1" x14ac:dyDescent="0.35">
      <c r="A20" s="149" t="s">
        <v>81</v>
      </c>
      <c r="B20" s="149"/>
      <c r="C20" s="149"/>
      <c r="D20" s="149"/>
      <c r="E20" s="149"/>
      <c r="F20" s="149"/>
      <c r="G20" s="86" t="s">
        <v>75</v>
      </c>
      <c r="H20" s="38"/>
      <c r="I20" s="101">
        <v>0</v>
      </c>
      <c r="J20" s="102">
        <f t="shared" si="0"/>
        <v>1</v>
      </c>
      <c r="K20" s="102">
        <v>1</v>
      </c>
      <c r="O20" s="10" t="s">
        <v>56</v>
      </c>
    </row>
    <row r="21" spans="1:23" ht="15" thickBot="1" x14ac:dyDescent="0.35">
      <c r="A21" s="149" t="s">
        <v>82</v>
      </c>
      <c r="B21" s="149"/>
      <c r="C21" s="149"/>
      <c r="D21" s="149"/>
      <c r="E21" s="149"/>
      <c r="F21" s="149"/>
      <c r="G21" s="86" t="s">
        <v>75</v>
      </c>
      <c r="H21" s="38"/>
      <c r="I21" s="101">
        <v>0</v>
      </c>
      <c r="J21" s="102">
        <v>1</v>
      </c>
      <c r="K21" s="102">
        <v>1</v>
      </c>
      <c r="O21" s="10" t="s">
        <v>56</v>
      </c>
    </row>
    <row r="22" spans="1:23" ht="15" thickBot="1" x14ac:dyDescent="0.35">
      <c r="A22" s="149" t="s">
        <v>83</v>
      </c>
      <c r="B22" s="149"/>
      <c r="C22" s="149"/>
      <c r="D22" s="149"/>
      <c r="E22" s="149"/>
      <c r="F22" s="149"/>
      <c r="G22" s="86" t="s">
        <v>75</v>
      </c>
      <c r="H22" s="38"/>
      <c r="I22" s="101">
        <v>0</v>
      </c>
      <c r="J22" s="102">
        <f t="shared" si="0"/>
        <v>1</v>
      </c>
      <c r="K22" s="102">
        <v>1</v>
      </c>
      <c r="O22" s="10"/>
    </row>
    <row r="23" spans="1:23" ht="15" thickBot="1" x14ac:dyDescent="0.35">
      <c r="A23" s="153" t="s">
        <v>84</v>
      </c>
      <c r="B23" s="153"/>
      <c r="C23" s="153"/>
      <c r="D23" s="153"/>
      <c r="E23" s="153"/>
      <c r="F23" s="153"/>
      <c r="G23" s="86" t="s">
        <v>75</v>
      </c>
      <c r="H23" s="38"/>
      <c r="I23" s="101">
        <v>0</v>
      </c>
      <c r="J23" s="102">
        <f t="shared" si="0"/>
        <v>1</v>
      </c>
      <c r="K23" s="102">
        <v>1</v>
      </c>
      <c r="O23" s="10"/>
    </row>
    <row r="24" spans="1:23" x14ac:dyDescent="0.3">
      <c r="A24" s="138"/>
      <c r="B24" s="138"/>
      <c r="C24" s="138"/>
      <c r="D24" s="138"/>
      <c r="E24" s="138"/>
      <c r="F24" s="138"/>
      <c r="G24" s="86"/>
      <c r="H24" s="38"/>
      <c r="I24" s="139"/>
      <c r="J24" s="102"/>
      <c r="K24" s="102"/>
      <c r="O24" s="10"/>
    </row>
    <row r="25" spans="1:23" ht="15" thickBot="1" x14ac:dyDescent="0.35">
      <c r="A25" s="100"/>
      <c r="B25" s="100"/>
      <c r="C25" s="100"/>
      <c r="D25" s="100"/>
      <c r="E25" s="100"/>
      <c r="F25" s="100"/>
      <c r="H25" s="38"/>
      <c r="I25" s="10"/>
      <c r="J25" s="39"/>
      <c r="K25" s="63"/>
      <c r="L25" s="39"/>
    </row>
    <row r="26" spans="1:23" x14ac:dyDescent="0.3">
      <c r="A26" s="20" t="s">
        <v>85</v>
      </c>
      <c r="B26" s="77"/>
      <c r="C26" s="77"/>
      <c r="D26" s="77"/>
      <c r="E26" s="77"/>
      <c r="F26" s="77"/>
      <c r="G26" s="20"/>
      <c r="H26" s="36"/>
      <c r="I26" s="78">
        <f>(K26-J26)/K26*100%</f>
        <v>0</v>
      </c>
      <c r="J26" s="79">
        <f>SUM(J27:J32)</f>
        <v>5</v>
      </c>
      <c r="K26" s="80">
        <f>SUM(K27:K32)</f>
        <v>5</v>
      </c>
      <c r="L26" s="37"/>
      <c r="M26" s="36"/>
      <c r="N26" s="36"/>
      <c r="O26" s="20"/>
      <c r="P26" s="20"/>
      <c r="Q26" s="20"/>
      <c r="R26" s="20"/>
      <c r="S26" s="20"/>
      <c r="T26" s="20"/>
      <c r="U26" s="20"/>
      <c r="V26" s="20"/>
      <c r="W26" s="20"/>
    </row>
    <row r="27" spans="1:23" ht="15" thickBot="1" x14ac:dyDescent="0.35">
      <c r="A27" s="149" t="s">
        <v>86</v>
      </c>
      <c r="B27" s="149"/>
      <c r="C27" s="149"/>
      <c r="D27" s="149"/>
      <c r="E27" s="149"/>
      <c r="F27" s="149"/>
      <c r="G27" s="86" t="s">
        <v>87</v>
      </c>
      <c r="H27" s="44"/>
      <c r="I27" s="101">
        <v>0</v>
      </c>
      <c r="J27" s="102">
        <f>K27-I27*K27</f>
        <v>1</v>
      </c>
      <c r="K27" s="102">
        <v>1</v>
      </c>
      <c r="L27" s="41"/>
      <c r="M27" s="44"/>
      <c r="N27" s="44" t="s">
        <v>88</v>
      </c>
      <c r="O27" s="11"/>
      <c r="Q27" s="11"/>
      <c r="R27" s="11"/>
      <c r="S27" s="11"/>
      <c r="T27" s="11"/>
      <c r="U27" s="11"/>
      <c r="V27" s="11"/>
      <c r="W27" s="11"/>
    </row>
    <row r="28" spans="1:23" ht="15" thickBot="1" x14ac:dyDescent="0.35">
      <c r="A28" s="149" t="s">
        <v>89</v>
      </c>
      <c r="B28" s="149"/>
      <c r="C28" s="149"/>
      <c r="D28" s="149"/>
      <c r="E28" s="149"/>
      <c r="F28" s="149"/>
      <c r="G28" s="86" t="s">
        <v>87</v>
      </c>
      <c r="H28" s="44"/>
      <c r="I28" s="101">
        <v>0</v>
      </c>
      <c r="J28" s="102">
        <f t="shared" ref="J28:J31" si="1">K28-I28*K28</f>
        <v>1</v>
      </c>
      <c r="K28" s="102">
        <v>1</v>
      </c>
      <c r="L28" s="41"/>
      <c r="M28" s="44"/>
      <c r="N28" s="137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5" thickBot="1" x14ac:dyDescent="0.35">
      <c r="A29" s="149" t="s">
        <v>90</v>
      </c>
      <c r="B29" s="149"/>
      <c r="C29" s="149"/>
      <c r="D29" s="149"/>
      <c r="E29" s="149"/>
      <c r="F29" s="149"/>
      <c r="G29" s="86" t="s">
        <v>87</v>
      </c>
      <c r="H29" s="44"/>
      <c r="I29" s="101">
        <v>0</v>
      </c>
      <c r="J29" s="102">
        <f t="shared" si="1"/>
        <v>1</v>
      </c>
      <c r="K29" s="102">
        <v>1</v>
      </c>
      <c r="L29" s="41"/>
      <c r="M29" s="44"/>
      <c r="N29" s="44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" thickBot="1" x14ac:dyDescent="0.35">
      <c r="A30" s="149" t="s">
        <v>91</v>
      </c>
      <c r="B30" s="149"/>
      <c r="C30" s="149"/>
      <c r="D30" s="149"/>
      <c r="E30" s="149"/>
      <c r="F30" s="149"/>
      <c r="G30" s="86" t="s">
        <v>87</v>
      </c>
      <c r="H30" s="44"/>
      <c r="I30" s="101">
        <v>0</v>
      </c>
      <c r="J30" s="102">
        <f t="shared" si="1"/>
        <v>1</v>
      </c>
      <c r="K30" s="102">
        <v>1</v>
      </c>
      <c r="L30" s="39"/>
      <c r="M30" s="44"/>
      <c r="N30" s="44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5" thickBot="1" x14ac:dyDescent="0.35">
      <c r="A31" s="149" t="s">
        <v>92</v>
      </c>
      <c r="B31" s="149"/>
      <c r="C31" s="149"/>
      <c r="D31" s="149"/>
      <c r="E31" s="149"/>
      <c r="F31" s="149"/>
      <c r="G31" s="86" t="s">
        <v>75</v>
      </c>
      <c r="H31" s="44"/>
      <c r="I31" s="101">
        <v>0</v>
      </c>
      <c r="J31" s="102">
        <f t="shared" si="1"/>
        <v>1</v>
      </c>
      <c r="K31" s="102">
        <v>1</v>
      </c>
      <c r="L31" s="39"/>
      <c r="M31" s="44"/>
      <c r="N31" s="44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5" thickBot="1" x14ac:dyDescent="0.35">
      <c r="A32" s="81"/>
      <c r="B32" s="81"/>
      <c r="C32" s="81"/>
      <c r="D32" s="81"/>
      <c r="E32" s="81"/>
      <c r="F32" s="81"/>
      <c r="G32" s="11"/>
      <c r="H32" s="44"/>
      <c r="I32" s="44"/>
      <c r="J32" s="44"/>
      <c r="K32" s="44"/>
      <c r="L32" s="44"/>
      <c r="M32" s="44"/>
      <c r="N32" s="44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5" thickBot="1" x14ac:dyDescent="0.35">
      <c r="A33" s="20" t="s">
        <v>93</v>
      </c>
      <c r="B33" s="77"/>
      <c r="C33" s="77"/>
      <c r="D33" s="77"/>
      <c r="E33" s="77"/>
      <c r="F33" s="77"/>
      <c r="G33" s="20"/>
      <c r="H33" s="36"/>
      <c r="I33" s="78"/>
      <c r="J33" s="111"/>
      <c r="K33" s="111"/>
      <c r="L33" s="37"/>
      <c r="M33" s="36"/>
      <c r="N33" s="36"/>
      <c r="O33" s="20"/>
      <c r="P33" s="20"/>
      <c r="Q33" s="20"/>
      <c r="R33" s="20"/>
      <c r="S33" s="20"/>
      <c r="T33" s="20"/>
      <c r="U33" s="20"/>
      <c r="V33" s="20"/>
      <c r="W33" s="20"/>
    </row>
    <row r="34" spans="1:23" x14ac:dyDescent="0.3">
      <c r="A34" s="103" t="s">
        <v>94</v>
      </c>
      <c r="B34" s="106"/>
      <c r="C34" s="106"/>
      <c r="D34" s="106"/>
      <c r="E34" s="106"/>
      <c r="F34" s="106"/>
      <c r="G34" s="106"/>
      <c r="H34" s="106"/>
      <c r="I34" s="104">
        <f>(K34-J34)/K34*100%</f>
        <v>0</v>
      </c>
      <c r="J34" s="105">
        <f>(J35+J36)</f>
        <v>1</v>
      </c>
      <c r="K34" s="105">
        <f>(K35+K36)</f>
        <v>1</v>
      </c>
      <c r="L34" s="106"/>
      <c r="M34" s="133"/>
      <c r="N34" s="133"/>
      <c r="O34" s="106"/>
      <c r="P34" s="106"/>
      <c r="Q34" s="106"/>
      <c r="R34" s="106"/>
      <c r="S34" s="106"/>
      <c r="T34" s="106"/>
      <c r="U34" s="106"/>
      <c r="V34" s="106"/>
      <c r="W34" s="106"/>
    </row>
    <row r="35" spans="1:23" x14ac:dyDescent="0.3">
      <c r="A35" s="106" t="s">
        <v>95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33"/>
      <c r="N35" s="133"/>
      <c r="O35" s="106"/>
      <c r="P35" s="106"/>
      <c r="Q35" s="106"/>
      <c r="R35" s="106"/>
      <c r="S35" s="106"/>
      <c r="T35" s="106"/>
      <c r="U35" s="106"/>
      <c r="V35" s="106"/>
      <c r="W35" s="106"/>
    </row>
    <row r="36" spans="1:23" ht="15" thickBot="1" x14ac:dyDescent="0.35">
      <c r="A36" s="149" t="s">
        <v>96</v>
      </c>
      <c r="B36" s="149"/>
      <c r="C36" s="149"/>
      <c r="D36" s="149"/>
      <c r="E36" s="149"/>
      <c r="F36" s="149"/>
      <c r="G36" s="86" t="s">
        <v>75</v>
      </c>
      <c r="H36" s="44"/>
      <c r="I36" s="82">
        <v>0</v>
      </c>
      <c r="J36" s="102">
        <f>K36-I36*K36</f>
        <v>1</v>
      </c>
      <c r="K36" s="102">
        <v>1</v>
      </c>
      <c r="L36" s="41"/>
      <c r="M36" s="44"/>
      <c r="N36" s="44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15" thickBot="1" x14ac:dyDescent="0.35">
      <c r="A37" s="100"/>
      <c r="B37" s="100"/>
      <c r="C37" s="100"/>
      <c r="D37" s="100"/>
      <c r="E37" s="100"/>
      <c r="F37" s="100"/>
      <c r="G37" s="11"/>
      <c r="H37" s="44"/>
      <c r="I37" s="44"/>
      <c r="J37" s="44"/>
      <c r="K37" s="65"/>
      <c r="L37" s="41"/>
      <c r="M37" s="44"/>
      <c r="N37" s="44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3">
      <c r="A38" s="103" t="s">
        <v>97</v>
      </c>
      <c r="B38" s="103"/>
      <c r="C38" s="103"/>
      <c r="D38" s="103"/>
      <c r="E38" s="103"/>
      <c r="F38" s="103"/>
      <c r="G38" s="50"/>
      <c r="H38" s="51"/>
      <c r="I38" s="78">
        <f>(K38-J38)/K38*100%</f>
        <v>0</v>
      </c>
      <c r="J38" s="105">
        <f>SUM(J39:J46)</f>
        <v>7</v>
      </c>
      <c r="K38" s="105">
        <f>SUM(K39:K46)</f>
        <v>7</v>
      </c>
      <c r="L38" s="103"/>
      <c r="M38" s="134"/>
      <c r="N38" s="51"/>
      <c r="O38" s="51"/>
      <c r="P38" s="103"/>
      <c r="Q38" s="103"/>
      <c r="R38" s="103"/>
      <c r="S38" s="103"/>
      <c r="T38" s="103"/>
      <c r="U38" s="103"/>
      <c r="V38" s="103"/>
      <c r="W38" s="103"/>
    </row>
    <row r="39" spans="1:23" ht="15" thickBot="1" x14ac:dyDescent="0.35">
      <c r="A39" s="149" t="s">
        <v>98</v>
      </c>
      <c r="B39" s="149"/>
      <c r="C39" s="149"/>
      <c r="D39" s="149"/>
      <c r="E39" s="149"/>
      <c r="F39" s="149"/>
      <c r="G39" s="86" t="s">
        <v>75</v>
      </c>
      <c r="H39" s="44"/>
      <c r="I39" s="82">
        <v>0</v>
      </c>
      <c r="J39" s="102">
        <f>K39-I39*K39</f>
        <v>1</v>
      </c>
      <c r="K39" s="102">
        <v>1</v>
      </c>
      <c r="L39" s="41"/>
      <c r="M39" s="44"/>
      <c r="N39" s="44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15" thickBot="1" x14ac:dyDescent="0.35">
      <c r="A40" s="149" t="s">
        <v>99</v>
      </c>
      <c r="B40" s="149"/>
      <c r="C40" s="149"/>
      <c r="D40" s="149"/>
      <c r="E40" s="149"/>
      <c r="F40" s="149"/>
      <c r="G40" s="86" t="s">
        <v>75</v>
      </c>
      <c r="H40" s="44"/>
      <c r="I40" s="82">
        <v>0</v>
      </c>
      <c r="J40" s="102">
        <f t="shared" ref="J40:J44" si="2">K40-I40*K40</f>
        <v>1</v>
      </c>
      <c r="K40" s="102">
        <v>1</v>
      </c>
      <c r="L40" s="41"/>
      <c r="M40" s="44"/>
      <c r="N40" s="44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15" thickBot="1" x14ac:dyDescent="0.35">
      <c r="A41" s="149" t="s">
        <v>100</v>
      </c>
      <c r="B41" s="149"/>
      <c r="C41" s="149"/>
      <c r="D41" s="149"/>
      <c r="E41" s="149"/>
      <c r="F41" s="149"/>
      <c r="G41" s="86" t="s">
        <v>75</v>
      </c>
      <c r="H41" s="44"/>
      <c r="I41" s="82">
        <v>0</v>
      </c>
      <c r="J41" s="102">
        <f t="shared" si="2"/>
        <v>1</v>
      </c>
      <c r="K41" s="102">
        <v>1</v>
      </c>
      <c r="L41" s="41"/>
      <c r="M41" s="44"/>
      <c r="N41" s="44"/>
      <c r="O41" s="11"/>
      <c r="P41" s="11"/>
      <c r="Q41" s="11"/>
      <c r="R41" s="11"/>
      <c r="S41" s="11"/>
      <c r="T41" s="11"/>
      <c r="U41" s="11"/>
      <c r="V41" s="11"/>
      <c r="W41" s="11"/>
    </row>
    <row r="42" spans="1:23" ht="15" thickBot="1" x14ac:dyDescent="0.35">
      <c r="A42" s="149" t="s">
        <v>101</v>
      </c>
      <c r="B42" s="149"/>
      <c r="C42" s="149"/>
      <c r="D42" s="149"/>
      <c r="E42" s="149"/>
      <c r="F42" s="149"/>
      <c r="G42" s="86" t="s">
        <v>75</v>
      </c>
      <c r="H42" s="44"/>
      <c r="I42" s="82">
        <v>0</v>
      </c>
      <c r="J42" s="102">
        <f t="shared" si="2"/>
        <v>1</v>
      </c>
      <c r="K42" s="102">
        <v>1</v>
      </c>
      <c r="L42" s="41"/>
      <c r="M42" s="44"/>
      <c r="N42" s="137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5" thickBot="1" x14ac:dyDescent="0.35">
      <c r="A43" s="149" t="s">
        <v>102</v>
      </c>
      <c r="B43" s="149"/>
      <c r="C43" s="149"/>
      <c r="D43" s="149"/>
      <c r="E43" s="149"/>
      <c r="F43" s="149"/>
      <c r="G43" s="86" t="s">
        <v>75</v>
      </c>
      <c r="H43" s="44"/>
      <c r="I43" s="82">
        <v>0</v>
      </c>
      <c r="J43" s="102">
        <f>K43-I43*K43</f>
        <v>1</v>
      </c>
      <c r="K43" s="102">
        <v>1</v>
      </c>
      <c r="L43" s="41"/>
      <c r="M43" s="44"/>
      <c r="N43" s="44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15" thickBot="1" x14ac:dyDescent="0.35">
      <c r="A44" s="149" t="s">
        <v>103</v>
      </c>
      <c r="B44" s="149"/>
      <c r="C44" s="149"/>
      <c r="D44" s="149"/>
      <c r="E44" s="149"/>
      <c r="F44" s="149"/>
      <c r="G44" s="86" t="s">
        <v>75</v>
      </c>
      <c r="H44" s="44"/>
      <c r="I44" s="82">
        <v>0</v>
      </c>
      <c r="J44" s="102">
        <f t="shared" si="2"/>
        <v>1</v>
      </c>
      <c r="K44" s="102">
        <v>1</v>
      </c>
      <c r="L44" s="41"/>
      <c r="M44" s="44"/>
      <c r="N44" s="44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15" thickBot="1" x14ac:dyDescent="0.35">
      <c r="A45" s="149" t="s">
        <v>104</v>
      </c>
      <c r="B45" s="149"/>
      <c r="C45" s="149"/>
      <c r="D45" s="149"/>
      <c r="E45" s="149"/>
      <c r="F45" s="149"/>
      <c r="G45" s="86" t="s">
        <v>75</v>
      </c>
      <c r="H45" s="44"/>
      <c r="I45" s="82">
        <v>0</v>
      </c>
      <c r="J45" s="102">
        <v>1</v>
      </c>
      <c r="K45" s="102">
        <v>1</v>
      </c>
      <c r="L45" s="41"/>
      <c r="M45" s="44"/>
      <c r="N45" s="44"/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5" thickBot="1" x14ac:dyDescent="0.35">
      <c r="A46" s="100"/>
      <c r="B46" s="100"/>
      <c r="C46" s="100"/>
      <c r="D46" s="100"/>
      <c r="E46" s="100"/>
      <c r="F46" s="100"/>
      <c r="G46" s="86"/>
      <c r="H46" s="44"/>
      <c r="I46" s="141"/>
      <c r="J46" s="142"/>
      <c r="K46" s="142"/>
      <c r="L46" s="41"/>
      <c r="M46" s="44"/>
      <c r="N46" s="44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3">
      <c r="A47" s="103" t="s">
        <v>105</v>
      </c>
      <c r="B47" s="103"/>
      <c r="C47" s="103"/>
      <c r="D47" s="103"/>
      <c r="E47" s="103"/>
      <c r="F47" s="103"/>
      <c r="G47" s="50"/>
      <c r="H47" s="51"/>
      <c r="I47" s="104">
        <f>(K47-J47)/K47*100%</f>
        <v>0</v>
      </c>
      <c r="J47" s="105">
        <f>SUM(J48:J49)</f>
        <v>1</v>
      </c>
      <c r="K47" s="105">
        <f>SUM(K48:K49)</f>
        <v>1</v>
      </c>
      <c r="L47" s="103"/>
      <c r="M47" s="134"/>
      <c r="N47" s="51"/>
      <c r="O47" s="51"/>
      <c r="P47" s="103"/>
      <c r="Q47" s="103"/>
      <c r="R47" s="103"/>
      <c r="S47" s="103"/>
      <c r="T47" s="103"/>
      <c r="U47" s="103"/>
      <c r="V47" s="103"/>
      <c r="W47" s="103"/>
    </row>
    <row r="48" spans="1:23" ht="15" thickBot="1" x14ac:dyDescent="0.35">
      <c r="A48" s="149" t="s">
        <v>106</v>
      </c>
      <c r="B48" s="149"/>
      <c r="C48" s="149"/>
      <c r="D48" s="149"/>
      <c r="E48" s="149"/>
      <c r="F48" s="149"/>
      <c r="G48" s="86" t="s">
        <v>75</v>
      </c>
      <c r="H48" s="100"/>
      <c r="I48" s="82">
        <v>0</v>
      </c>
      <c r="J48" s="102">
        <f>K48-I48*K48</f>
        <v>1</v>
      </c>
      <c r="K48" s="102">
        <v>1</v>
      </c>
      <c r="L48" s="100"/>
      <c r="M48" s="135"/>
      <c r="N48" s="135"/>
      <c r="O48" s="100"/>
      <c r="P48" s="100"/>
      <c r="Q48" s="100"/>
      <c r="R48" s="100"/>
      <c r="S48" s="100"/>
      <c r="T48" s="100"/>
      <c r="U48" s="100"/>
      <c r="V48" s="100"/>
      <c r="W48" s="100"/>
    </row>
    <row r="49" spans="1:23" ht="15" thickBot="1" x14ac:dyDescent="0.35">
      <c r="A49" s="100"/>
      <c r="B49" s="100"/>
      <c r="C49" s="100"/>
      <c r="D49" s="100"/>
      <c r="E49" s="100"/>
      <c r="F49" s="100"/>
      <c r="G49" s="100"/>
      <c r="H49" s="100"/>
      <c r="I49" s="66"/>
      <c r="J49" s="67"/>
      <c r="K49" s="68"/>
      <c r="L49" s="100"/>
      <c r="M49" s="135"/>
      <c r="N49" s="135"/>
      <c r="O49" s="100"/>
      <c r="P49" s="100"/>
      <c r="Q49" s="100"/>
      <c r="R49" s="100"/>
      <c r="S49" s="100"/>
      <c r="T49" s="100"/>
      <c r="U49" s="100"/>
      <c r="V49" s="100"/>
      <c r="W49" s="100"/>
    </row>
    <row r="50" spans="1:23" x14ac:dyDescent="0.3">
      <c r="A50" s="103" t="s">
        <v>107</v>
      </c>
      <c r="B50" s="103"/>
      <c r="C50" s="103"/>
      <c r="D50" s="103"/>
      <c r="E50" s="103"/>
      <c r="F50" s="103"/>
      <c r="G50" s="50"/>
      <c r="H50" s="51"/>
      <c r="I50" s="104">
        <f>(K50-J50)/K50*100%</f>
        <v>0</v>
      </c>
      <c r="J50" s="105">
        <f>SUM(J51:J52)</f>
        <v>1</v>
      </c>
      <c r="K50" s="105">
        <f>SUM(K51:K52)</f>
        <v>1</v>
      </c>
      <c r="L50" s="103"/>
      <c r="M50" s="134"/>
      <c r="N50" s="51"/>
      <c r="O50" s="51"/>
      <c r="P50" s="103"/>
      <c r="Q50" s="103"/>
      <c r="R50" s="103"/>
      <c r="S50" s="103"/>
      <c r="T50" s="103"/>
      <c r="U50" s="103"/>
      <c r="V50" s="103"/>
      <c r="W50" s="103"/>
    </row>
    <row r="51" spans="1:23" ht="15" thickBot="1" x14ac:dyDescent="0.35">
      <c r="A51" s="149" t="s">
        <v>108</v>
      </c>
      <c r="B51" s="149"/>
      <c r="C51" s="149"/>
      <c r="D51" s="149"/>
      <c r="E51" s="149"/>
      <c r="F51" s="149"/>
      <c r="G51" s="86" t="s">
        <v>75</v>
      </c>
      <c r="H51" s="44"/>
      <c r="I51" s="82">
        <v>0</v>
      </c>
      <c r="J51" s="102">
        <f>K51-I51*K51</f>
        <v>1</v>
      </c>
      <c r="K51" s="102">
        <v>1</v>
      </c>
      <c r="L51" s="41"/>
      <c r="M51" s="44"/>
      <c r="N51" s="44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15" thickBot="1" x14ac:dyDescent="0.35">
      <c r="A52" s="100"/>
      <c r="B52" s="100"/>
      <c r="C52" s="100"/>
      <c r="D52" s="100"/>
      <c r="E52" s="100"/>
      <c r="F52" s="100"/>
      <c r="G52" s="11"/>
      <c r="H52" s="44"/>
      <c r="I52" s="66"/>
      <c r="J52" s="67"/>
      <c r="K52" s="68"/>
      <c r="L52" s="41"/>
      <c r="M52" s="44"/>
      <c r="N52" s="44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3">
      <c r="A53" s="103" t="s">
        <v>109</v>
      </c>
      <c r="B53" s="103"/>
      <c r="C53" s="103"/>
      <c r="D53" s="103"/>
      <c r="E53" s="103"/>
      <c r="F53" s="103"/>
      <c r="G53" s="50"/>
      <c r="H53" s="51"/>
      <c r="I53" s="104">
        <f>(K53-J53)/K53*100%</f>
        <v>0</v>
      </c>
      <c r="J53" s="105">
        <f>SUM(J54:J56)</f>
        <v>2</v>
      </c>
      <c r="K53" s="105">
        <f>SUM(K54:K56)</f>
        <v>2</v>
      </c>
      <c r="L53" s="103"/>
      <c r="M53" s="134"/>
      <c r="N53" s="51"/>
      <c r="O53" s="51"/>
      <c r="P53" s="103"/>
      <c r="Q53" s="103"/>
      <c r="R53" s="103"/>
      <c r="S53" s="103"/>
      <c r="T53" s="103"/>
      <c r="U53" s="103"/>
      <c r="V53" s="103"/>
      <c r="W53" s="103"/>
    </row>
    <row r="54" spans="1:23" ht="15" thickBot="1" x14ac:dyDescent="0.35">
      <c r="A54" s="149" t="s">
        <v>110</v>
      </c>
      <c r="B54" s="149"/>
      <c r="C54" s="149"/>
      <c r="D54" s="149"/>
      <c r="E54" s="149"/>
      <c r="F54" s="149"/>
      <c r="G54" s="86" t="s">
        <v>75</v>
      </c>
      <c r="H54" s="100"/>
      <c r="I54" s="82">
        <v>0</v>
      </c>
      <c r="J54" s="102">
        <f>K54-I54*K54</f>
        <v>1</v>
      </c>
      <c r="K54" s="102">
        <v>1</v>
      </c>
      <c r="L54" s="41"/>
      <c r="M54" s="44"/>
      <c r="N54" s="44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5" thickBot="1" x14ac:dyDescent="0.35">
      <c r="A55" s="149" t="s">
        <v>111</v>
      </c>
      <c r="B55" s="149"/>
      <c r="C55" s="149"/>
      <c r="D55" s="149"/>
      <c r="E55" s="149"/>
      <c r="F55" s="149"/>
      <c r="G55" s="86" t="s">
        <v>75</v>
      </c>
      <c r="H55" s="100"/>
      <c r="I55" s="82">
        <v>0</v>
      </c>
      <c r="J55" s="102">
        <f>K55-I55*K55</f>
        <v>1</v>
      </c>
      <c r="K55" s="102">
        <v>1</v>
      </c>
      <c r="L55" s="41"/>
      <c r="M55" s="44"/>
      <c r="N55" s="44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5" thickBot="1" x14ac:dyDescent="0.35">
      <c r="A56" s="100"/>
      <c r="B56" s="100"/>
      <c r="C56" s="100"/>
      <c r="D56" s="100"/>
      <c r="E56" s="100"/>
      <c r="F56" s="100"/>
      <c r="G56" s="100"/>
      <c r="H56" s="100"/>
      <c r="I56" s="66"/>
      <c r="J56" s="67"/>
      <c r="K56" s="68"/>
      <c r="L56" s="41"/>
      <c r="M56" s="44"/>
      <c r="N56" s="44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3">
      <c r="A57" s="103" t="s">
        <v>112</v>
      </c>
      <c r="B57" s="103"/>
      <c r="C57" s="103"/>
      <c r="D57" s="103"/>
      <c r="E57" s="103"/>
      <c r="F57" s="103"/>
      <c r="G57" s="50"/>
      <c r="H57" s="51"/>
      <c r="I57" s="104">
        <f>(K57-J57)/K57*100%</f>
        <v>0</v>
      </c>
      <c r="J57" s="105">
        <f>SUM(J58:J63)</f>
        <v>5</v>
      </c>
      <c r="K57" s="105">
        <f>SUM(K58:K63)</f>
        <v>5</v>
      </c>
      <c r="L57" s="103"/>
      <c r="M57" s="134"/>
      <c r="N57" s="51"/>
      <c r="O57" s="51"/>
      <c r="P57" s="103"/>
      <c r="Q57" s="103"/>
      <c r="R57" s="103"/>
      <c r="S57" s="103"/>
      <c r="T57" s="103"/>
      <c r="U57" s="103"/>
      <c r="V57" s="103"/>
      <c r="W57" s="103"/>
    </row>
    <row r="58" spans="1:23" ht="15" thickBot="1" x14ac:dyDescent="0.35">
      <c r="A58" s="149" t="s">
        <v>113</v>
      </c>
      <c r="B58" s="149"/>
      <c r="C58" s="149"/>
      <c r="D58" s="149"/>
      <c r="E58" s="149"/>
      <c r="F58" s="149"/>
      <c r="G58" s="86" t="s">
        <v>75</v>
      </c>
      <c r="H58" s="100"/>
      <c r="I58" s="82">
        <v>0</v>
      </c>
      <c r="J58" s="102">
        <f>K58-I58*K58</f>
        <v>1</v>
      </c>
      <c r="K58" s="102">
        <v>1</v>
      </c>
      <c r="L58" s="100"/>
      <c r="M58" s="135"/>
      <c r="N58" s="135"/>
      <c r="O58" s="100"/>
      <c r="P58" s="100"/>
      <c r="Q58" s="100"/>
      <c r="R58" s="100"/>
      <c r="S58" s="100"/>
      <c r="T58" s="100"/>
      <c r="U58" s="100"/>
      <c r="V58" s="100"/>
      <c r="W58" s="100"/>
    </row>
    <row r="59" spans="1:23" ht="15" thickBot="1" x14ac:dyDescent="0.35">
      <c r="A59" s="149" t="s">
        <v>114</v>
      </c>
      <c r="B59" s="149"/>
      <c r="C59" s="149"/>
      <c r="D59" s="149"/>
      <c r="E59" s="149"/>
      <c r="F59" s="149"/>
      <c r="G59" s="86" t="s">
        <v>75</v>
      </c>
      <c r="H59" s="81"/>
      <c r="I59" s="82">
        <v>0</v>
      </c>
      <c r="J59" s="102">
        <f t="shared" ref="J59:J60" si="3">K59-I59*K59</f>
        <v>1</v>
      </c>
      <c r="K59" s="102">
        <v>1</v>
      </c>
      <c r="L59" s="81"/>
      <c r="M59" s="136"/>
      <c r="N59" s="136"/>
      <c r="O59" s="81"/>
      <c r="P59" s="81"/>
      <c r="Q59" s="81"/>
      <c r="R59" s="81"/>
      <c r="S59" s="81"/>
      <c r="T59" s="81"/>
      <c r="U59" s="81"/>
      <c r="V59" s="81"/>
      <c r="W59" s="81"/>
    </row>
    <row r="60" spans="1:23" ht="15" thickBot="1" x14ac:dyDescent="0.35">
      <c r="A60" s="149" t="s">
        <v>115</v>
      </c>
      <c r="B60" s="149"/>
      <c r="C60" s="149"/>
      <c r="D60" s="149"/>
      <c r="E60" s="149"/>
      <c r="F60" s="149"/>
      <c r="G60" s="86" t="s">
        <v>75</v>
      </c>
      <c r="H60" s="100"/>
      <c r="I60" s="82">
        <v>0</v>
      </c>
      <c r="J60" s="102">
        <f t="shared" si="3"/>
        <v>1</v>
      </c>
      <c r="K60" s="102">
        <v>1</v>
      </c>
      <c r="L60" s="100"/>
      <c r="M60" s="135"/>
      <c r="N60" s="135"/>
      <c r="O60" s="100"/>
      <c r="P60" s="100"/>
      <c r="Q60" s="100"/>
      <c r="R60" s="100"/>
      <c r="S60" s="100"/>
      <c r="T60" s="100"/>
      <c r="U60" s="100"/>
      <c r="V60" s="100"/>
      <c r="W60" s="100"/>
    </row>
    <row r="61" spans="1:23" ht="15" thickBot="1" x14ac:dyDescent="0.35">
      <c r="A61" s="149" t="s">
        <v>116</v>
      </c>
      <c r="B61" s="149"/>
      <c r="C61" s="149"/>
      <c r="D61" s="149"/>
      <c r="E61" s="149"/>
      <c r="F61" s="149"/>
      <c r="G61" s="86" t="s">
        <v>75</v>
      </c>
      <c r="H61" s="100"/>
      <c r="I61" s="82">
        <v>0</v>
      </c>
      <c r="J61" s="102">
        <f>K61-I61*K61</f>
        <v>1</v>
      </c>
      <c r="K61" s="102">
        <v>1</v>
      </c>
      <c r="L61" s="100"/>
      <c r="M61" s="135"/>
      <c r="N61" s="135"/>
      <c r="O61" s="100"/>
      <c r="P61" s="100"/>
      <c r="Q61" s="100"/>
      <c r="R61" s="100"/>
      <c r="S61" s="100"/>
      <c r="T61" s="100"/>
      <c r="U61" s="100"/>
      <c r="V61" s="100"/>
      <c r="W61" s="100"/>
    </row>
    <row r="62" spans="1:23" ht="15" thickBot="1" x14ac:dyDescent="0.35">
      <c r="A62" s="149" t="s">
        <v>117</v>
      </c>
      <c r="B62" s="149"/>
      <c r="C62" s="149"/>
      <c r="D62" s="149"/>
      <c r="E62" s="149"/>
      <c r="F62" s="149"/>
      <c r="G62" s="86" t="s">
        <v>75</v>
      </c>
      <c r="H62" s="100"/>
      <c r="I62" s="82">
        <v>0</v>
      </c>
      <c r="J62" s="102">
        <f>K62-I62*K62</f>
        <v>1</v>
      </c>
      <c r="K62" s="102">
        <v>1</v>
      </c>
      <c r="L62" s="100"/>
      <c r="M62" s="135"/>
      <c r="N62" s="135"/>
      <c r="O62" s="100"/>
      <c r="P62" s="100"/>
      <c r="Q62" s="100"/>
      <c r="R62" s="100"/>
      <c r="S62" s="100"/>
      <c r="T62" s="100"/>
      <c r="U62" s="100"/>
      <c r="V62" s="100"/>
      <c r="W62" s="100"/>
    </row>
    <row r="63" spans="1:23" ht="15" thickBot="1" x14ac:dyDescent="0.35">
      <c r="A63" s="100"/>
      <c r="B63" s="100"/>
      <c r="C63" s="100"/>
      <c r="D63" s="100"/>
      <c r="E63" s="100"/>
      <c r="F63" s="100"/>
      <c r="G63" s="100"/>
      <c r="H63" s="100"/>
      <c r="I63" s="108"/>
      <c r="J63" s="108"/>
      <c r="K63" s="108"/>
      <c r="L63" s="100"/>
      <c r="M63" s="135"/>
      <c r="N63" s="135"/>
      <c r="O63" s="100"/>
      <c r="P63" s="100"/>
      <c r="Q63" s="100"/>
      <c r="R63" s="100"/>
      <c r="S63" s="100"/>
      <c r="T63" s="100"/>
      <c r="U63" s="100"/>
      <c r="V63" s="100"/>
      <c r="W63" s="100"/>
    </row>
    <row r="64" spans="1:23" x14ac:dyDescent="0.3">
      <c r="A64" s="103" t="s">
        <v>118</v>
      </c>
      <c r="B64" s="103"/>
      <c r="C64" s="103"/>
      <c r="D64" s="103"/>
      <c r="E64" s="103"/>
      <c r="F64" s="103"/>
      <c r="G64" s="50"/>
      <c r="H64" s="51"/>
      <c r="I64" s="104">
        <f>(K64-J64)/K64*100%</f>
        <v>0</v>
      </c>
      <c r="J64" s="105">
        <f>SUM(J65:J71)</f>
        <v>6</v>
      </c>
      <c r="K64" s="105">
        <f>SUM(K65:K71)</f>
        <v>6</v>
      </c>
      <c r="L64" s="103"/>
      <c r="M64" s="134"/>
      <c r="N64" s="51"/>
      <c r="O64" s="51"/>
      <c r="P64" s="103"/>
      <c r="Q64" s="103"/>
      <c r="R64" s="103"/>
      <c r="S64" s="103"/>
      <c r="T64" s="103"/>
      <c r="U64" s="103"/>
      <c r="V64" s="103"/>
      <c r="W64" s="103"/>
    </row>
    <row r="65" spans="1:23" ht="15" thickBot="1" x14ac:dyDescent="0.35">
      <c r="A65" s="149" t="s">
        <v>119</v>
      </c>
      <c r="B65" s="149"/>
      <c r="C65" s="149"/>
      <c r="D65" s="149"/>
      <c r="E65" s="149"/>
      <c r="F65" s="149"/>
      <c r="G65" s="86" t="s">
        <v>75</v>
      </c>
      <c r="H65" s="44"/>
      <c r="I65" s="82">
        <v>0</v>
      </c>
      <c r="J65" s="102">
        <f>K65-I65*K65</f>
        <v>1</v>
      </c>
      <c r="K65" s="102">
        <v>1</v>
      </c>
      <c r="L65" s="41"/>
      <c r="M65" s="44"/>
      <c r="N65" s="44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5" thickBot="1" x14ac:dyDescent="0.35">
      <c r="A66" s="149" t="s">
        <v>120</v>
      </c>
      <c r="B66" s="149"/>
      <c r="C66" s="149"/>
      <c r="D66" s="149"/>
      <c r="E66" s="149"/>
      <c r="F66" s="149"/>
      <c r="G66" s="86" t="s">
        <v>75</v>
      </c>
      <c r="H66" s="44"/>
      <c r="I66" s="82">
        <v>0</v>
      </c>
      <c r="J66" s="102">
        <f t="shared" ref="J66:J67" si="4">K66-I66*K66</f>
        <v>1</v>
      </c>
      <c r="K66" s="102">
        <v>1</v>
      </c>
      <c r="L66" s="41"/>
      <c r="M66" s="44"/>
      <c r="N66" s="44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15" thickBot="1" x14ac:dyDescent="0.35">
      <c r="A67" s="149" t="s">
        <v>121</v>
      </c>
      <c r="B67" s="149"/>
      <c r="C67" s="149"/>
      <c r="D67" s="149"/>
      <c r="E67" s="149"/>
      <c r="F67" s="149"/>
      <c r="G67" s="86" t="s">
        <v>75</v>
      </c>
      <c r="H67" s="44"/>
      <c r="I67" s="82">
        <v>0</v>
      </c>
      <c r="J67" s="102">
        <f t="shared" si="4"/>
        <v>1</v>
      </c>
      <c r="K67" s="102">
        <v>1</v>
      </c>
      <c r="L67" s="41"/>
      <c r="M67" s="44"/>
      <c r="N67" s="44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5" thickBot="1" x14ac:dyDescent="0.35">
      <c r="A68" s="149" t="s">
        <v>122</v>
      </c>
      <c r="B68" s="149"/>
      <c r="C68" s="149"/>
      <c r="D68" s="149"/>
      <c r="E68" s="149"/>
      <c r="F68" s="149"/>
      <c r="G68" s="86" t="s">
        <v>75</v>
      </c>
      <c r="H68" s="44"/>
      <c r="I68" s="82">
        <v>0</v>
      </c>
      <c r="J68" s="102">
        <v>1</v>
      </c>
      <c r="K68" s="102">
        <v>1</v>
      </c>
      <c r="L68" s="41"/>
      <c r="M68" s="44"/>
      <c r="N68" s="44"/>
      <c r="O68" s="11"/>
      <c r="P68" s="11"/>
      <c r="Q68" s="11"/>
      <c r="R68" s="11"/>
      <c r="S68" s="11"/>
      <c r="T68" s="11"/>
      <c r="U68" s="11"/>
      <c r="V68" s="11"/>
      <c r="W68" s="11"/>
    </row>
    <row r="69" spans="1:23" ht="15" thickBot="1" x14ac:dyDescent="0.35">
      <c r="A69" s="149" t="s">
        <v>123</v>
      </c>
      <c r="B69" s="149"/>
      <c r="C69" s="149"/>
      <c r="D69" s="149"/>
      <c r="E69" s="149"/>
      <c r="F69" s="149"/>
      <c r="G69" s="86" t="s">
        <v>75</v>
      </c>
      <c r="H69" s="44"/>
      <c r="I69" s="82">
        <v>0</v>
      </c>
      <c r="J69" s="102">
        <f>K69-I69*K69</f>
        <v>1</v>
      </c>
      <c r="K69" s="102">
        <v>1</v>
      </c>
      <c r="L69" s="41"/>
      <c r="M69" s="44"/>
      <c r="N69" s="44"/>
      <c r="O69" s="11"/>
      <c r="P69" s="11"/>
      <c r="Q69" s="11"/>
      <c r="R69" s="11"/>
      <c r="S69" s="11"/>
      <c r="T69" s="11"/>
      <c r="U69" s="11"/>
      <c r="V69" s="11"/>
      <c r="W69" s="11"/>
    </row>
    <row r="70" spans="1:23" ht="15" thickBot="1" x14ac:dyDescent="0.35">
      <c r="A70" s="149" t="s">
        <v>124</v>
      </c>
      <c r="B70" s="149"/>
      <c r="C70" s="149"/>
      <c r="D70" s="149"/>
      <c r="E70" s="149"/>
      <c r="F70" s="149"/>
      <c r="G70" s="86" t="s">
        <v>75</v>
      </c>
      <c r="H70" s="44"/>
      <c r="I70" s="82">
        <v>0</v>
      </c>
      <c r="J70" s="102">
        <v>1</v>
      </c>
      <c r="K70" s="102">
        <v>1</v>
      </c>
      <c r="L70" s="41"/>
      <c r="M70" s="44"/>
      <c r="N70" s="44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5" thickBot="1" x14ac:dyDescent="0.35">
      <c r="A71" s="100"/>
      <c r="B71" s="100"/>
      <c r="C71" s="100"/>
      <c r="D71" s="100"/>
      <c r="E71" s="100"/>
      <c r="F71" s="100"/>
      <c r="H71" s="44"/>
      <c r="I71" s="11"/>
      <c r="J71" s="41"/>
      <c r="K71" s="64"/>
      <c r="L71" s="41"/>
      <c r="M71" s="44"/>
      <c r="N71" s="44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3">
      <c r="A72" s="103" t="s">
        <v>125</v>
      </c>
      <c r="B72" s="103"/>
      <c r="C72" s="103"/>
      <c r="D72" s="103"/>
      <c r="E72" s="103"/>
      <c r="F72" s="103"/>
      <c r="G72" s="50"/>
      <c r="H72" s="51"/>
      <c r="I72" s="104">
        <f>(K72-J72)/K72*100%</f>
        <v>0</v>
      </c>
      <c r="J72" s="105">
        <f>SUM(J73:J75)</f>
        <v>2</v>
      </c>
      <c r="K72" s="105">
        <f>SUM(K73:K75)</f>
        <v>2</v>
      </c>
      <c r="L72" s="49"/>
      <c r="M72" s="51"/>
      <c r="N72" s="51"/>
      <c r="O72" s="51"/>
      <c r="P72" s="50"/>
      <c r="Q72" s="51"/>
      <c r="R72" s="51"/>
      <c r="S72" s="51"/>
      <c r="T72" s="51"/>
      <c r="U72" s="51"/>
      <c r="V72" s="51"/>
      <c r="W72" s="51"/>
    </row>
    <row r="73" spans="1:23" ht="15" thickBot="1" x14ac:dyDescent="0.35">
      <c r="A73" s="149" t="s">
        <v>126</v>
      </c>
      <c r="B73" s="149"/>
      <c r="C73" s="149"/>
      <c r="D73" s="149"/>
      <c r="E73" s="149"/>
      <c r="F73" s="149"/>
      <c r="G73" s="86" t="s">
        <v>127</v>
      </c>
      <c r="H73" s="44"/>
      <c r="I73" s="82">
        <v>0</v>
      </c>
      <c r="J73" s="102">
        <f>K73-I73*K73</f>
        <v>1</v>
      </c>
      <c r="K73" s="102">
        <v>1</v>
      </c>
      <c r="L73" s="41"/>
      <c r="M73" s="44"/>
      <c r="N73" s="44"/>
      <c r="O73" s="11"/>
      <c r="P73" s="11"/>
      <c r="Q73" s="11"/>
      <c r="R73" s="11"/>
      <c r="S73" s="11"/>
      <c r="T73" s="11"/>
      <c r="U73" s="11"/>
      <c r="V73" s="11"/>
      <c r="W73" s="11"/>
    </row>
    <row r="74" spans="1:23" ht="15" thickBot="1" x14ac:dyDescent="0.35">
      <c r="A74" s="149" t="s">
        <v>128</v>
      </c>
      <c r="B74" s="149"/>
      <c r="C74" s="149"/>
      <c r="D74" s="149"/>
      <c r="E74" s="149"/>
      <c r="F74" s="149"/>
      <c r="G74" s="86" t="s">
        <v>127</v>
      </c>
      <c r="H74" s="44"/>
      <c r="I74" s="82">
        <v>0</v>
      </c>
      <c r="J74" s="102">
        <f>K74-I74*K74</f>
        <v>1</v>
      </c>
      <c r="K74" s="102">
        <v>1</v>
      </c>
      <c r="L74" s="41"/>
      <c r="M74" s="44"/>
      <c r="N74" s="44"/>
      <c r="O74" s="11"/>
      <c r="P74" s="11"/>
      <c r="Q74" s="11"/>
      <c r="R74" s="11"/>
      <c r="S74" s="11"/>
      <c r="T74" s="11"/>
      <c r="U74" s="11"/>
      <c r="V74" s="11"/>
      <c r="W74" s="11"/>
    </row>
    <row r="75" spans="1:23" ht="15" thickBot="1" x14ac:dyDescent="0.35">
      <c r="A75" s="76"/>
      <c r="B75" s="76"/>
      <c r="C75" s="76"/>
      <c r="D75" s="76"/>
      <c r="E75" s="76"/>
      <c r="F75" s="76"/>
      <c r="G75" s="11"/>
      <c r="H75" s="44"/>
      <c r="I75" s="11"/>
      <c r="J75" s="41"/>
      <c r="K75" s="64"/>
      <c r="L75" s="41"/>
      <c r="M75" s="44"/>
      <c r="N75" s="44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3">
      <c r="A76" s="103" t="s">
        <v>129</v>
      </c>
      <c r="B76" s="103"/>
      <c r="C76" s="103"/>
      <c r="D76" s="103"/>
      <c r="E76" s="103"/>
      <c r="F76" s="103"/>
      <c r="G76" s="50"/>
      <c r="H76" s="51"/>
      <c r="I76" s="104">
        <f>(K76-J76)/K76*100%</f>
        <v>1</v>
      </c>
      <c r="J76" s="105">
        <f>SUM(J77:J81)</f>
        <v>0</v>
      </c>
      <c r="K76" s="105">
        <f>SUM(K77:K81)</f>
        <v>1</v>
      </c>
      <c r="L76" s="50"/>
      <c r="M76" s="51"/>
      <c r="N76" s="51"/>
      <c r="O76" s="51"/>
      <c r="P76" s="50"/>
      <c r="Q76" s="51"/>
      <c r="R76" s="51"/>
      <c r="S76" s="51"/>
      <c r="T76" s="51"/>
      <c r="U76" s="51"/>
      <c r="V76" s="51"/>
      <c r="W76" s="51"/>
    </row>
    <row r="77" spans="1:23" ht="15" thickBot="1" x14ac:dyDescent="0.35">
      <c r="A77" s="149" t="s">
        <v>130</v>
      </c>
      <c r="B77" s="149"/>
      <c r="C77" s="149"/>
      <c r="D77" s="149"/>
      <c r="E77" s="149"/>
      <c r="F77" s="149"/>
      <c r="G77" s="86" t="s">
        <v>127</v>
      </c>
      <c r="H77" s="44" t="s">
        <v>131</v>
      </c>
      <c r="I77" s="82">
        <v>1</v>
      </c>
      <c r="J77" s="102">
        <f>K77-I77*K77</f>
        <v>0</v>
      </c>
      <c r="K77" s="102">
        <v>1</v>
      </c>
      <c r="L77" s="41"/>
      <c r="M77" s="44"/>
      <c r="N77" s="44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5" thickBot="1" x14ac:dyDescent="0.35">
      <c r="A78" s="149"/>
      <c r="B78" s="149"/>
      <c r="C78" s="149"/>
      <c r="D78" s="149"/>
      <c r="E78" s="149"/>
      <c r="F78" s="149"/>
      <c r="G78" s="86"/>
      <c r="H78" s="44"/>
      <c r="I78" s="82"/>
      <c r="J78" s="102"/>
      <c r="K78" s="102"/>
      <c r="L78" s="41"/>
      <c r="M78" s="44"/>
      <c r="N78" s="44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15" thickBot="1" x14ac:dyDescent="0.35">
      <c r="A79" s="149"/>
      <c r="B79" s="149"/>
      <c r="C79" s="149"/>
      <c r="D79" s="149"/>
      <c r="E79" s="149"/>
      <c r="F79" s="149"/>
      <c r="G79" s="86"/>
      <c r="H79" s="44"/>
      <c r="I79" s="82"/>
      <c r="J79" s="102"/>
      <c r="K79" s="102"/>
      <c r="L79" s="41"/>
      <c r="M79" s="44"/>
      <c r="N79" s="44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15" thickBot="1" x14ac:dyDescent="0.35">
      <c r="A80" s="149"/>
      <c r="B80" s="149"/>
      <c r="C80" s="149"/>
      <c r="D80" s="149"/>
      <c r="E80" s="149"/>
      <c r="F80" s="149"/>
      <c r="G80" s="86"/>
      <c r="H80" s="44"/>
      <c r="I80" s="82"/>
      <c r="J80" s="102"/>
      <c r="K80" s="102"/>
      <c r="L80" s="39"/>
    </row>
    <row r="81" spans="1:23" ht="15" thickBot="1" x14ac:dyDescent="0.35">
      <c r="A81" s="81"/>
      <c r="B81" s="81"/>
      <c r="C81" s="81"/>
      <c r="D81" s="81"/>
      <c r="E81" s="81"/>
      <c r="F81" s="81"/>
      <c r="H81" s="38"/>
      <c r="I81" s="40"/>
      <c r="J81" s="47"/>
      <c r="K81" s="63"/>
      <c r="L81" s="39"/>
    </row>
    <row r="82" spans="1:23" x14ac:dyDescent="0.3">
      <c r="A82" s="85" t="s">
        <v>132</v>
      </c>
      <c r="B82" s="77"/>
      <c r="C82" s="77"/>
      <c r="D82" s="77"/>
      <c r="E82" s="77"/>
      <c r="F82" s="77"/>
      <c r="G82" s="20"/>
      <c r="H82" s="36"/>
      <c r="I82" s="104">
        <f>(K82-J82)/K82*100%</f>
        <v>0</v>
      </c>
      <c r="J82" s="79">
        <f>SUM(J83:J86)</f>
        <v>3</v>
      </c>
      <c r="K82" s="80">
        <f>SUM(K83:K86)</f>
        <v>3</v>
      </c>
      <c r="L82" s="39"/>
    </row>
    <row r="83" spans="1:23" ht="15" thickBot="1" x14ac:dyDescent="0.35">
      <c r="A83" s="149" t="s">
        <v>133</v>
      </c>
      <c r="B83" s="149"/>
      <c r="C83" s="149"/>
      <c r="D83" s="149"/>
      <c r="E83" s="149"/>
      <c r="F83" s="149"/>
      <c r="G83" s="86" t="s">
        <v>87</v>
      </c>
      <c r="H83" s="44"/>
      <c r="I83" s="82">
        <v>0</v>
      </c>
      <c r="J83" s="102">
        <f>K83-I83*K83</f>
        <v>1</v>
      </c>
      <c r="K83" s="102">
        <v>1</v>
      </c>
      <c r="L83" s="39"/>
    </row>
    <row r="84" spans="1:23" ht="15" thickBot="1" x14ac:dyDescent="0.35">
      <c r="A84" s="149" t="s">
        <v>134</v>
      </c>
      <c r="B84" s="149"/>
      <c r="C84" s="149"/>
      <c r="D84" s="149"/>
      <c r="E84" s="149"/>
      <c r="F84" s="149"/>
      <c r="G84" s="86" t="s">
        <v>87</v>
      </c>
      <c r="H84" s="38"/>
      <c r="I84" s="82">
        <v>0</v>
      </c>
      <c r="J84" s="102">
        <f>K84-I84*K84</f>
        <v>1</v>
      </c>
      <c r="K84" s="102">
        <v>1</v>
      </c>
      <c r="L84" s="39"/>
    </row>
    <row r="85" spans="1:23" ht="15" thickBot="1" x14ac:dyDescent="0.35">
      <c r="A85" s="149" t="s">
        <v>135</v>
      </c>
      <c r="B85" s="149"/>
      <c r="C85" s="149"/>
      <c r="D85" s="149"/>
      <c r="E85" s="149"/>
      <c r="F85" s="149"/>
      <c r="G85" s="86" t="s">
        <v>87</v>
      </c>
      <c r="H85" s="38"/>
      <c r="I85" s="82">
        <v>0</v>
      </c>
      <c r="J85" s="102">
        <f>K85-I85*K85</f>
        <v>1</v>
      </c>
      <c r="K85" s="102">
        <v>1</v>
      </c>
      <c r="L85" s="39"/>
    </row>
    <row r="86" spans="1:23" ht="15" thickBot="1" x14ac:dyDescent="0.35">
      <c r="A86" s="100"/>
      <c r="B86" s="100"/>
      <c r="C86" s="100"/>
      <c r="D86" s="100"/>
      <c r="E86" s="100"/>
      <c r="F86" s="100"/>
      <c r="G86" s="86"/>
      <c r="H86" s="38"/>
      <c r="I86" s="112"/>
      <c r="J86" s="102"/>
      <c r="K86" s="102"/>
      <c r="L86" s="39"/>
    </row>
    <row r="87" spans="1:23" x14ac:dyDescent="0.3">
      <c r="A87" s="85" t="s">
        <v>136</v>
      </c>
      <c r="B87" s="77"/>
      <c r="C87" s="77"/>
      <c r="D87" s="77"/>
      <c r="E87" s="77"/>
      <c r="F87" s="77"/>
      <c r="G87" s="20"/>
      <c r="H87" s="36"/>
      <c r="I87" s="104">
        <f>(K87-J87)/K87*100%</f>
        <v>0</v>
      </c>
      <c r="J87" s="79">
        <f>SUM(J88:J92)</f>
        <v>4</v>
      </c>
      <c r="K87" s="80">
        <f>SUM(K88:K92)</f>
        <v>4</v>
      </c>
      <c r="L87" s="37"/>
      <c r="M87" s="36"/>
      <c r="N87" s="36"/>
      <c r="O87" s="20"/>
      <c r="P87" s="20"/>
      <c r="Q87" s="20"/>
      <c r="R87" s="20"/>
      <c r="S87" s="20"/>
      <c r="T87" s="20"/>
      <c r="U87" s="20"/>
      <c r="V87" s="20"/>
      <c r="W87" s="20"/>
    </row>
    <row r="88" spans="1:23" ht="15" thickBot="1" x14ac:dyDescent="0.35">
      <c r="A88" s="149" t="s">
        <v>137</v>
      </c>
      <c r="B88" s="149"/>
      <c r="C88" s="149"/>
      <c r="D88" s="149"/>
      <c r="E88" s="149"/>
      <c r="F88" s="149"/>
      <c r="G88" s="86" t="s">
        <v>87</v>
      </c>
      <c r="H88" s="44"/>
      <c r="I88" s="82">
        <v>0</v>
      </c>
      <c r="J88" s="102">
        <f>K88-I88*K88</f>
        <v>1</v>
      </c>
      <c r="K88" s="102">
        <v>1</v>
      </c>
      <c r="L88" s="41"/>
      <c r="M88" s="44"/>
      <c r="N88" s="44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5" thickBot="1" x14ac:dyDescent="0.35">
      <c r="A89" s="149" t="s">
        <v>138</v>
      </c>
      <c r="B89" s="149"/>
      <c r="C89" s="149"/>
      <c r="D89" s="149"/>
      <c r="E89" s="149"/>
      <c r="F89" s="149"/>
      <c r="G89" s="86" t="s">
        <v>75</v>
      </c>
      <c r="H89" s="38"/>
      <c r="I89" s="82">
        <v>0</v>
      </c>
      <c r="J89" s="102">
        <f t="shared" ref="J89:J90" si="5">K89-I89*K89</f>
        <v>1</v>
      </c>
      <c r="K89" s="102">
        <v>1</v>
      </c>
      <c r="L89" s="39"/>
    </row>
    <row r="90" spans="1:23" ht="15" thickBot="1" x14ac:dyDescent="0.35">
      <c r="A90" s="149" t="s">
        <v>139</v>
      </c>
      <c r="B90" s="149"/>
      <c r="C90" s="149"/>
      <c r="D90" s="149"/>
      <c r="E90" s="149"/>
      <c r="F90" s="149"/>
      <c r="G90" s="86" t="s">
        <v>75</v>
      </c>
      <c r="H90" s="38"/>
      <c r="I90" s="82">
        <v>0</v>
      </c>
      <c r="J90" s="102">
        <f t="shared" si="5"/>
        <v>1</v>
      </c>
      <c r="K90" s="102">
        <v>1</v>
      </c>
      <c r="L90" s="39"/>
    </row>
    <row r="91" spans="1:23" ht="15" thickBot="1" x14ac:dyDescent="0.35">
      <c r="A91" s="149" t="s">
        <v>140</v>
      </c>
      <c r="B91" s="149"/>
      <c r="C91" s="149"/>
      <c r="D91" s="149"/>
      <c r="E91" s="149"/>
      <c r="F91" s="149"/>
      <c r="G91" s="86" t="s">
        <v>141</v>
      </c>
      <c r="H91" s="38"/>
      <c r="I91" s="82">
        <v>0</v>
      </c>
      <c r="J91" s="102">
        <f>K91-I91*K91</f>
        <v>1</v>
      </c>
      <c r="K91" s="102">
        <v>1</v>
      </c>
      <c r="L91" s="39"/>
    </row>
    <row r="92" spans="1:23" ht="15" thickBot="1" x14ac:dyDescent="0.35">
      <c r="A92" s="100"/>
      <c r="B92" s="100"/>
      <c r="C92" s="100"/>
      <c r="D92" s="100"/>
      <c r="E92" s="100"/>
      <c r="F92" s="81"/>
      <c r="H92" s="38"/>
      <c r="I92" s="38"/>
      <c r="J92" s="38"/>
      <c r="K92" s="38"/>
      <c r="L92" s="39"/>
    </row>
    <row r="93" spans="1:23" x14ac:dyDescent="0.3">
      <c r="A93" s="85" t="s">
        <v>142</v>
      </c>
      <c r="B93" s="77"/>
      <c r="C93" s="77"/>
      <c r="D93" s="77"/>
      <c r="E93" s="77"/>
      <c r="F93" s="77"/>
      <c r="G93" s="20"/>
      <c r="H93" s="36"/>
      <c r="I93" s="104">
        <f>(K93-J93)/K93*100%</f>
        <v>0</v>
      </c>
      <c r="J93" s="79">
        <f>SUM(J94:J98)</f>
        <v>4</v>
      </c>
      <c r="K93" s="80">
        <f>SUM(K94:K98)</f>
        <v>4</v>
      </c>
      <c r="L93" s="37"/>
      <c r="M93" s="36"/>
      <c r="N93" s="36"/>
      <c r="O93" s="20"/>
      <c r="P93" s="20"/>
      <c r="Q93" s="20"/>
      <c r="R93" s="20"/>
      <c r="S93" s="20"/>
      <c r="T93" s="20"/>
      <c r="U93" s="20"/>
      <c r="V93" s="20"/>
      <c r="W93" s="20"/>
    </row>
    <row r="94" spans="1:23" ht="15" thickBot="1" x14ac:dyDescent="0.35">
      <c r="A94" s="149" t="s">
        <v>143</v>
      </c>
      <c r="B94" s="149"/>
      <c r="C94" s="149"/>
      <c r="D94" s="149"/>
      <c r="E94" s="149"/>
      <c r="F94" s="149"/>
      <c r="G94" s="86" t="s">
        <v>87</v>
      </c>
      <c r="H94" s="44"/>
      <c r="I94" s="82">
        <v>0</v>
      </c>
      <c r="J94" s="102">
        <f>K94-I94*K94</f>
        <v>1</v>
      </c>
      <c r="K94" s="102">
        <v>1</v>
      </c>
      <c r="L94" s="41"/>
      <c r="M94" s="44"/>
      <c r="N94" s="44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15" thickBot="1" x14ac:dyDescent="0.35">
      <c r="A95" s="149" t="s">
        <v>138</v>
      </c>
      <c r="B95" s="149"/>
      <c r="C95" s="149"/>
      <c r="D95" s="149"/>
      <c r="E95" s="149"/>
      <c r="F95" s="149"/>
      <c r="G95" s="86" t="s">
        <v>75</v>
      </c>
      <c r="H95" s="38"/>
      <c r="I95" s="82">
        <v>0</v>
      </c>
      <c r="J95" s="102">
        <f t="shared" ref="J95:J96" si="6">K95-I95*K95</f>
        <v>1</v>
      </c>
      <c r="K95" s="102">
        <v>1</v>
      </c>
      <c r="L95" s="39"/>
    </row>
    <row r="96" spans="1:23" ht="15" thickBot="1" x14ac:dyDescent="0.35">
      <c r="A96" s="149" t="s">
        <v>139</v>
      </c>
      <c r="B96" s="149"/>
      <c r="C96" s="149"/>
      <c r="D96" s="149"/>
      <c r="E96" s="149"/>
      <c r="F96" s="149"/>
      <c r="G96" s="86" t="s">
        <v>75</v>
      </c>
      <c r="H96" s="38"/>
      <c r="I96" s="82">
        <v>0</v>
      </c>
      <c r="J96" s="102">
        <f t="shared" si="6"/>
        <v>1</v>
      </c>
      <c r="K96" s="102">
        <v>1</v>
      </c>
      <c r="L96" s="39"/>
    </row>
    <row r="97" spans="1:23" ht="15" thickBot="1" x14ac:dyDescent="0.35">
      <c r="A97" s="149" t="s">
        <v>140</v>
      </c>
      <c r="B97" s="149"/>
      <c r="C97" s="149"/>
      <c r="D97" s="149"/>
      <c r="E97" s="149"/>
      <c r="F97" s="149"/>
      <c r="G97" s="86" t="s">
        <v>141</v>
      </c>
      <c r="H97" s="38"/>
      <c r="I97" s="82">
        <v>0</v>
      </c>
      <c r="J97" s="102">
        <f>K97-I97*K97</f>
        <v>1</v>
      </c>
      <c r="K97" s="102">
        <v>1</v>
      </c>
      <c r="L97" s="39"/>
    </row>
    <row r="98" spans="1:23" ht="15" thickBot="1" x14ac:dyDescent="0.35">
      <c r="A98" s="100"/>
      <c r="B98" s="100"/>
      <c r="C98" s="100"/>
      <c r="D98" s="100"/>
      <c r="E98" s="100"/>
      <c r="F98" s="81"/>
      <c r="H98" s="38"/>
      <c r="I98" s="38"/>
      <c r="J98" s="38"/>
      <c r="K98" s="38"/>
      <c r="L98" s="39"/>
    </row>
    <row r="99" spans="1:23" x14ac:dyDescent="0.3">
      <c r="A99" s="103" t="s">
        <v>58</v>
      </c>
      <c r="B99" s="103"/>
      <c r="C99" s="103"/>
      <c r="D99" s="103"/>
      <c r="E99" s="103"/>
      <c r="F99" s="103"/>
      <c r="G99" s="50"/>
      <c r="H99" s="51"/>
      <c r="I99" s="104">
        <f>(K99-J99)/K99*100%</f>
        <v>0</v>
      </c>
      <c r="J99" s="79">
        <f>SUM(J100:J108)</f>
        <v>6</v>
      </c>
      <c r="K99" s="80">
        <f>SUM(K100:K108)</f>
        <v>6</v>
      </c>
      <c r="L99" s="50"/>
      <c r="M99" s="51"/>
      <c r="N99" s="51"/>
      <c r="O99" s="51"/>
      <c r="P99" s="50"/>
      <c r="Q99" s="51"/>
      <c r="R99" s="51"/>
      <c r="S99" s="51"/>
      <c r="T99" s="51"/>
      <c r="U99" s="51"/>
      <c r="V99" s="51"/>
      <c r="W99" s="51"/>
    </row>
    <row r="100" spans="1:23" ht="15" thickBot="1" x14ac:dyDescent="0.35">
      <c r="A100" s="149" t="s">
        <v>144</v>
      </c>
      <c r="B100" s="149"/>
      <c r="C100" s="149"/>
      <c r="D100" s="149"/>
      <c r="E100" s="149"/>
      <c r="F100" s="149"/>
      <c r="G100" s="86" t="s">
        <v>75</v>
      </c>
      <c r="H100" s="38"/>
      <c r="I100" s="82">
        <v>0</v>
      </c>
      <c r="J100" s="102">
        <f>K100-I100*K100</f>
        <v>1</v>
      </c>
      <c r="K100" s="102">
        <v>1</v>
      </c>
      <c r="L100" s="39"/>
    </row>
    <row r="101" spans="1:23" ht="15" thickBot="1" x14ac:dyDescent="0.35">
      <c r="A101" s="149" t="s">
        <v>145</v>
      </c>
      <c r="B101" s="149"/>
      <c r="C101" s="149"/>
      <c r="D101" s="149"/>
      <c r="E101" s="149"/>
      <c r="F101" s="149"/>
      <c r="G101" s="86" t="s">
        <v>75</v>
      </c>
      <c r="H101" s="38"/>
      <c r="I101" s="82">
        <v>0</v>
      </c>
      <c r="J101" s="102">
        <f t="shared" ref="J101:J102" si="7">K101-I101*K101</f>
        <v>1</v>
      </c>
      <c r="K101" s="102">
        <v>1</v>
      </c>
      <c r="L101" s="39"/>
    </row>
    <row r="102" spans="1:23" ht="15" thickBot="1" x14ac:dyDescent="0.35">
      <c r="A102" s="149" t="s">
        <v>146</v>
      </c>
      <c r="B102" s="149"/>
      <c r="C102" s="149"/>
      <c r="D102" s="149"/>
      <c r="E102" s="149"/>
      <c r="F102" s="149"/>
      <c r="G102" s="86" t="s">
        <v>87</v>
      </c>
      <c r="H102" s="38"/>
      <c r="I102" s="82">
        <v>0</v>
      </c>
      <c r="J102" s="102">
        <f t="shared" si="7"/>
        <v>1</v>
      </c>
      <c r="K102" s="102">
        <v>1</v>
      </c>
      <c r="L102" s="39"/>
    </row>
    <row r="103" spans="1:23" ht="15" thickBot="1" x14ac:dyDescent="0.35">
      <c r="A103" s="149" t="s">
        <v>147</v>
      </c>
      <c r="B103" s="149"/>
      <c r="C103" s="149"/>
      <c r="D103" s="149"/>
      <c r="E103" s="149"/>
      <c r="F103" s="149"/>
      <c r="G103" s="86" t="s">
        <v>141</v>
      </c>
      <c r="H103" s="38"/>
      <c r="I103" s="82">
        <v>0</v>
      </c>
      <c r="J103" s="102">
        <f>K103-I103*K103</f>
        <v>1</v>
      </c>
      <c r="K103" s="102">
        <v>1</v>
      </c>
      <c r="L103" s="39"/>
    </row>
    <row r="104" spans="1:23" ht="15" thickBot="1" x14ac:dyDescent="0.35">
      <c r="A104" s="150" t="s">
        <v>148</v>
      </c>
      <c r="B104" s="150"/>
      <c r="C104" s="150"/>
      <c r="D104" s="150"/>
      <c r="E104" s="150"/>
      <c r="F104" s="150"/>
      <c r="G104" s="86" t="s">
        <v>141</v>
      </c>
      <c r="H104" s="38"/>
      <c r="I104" s="82">
        <v>0</v>
      </c>
      <c r="J104" s="102">
        <f>K104-I104*K104</f>
        <v>1</v>
      </c>
      <c r="K104" s="102">
        <v>1</v>
      </c>
      <c r="L104" s="39"/>
    </row>
    <row r="105" spans="1:23" x14ac:dyDescent="0.3">
      <c r="A105" s="109"/>
      <c r="B105" s="109"/>
      <c r="C105" s="109"/>
      <c r="D105" s="109"/>
      <c r="E105" s="109"/>
      <c r="F105" s="109"/>
      <c r="H105" s="38"/>
      <c r="I105" s="38"/>
      <c r="J105" s="38"/>
      <c r="K105" s="38"/>
      <c r="L105" s="38"/>
    </row>
    <row r="106" spans="1:23" ht="15" thickBot="1" x14ac:dyDescent="0.35">
      <c r="A106" s="151" t="s">
        <v>149</v>
      </c>
      <c r="B106" s="151"/>
      <c r="C106" s="151"/>
      <c r="D106" s="151"/>
      <c r="E106" s="151"/>
      <c r="F106" s="151"/>
      <c r="G106" s="86" t="s">
        <v>141</v>
      </c>
      <c r="H106" s="38"/>
      <c r="I106" s="82">
        <v>0</v>
      </c>
      <c r="J106" s="102">
        <f>K106-I106*K106</f>
        <v>1</v>
      </c>
      <c r="K106" s="102">
        <v>1</v>
      </c>
      <c r="L106" s="39"/>
    </row>
    <row r="107" spans="1:23" ht="15" thickBot="1" x14ac:dyDescent="0.35">
      <c r="A107" s="81"/>
      <c r="B107" s="81"/>
      <c r="C107" s="81"/>
      <c r="D107" s="81"/>
      <c r="E107" s="81"/>
      <c r="F107" s="81"/>
      <c r="J107" s="39"/>
      <c r="K107" s="63"/>
    </row>
    <row r="108" spans="1:23" ht="15" thickBot="1" x14ac:dyDescent="0.35">
      <c r="A108" s="110"/>
      <c r="B108" s="110"/>
      <c r="C108" s="110"/>
      <c r="D108" s="110"/>
      <c r="E108" s="81"/>
      <c r="F108" s="81"/>
      <c r="H108" s="38"/>
      <c r="I108" s="48"/>
      <c r="J108" s="39"/>
      <c r="K108" s="63"/>
      <c r="L108" s="39"/>
    </row>
    <row r="109" spans="1:23" x14ac:dyDescent="0.3">
      <c r="A109" s="20" t="s">
        <v>150</v>
      </c>
      <c r="B109" s="77"/>
      <c r="C109" s="77"/>
      <c r="D109" s="77"/>
      <c r="E109" s="77"/>
      <c r="F109" s="77"/>
      <c r="G109" s="20"/>
      <c r="H109" s="36"/>
      <c r="I109" s="104">
        <f>(K109-J109)/K109*100%</f>
        <v>0</v>
      </c>
      <c r="J109" s="79">
        <f>SUM(J110:J118)</f>
        <v>8</v>
      </c>
      <c r="K109" s="80">
        <f>SUM(K110:K118)</f>
        <v>8</v>
      </c>
      <c r="L109" s="37"/>
      <c r="M109" s="36"/>
      <c r="N109" s="36"/>
      <c r="O109" s="20"/>
      <c r="P109" s="20"/>
      <c r="Q109" s="20"/>
      <c r="R109" s="20"/>
      <c r="S109" s="20"/>
      <c r="T109" s="20"/>
      <c r="U109" s="20"/>
      <c r="V109" s="20"/>
      <c r="W109" s="20"/>
    </row>
    <row r="110" spans="1:23" ht="15" thickBot="1" x14ac:dyDescent="0.35">
      <c r="A110" s="152" t="s">
        <v>151</v>
      </c>
      <c r="B110" s="152"/>
      <c r="C110" s="152"/>
      <c r="D110" s="152"/>
      <c r="E110" s="152"/>
      <c r="F110" s="152"/>
      <c r="G110" s="86" t="s">
        <v>75</v>
      </c>
      <c r="H110" s="38"/>
      <c r="I110" s="82">
        <v>0</v>
      </c>
      <c r="J110" s="102">
        <f>K110-I110*K110</f>
        <v>1</v>
      </c>
      <c r="K110" s="102">
        <v>1</v>
      </c>
      <c r="L110" s="39"/>
    </row>
    <row r="111" spans="1:23" ht="15" thickBot="1" x14ac:dyDescent="0.35">
      <c r="A111" s="149" t="s">
        <v>152</v>
      </c>
      <c r="B111" s="149"/>
      <c r="C111" s="149"/>
      <c r="D111" s="149"/>
      <c r="E111" s="149"/>
      <c r="F111" s="149"/>
      <c r="G111" s="86" t="s">
        <v>75</v>
      </c>
      <c r="H111" s="38"/>
      <c r="I111" s="82">
        <v>0</v>
      </c>
      <c r="J111" s="102">
        <f t="shared" ref="J111:J112" si="8">K111-I111*K111</f>
        <v>1</v>
      </c>
      <c r="K111" s="102">
        <v>1</v>
      </c>
      <c r="L111" s="39"/>
    </row>
    <row r="112" spans="1:23" ht="15" thickBot="1" x14ac:dyDescent="0.35">
      <c r="A112" s="149" t="s">
        <v>153</v>
      </c>
      <c r="B112" s="149"/>
      <c r="C112" s="149"/>
      <c r="D112" s="149"/>
      <c r="E112" s="149"/>
      <c r="F112" s="149"/>
      <c r="G112" s="86" t="s">
        <v>75</v>
      </c>
      <c r="H112" s="38"/>
      <c r="I112" s="82">
        <v>0</v>
      </c>
      <c r="J112" s="102">
        <f t="shared" si="8"/>
        <v>1</v>
      </c>
      <c r="K112" s="102">
        <v>1</v>
      </c>
      <c r="L112" s="39"/>
    </row>
    <row r="113" spans="1:23" ht="15" thickBot="1" x14ac:dyDescent="0.35">
      <c r="A113" s="149" t="s">
        <v>154</v>
      </c>
      <c r="B113" s="149"/>
      <c r="C113" s="149"/>
      <c r="D113" s="149"/>
      <c r="E113" s="149"/>
      <c r="F113" s="149"/>
      <c r="G113" s="86" t="s">
        <v>87</v>
      </c>
      <c r="H113" s="38"/>
      <c r="I113" s="82">
        <v>0</v>
      </c>
      <c r="J113" s="102">
        <f>K113-I113*K113</f>
        <v>1</v>
      </c>
      <c r="K113" s="102">
        <v>1</v>
      </c>
      <c r="L113" s="39"/>
    </row>
    <row r="114" spans="1:23" ht="15" thickBot="1" x14ac:dyDescent="0.35">
      <c r="A114" s="149" t="s">
        <v>155</v>
      </c>
      <c r="B114" s="149"/>
      <c r="C114" s="149"/>
      <c r="D114" s="149"/>
      <c r="E114" s="149"/>
      <c r="F114" s="149"/>
      <c r="G114" s="86" t="s">
        <v>87</v>
      </c>
      <c r="H114" s="38"/>
      <c r="I114" s="82">
        <v>0</v>
      </c>
      <c r="J114" s="102">
        <f>K114-I114*K114</f>
        <v>1</v>
      </c>
      <c r="K114" s="102">
        <v>1</v>
      </c>
      <c r="L114" s="39"/>
    </row>
    <row r="115" spans="1:23" ht="15" thickBot="1" x14ac:dyDescent="0.35">
      <c r="A115" s="149" t="s">
        <v>156</v>
      </c>
      <c r="B115" s="149"/>
      <c r="C115" s="149"/>
      <c r="D115" s="149"/>
      <c r="E115" s="149"/>
      <c r="F115" s="149"/>
      <c r="G115" s="86" t="s">
        <v>87</v>
      </c>
      <c r="H115" s="38"/>
      <c r="I115" s="82">
        <v>0</v>
      </c>
      <c r="J115" s="102">
        <f>K115-I115*K115</f>
        <v>1</v>
      </c>
      <c r="K115" s="102">
        <v>1</v>
      </c>
      <c r="L115" s="39"/>
    </row>
    <row r="116" spans="1:23" ht="15" thickBot="1" x14ac:dyDescent="0.35">
      <c r="A116" s="149" t="s">
        <v>157</v>
      </c>
      <c r="B116" s="149"/>
      <c r="C116" s="149"/>
      <c r="D116" s="149"/>
      <c r="E116" s="149"/>
      <c r="F116" s="149"/>
      <c r="G116" s="86" t="s">
        <v>127</v>
      </c>
      <c r="H116" s="38"/>
      <c r="I116" s="82">
        <v>0</v>
      </c>
      <c r="J116" s="102">
        <f t="shared" ref="J116:J117" si="9">K116-I116*K116</f>
        <v>1</v>
      </c>
      <c r="K116" s="102">
        <v>1</v>
      </c>
      <c r="L116" s="39"/>
    </row>
    <row r="117" spans="1:23" ht="15" thickBot="1" x14ac:dyDescent="0.35">
      <c r="A117" s="149" t="s">
        <v>158</v>
      </c>
      <c r="B117" s="149"/>
      <c r="C117" s="149"/>
      <c r="D117" s="149"/>
      <c r="E117" s="149"/>
      <c r="F117" s="149"/>
      <c r="G117" s="86" t="s">
        <v>159</v>
      </c>
      <c r="H117" s="38"/>
      <c r="I117" s="82">
        <v>0</v>
      </c>
      <c r="J117" s="102">
        <f t="shared" si="9"/>
        <v>1</v>
      </c>
      <c r="K117" s="102">
        <v>1</v>
      </c>
      <c r="L117" s="39"/>
    </row>
    <row r="118" spans="1:23" ht="15" thickBot="1" x14ac:dyDescent="0.35">
      <c r="A118" s="148"/>
      <c r="B118" s="148"/>
      <c r="C118" s="148"/>
      <c r="D118" s="148"/>
      <c r="E118" s="148"/>
      <c r="F118" s="148"/>
      <c r="H118" s="38"/>
      <c r="I118" s="48"/>
      <c r="J118" s="39"/>
      <c r="K118" s="63"/>
      <c r="L118" s="39"/>
    </row>
    <row r="119" spans="1:23" x14ac:dyDescent="0.3">
      <c r="A119" s="20" t="s">
        <v>160</v>
      </c>
      <c r="B119" s="77"/>
      <c r="C119" s="77"/>
      <c r="D119" s="77"/>
      <c r="E119" s="77"/>
      <c r="F119" s="77"/>
      <c r="G119" s="20"/>
      <c r="H119" s="36"/>
      <c r="I119" s="104">
        <f>(K119-J119)/K119*100%</f>
        <v>0</v>
      </c>
      <c r="J119" s="79">
        <f>SUM(J120:J129)</f>
        <v>8</v>
      </c>
      <c r="K119" s="80">
        <f>SUM(K120:K129)</f>
        <v>8</v>
      </c>
      <c r="L119" s="37"/>
      <c r="M119" s="36"/>
      <c r="N119" s="36"/>
      <c r="O119" s="20"/>
      <c r="P119" s="20"/>
      <c r="Q119" s="20"/>
      <c r="R119" s="20"/>
      <c r="S119" s="20"/>
      <c r="T119" s="20"/>
      <c r="U119" s="20"/>
      <c r="V119" s="20"/>
      <c r="W119" s="20"/>
    </row>
    <row r="120" spans="1:23" ht="15" thickBot="1" x14ac:dyDescent="0.35">
      <c r="A120" s="149" t="s">
        <v>151</v>
      </c>
      <c r="B120" s="149"/>
      <c r="C120" s="149"/>
      <c r="D120" s="149"/>
      <c r="E120" s="149"/>
      <c r="F120" s="149"/>
      <c r="G120" s="86" t="s">
        <v>75</v>
      </c>
      <c r="H120" s="38"/>
      <c r="I120" s="82">
        <v>0</v>
      </c>
      <c r="J120" s="102">
        <f>K120-I120*K120</f>
        <v>1</v>
      </c>
      <c r="K120" s="102">
        <v>1</v>
      </c>
      <c r="L120" s="39"/>
    </row>
    <row r="121" spans="1:23" ht="15" thickBot="1" x14ac:dyDescent="0.35">
      <c r="A121" s="149" t="s">
        <v>153</v>
      </c>
      <c r="B121" s="149"/>
      <c r="C121" s="149"/>
      <c r="D121" s="149"/>
      <c r="E121" s="149"/>
      <c r="F121" s="149"/>
      <c r="G121" s="86" t="s">
        <v>75</v>
      </c>
      <c r="H121" s="38"/>
      <c r="I121" s="82">
        <v>0</v>
      </c>
      <c r="J121" s="102">
        <f t="shared" ref="J121:J122" si="10">K121-I121*K121</f>
        <v>1</v>
      </c>
      <c r="K121" s="102">
        <v>1</v>
      </c>
      <c r="L121" s="39"/>
    </row>
    <row r="122" spans="1:23" ht="15" thickBot="1" x14ac:dyDescent="0.35">
      <c r="A122" s="149" t="s">
        <v>161</v>
      </c>
      <c r="B122" s="149"/>
      <c r="C122" s="149"/>
      <c r="D122" s="149"/>
      <c r="E122" s="149"/>
      <c r="F122" s="149"/>
      <c r="G122" s="86" t="s">
        <v>75</v>
      </c>
      <c r="H122" s="38"/>
      <c r="I122" s="82">
        <v>0</v>
      </c>
      <c r="J122" s="102">
        <f t="shared" si="10"/>
        <v>1</v>
      </c>
      <c r="K122" s="102">
        <v>1</v>
      </c>
      <c r="L122" s="39"/>
    </row>
    <row r="123" spans="1:23" ht="15" thickBot="1" x14ac:dyDescent="0.35">
      <c r="A123" s="149" t="s">
        <v>162</v>
      </c>
      <c r="B123" s="149"/>
      <c r="C123" s="149"/>
      <c r="D123" s="149"/>
      <c r="E123" s="149"/>
      <c r="F123" s="149"/>
      <c r="G123" s="86" t="s">
        <v>75</v>
      </c>
      <c r="H123" s="38"/>
      <c r="I123" s="82">
        <v>0</v>
      </c>
      <c r="J123" s="102">
        <f>K123-I123*K123</f>
        <v>1</v>
      </c>
      <c r="K123" s="102">
        <v>1</v>
      </c>
      <c r="L123" s="39"/>
    </row>
    <row r="124" spans="1:23" ht="15" thickBot="1" x14ac:dyDescent="0.35">
      <c r="A124" s="149" t="s">
        <v>163</v>
      </c>
      <c r="B124" s="149"/>
      <c r="C124" s="149"/>
      <c r="D124" s="149"/>
      <c r="E124" s="149"/>
      <c r="F124" s="149"/>
      <c r="G124" s="86" t="s">
        <v>164</v>
      </c>
      <c r="H124" s="38"/>
      <c r="I124" s="82">
        <v>0</v>
      </c>
      <c r="J124" s="102">
        <f>K124-I124*K124</f>
        <v>1</v>
      </c>
      <c r="K124" s="102">
        <v>1</v>
      </c>
      <c r="L124" s="39"/>
    </row>
    <row r="125" spans="1:23" ht="15" thickBot="1" x14ac:dyDescent="0.35">
      <c r="A125" s="149" t="s">
        <v>165</v>
      </c>
      <c r="B125" s="149"/>
      <c r="C125" s="149"/>
      <c r="D125" s="149"/>
      <c r="E125" s="149"/>
      <c r="F125" s="149"/>
      <c r="G125" s="86" t="s">
        <v>75</v>
      </c>
      <c r="H125" s="38"/>
      <c r="I125" s="82">
        <v>0</v>
      </c>
      <c r="J125" s="102">
        <f>K125-I125*K125</f>
        <v>1</v>
      </c>
      <c r="K125" s="102">
        <v>1</v>
      </c>
      <c r="L125" s="39"/>
    </row>
    <row r="126" spans="1:23" x14ac:dyDescent="0.3">
      <c r="A126" s="148"/>
      <c r="B126" s="148"/>
      <c r="C126" s="148"/>
      <c r="D126" s="148"/>
      <c r="E126" s="148"/>
      <c r="F126" s="148"/>
      <c r="G126" s="86"/>
      <c r="H126" s="38"/>
      <c r="I126" s="44"/>
      <c r="J126" s="44"/>
      <c r="K126" s="44"/>
      <c r="L126" s="39"/>
    </row>
    <row r="127" spans="1:23" ht="15" thickBot="1" x14ac:dyDescent="0.35">
      <c r="A127" s="149" t="s">
        <v>157</v>
      </c>
      <c r="B127" s="149"/>
      <c r="C127" s="149"/>
      <c r="D127" s="149"/>
      <c r="E127" s="149"/>
      <c r="F127" s="149"/>
      <c r="G127" s="86" t="s">
        <v>127</v>
      </c>
      <c r="H127" s="38"/>
      <c r="I127" s="82">
        <v>0</v>
      </c>
      <c r="J127" s="102">
        <f t="shared" ref="J127:J128" si="11">K127-I127*K127</f>
        <v>1</v>
      </c>
      <c r="K127" s="102">
        <v>1</v>
      </c>
      <c r="L127" s="39"/>
    </row>
    <row r="128" spans="1:23" ht="15" thickBot="1" x14ac:dyDescent="0.35">
      <c r="A128" s="149" t="s">
        <v>158</v>
      </c>
      <c r="B128" s="149"/>
      <c r="C128" s="149"/>
      <c r="D128" s="149"/>
      <c r="E128" s="149"/>
      <c r="F128" s="149"/>
      <c r="G128" s="86" t="s">
        <v>159</v>
      </c>
      <c r="H128" s="38"/>
      <c r="I128" s="82">
        <v>0</v>
      </c>
      <c r="J128" s="102">
        <f t="shared" si="11"/>
        <v>1</v>
      </c>
      <c r="K128" s="102">
        <v>1</v>
      </c>
      <c r="L128" s="39"/>
    </row>
    <row r="129" spans="1:23" ht="15" thickBot="1" x14ac:dyDescent="0.35">
      <c r="A129" s="148"/>
      <c r="B129" s="148"/>
      <c r="C129" s="148"/>
      <c r="D129" s="148"/>
      <c r="E129" s="148"/>
      <c r="F129" s="148"/>
      <c r="H129" s="38"/>
      <c r="I129" s="48"/>
      <c r="J129" s="39"/>
      <c r="K129" s="63"/>
      <c r="L129" s="39"/>
    </row>
    <row r="130" spans="1:23" x14ac:dyDescent="0.3">
      <c r="A130" s="20" t="s">
        <v>166</v>
      </c>
      <c r="B130" s="77"/>
      <c r="C130" s="77"/>
      <c r="D130" s="77"/>
      <c r="E130" s="77"/>
      <c r="F130" s="77"/>
      <c r="G130" s="20"/>
      <c r="H130" s="36"/>
      <c r="I130" s="78">
        <f>(K130-J130)/K130*100%</f>
        <v>0</v>
      </c>
      <c r="J130" s="79">
        <f>SUM(J131:J137)</f>
        <v>5</v>
      </c>
      <c r="K130" s="80">
        <f>SUM(K131:K137)</f>
        <v>5</v>
      </c>
      <c r="L130" s="37"/>
      <c r="M130" s="36"/>
      <c r="N130" s="36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 ht="15" thickBot="1" x14ac:dyDescent="0.35">
      <c r="A131" s="146" t="s">
        <v>167</v>
      </c>
      <c r="B131" s="146"/>
      <c r="C131" s="146"/>
      <c r="D131" s="146"/>
      <c r="E131" s="146"/>
      <c r="F131" s="146"/>
      <c r="G131" s="86" t="s">
        <v>75</v>
      </c>
      <c r="H131" s="38"/>
      <c r="I131" s="82">
        <v>0</v>
      </c>
      <c r="J131" s="107">
        <v>1</v>
      </c>
      <c r="K131" s="65">
        <v>1</v>
      </c>
      <c r="L131" s="39"/>
    </row>
    <row r="132" spans="1:23" ht="15" thickBot="1" x14ac:dyDescent="0.35">
      <c r="A132" s="147" t="s">
        <v>168</v>
      </c>
      <c r="B132" s="147"/>
      <c r="C132" s="147"/>
      <c r="D132" s="147"/>
      <c r="E132" s="147"/>
      <c r="F132" s="147"/>
      <c r="G132" t="s">
        <v>169</v>
      </c>
      <c r="H132" s="38"/>
      <c r="I132" s="82">
        <v>0</v>
      </c>
      <c r="J132" s="107">
        <v>1</v>
      </c>
      <c r="K132" s="65">
        <v>1</v>
      </c>
      <c r="L132" s="39"/>
    </row>
    <row r="133" spans="1:23" ht="15" thickBot="1" x14ac:dyDescent="0.35">
      <c r="A133" s="146" t="s">
        <v>170</v>
      </c>
      <c r="B133" s="146"/>
      <c r="C133" s="146"/>
      <c r="D133" s="146"/>
      <c r="E133" s="146"/>
      <c r="F133" s="146"/>
      <c r="G133" s="86" t="s">
        <v>75</v>
      </c>
      <c r="H133" s="38"/>
      <c r="I133" s="82">
        <v>0</v>
      </c>
      <c r="J133" s="107">
        <v>1</v>
      </c>
      <c r="K133" s="65">
        <v>1</v>
      </c>
      <c r="L133" s="39"/>
    </row>
    <row r="134" spans="1:23" ht="15" thickBot="1" x14ac:dyDescent="0.35">
      <c r="A134" s="146" t="s">
        <v>171</v>
      </c>
      <c r="B134" s="146"/>
      <c r="C134" s="146"/>
      <c r="D134" s="146"/>
      <c r="E134" s="146"/>
      <c r="F134" s="146"/>
      <c r="G134" s="86" t="s">
        <v>75</v>
      </c>
      <c r="H134" s="38"/>
      <c r="I134" s="82">
        <v>0</v>
      </c>
      <c r="J134" s="107">
        <v>1</v>
      </c>
      <c r="K134" s="65">
        <v>1</v>
      </c>
      <c r="L134" s="39"/>
    </row>
    <row r="135" spans="1:23" ht="15" thickBot="1" x14ac:dyDescent="0.35">
      <c r="A135" s="115" t="s">
        <v>172</v>
      </c>
      <c r="B135" s="115"/>
      <c r="C135" s="115"/>
      <c r="D135" s="115"/>
      <c r="E135" s="115"/>
      <c r="F135" s="115"/>
      <c r="G135" s="86"/>
      <c r="H135" s="38"/>
      <c r="I135" s="82">
        <v>0</v>
      </c>
      <c r="J135" s="107">
        <v>1</v>
      </c>
      <c r="K135" s="65">
        <v>1</v>
      </c>
      <c r="L135" s="39"/>
    </row>
    <row r="136" spans="1:23" ht="15" thickBot="1" x14ac:dyDescent="0.35">
      <c r="A136" s="115" t="s">
        <v>173</v>
      </c>
      <c r="B136" s="115"/>
      <c r="C136" s="115"/>
      <c r="D136" s="115"/>
      <c r="E136" s="115"/>
      <c r="F136" s="115"/>
      <c r="G136" s="86"/>
      <c r="H136" s="38"/>
      <c r="I136" s="112"/>
      <c r="J136" s="107"/>
      <c r="K136" s="65"/>
      <c r="L136" s="39"/>
    </row>
    <row r="137" spans="1:23" ht="15" thickBot="1" x14ac:dyDescent="0.35">
      <c r="H137" s="38"/>
      <c r="I137" s="48"/>
      <c r="J137" s="39"/>
      <c r="K137" s="63"/>
      <c r="L137" s="39"/>
    </row>
    <row r="138" spans="1:23" x14ac:dyDescent="0.3">
      <c r="A138" s="20" t="s">
        <v>174</v>
      </c>
      <c r="B138" s="77"/>
      <c r="C138" s="77"/>
      <c r="D138" s="77"/>
      <c r="E138" s="77"/>
      <c r="F138" s="77"/>
      <c r="G138" s="20"/>
      <c r="H138" s="36"/>
      <c r="I138" s="78">
        <f>(K138-J138)/K138*100%</f>
        <v>0</v>
      </c>
      <c r="J138" s="79">
        <f>SUM(J139:J143)</f>
        <v>5</v>
      </c>
      <c r="K138" s="80">
        <f>SUM(K139:K143)</f>
        <v>5</v>
      </c>
      <c r="L138" s="37"/>
      <c r="M138" s="36"/>
      <c r="N138" s="36"/>
      <c r="O138" s="20"/>
      <c r="P138" s="20"/>
      <c r="Q138" s="20"/>
      <c r="R138" s="20"/>
      <c r="S138" s="20"/>
      <c r="T138" s="20"/>
      <c r="U138" s="20"/>
      <c r="V138" s="20"/>
      <c r="W138" s="20"/>
    </row>
    <row r="139" spans="1:23" ht="15" thickBot="1" x14ac:dyDescent="0.35">
      <c r="A139" s="145" t="s">
        <v>175</v>
      </c>
      <c r="B139" s="145"/>
      <c r="C139" s="145"/>
      <c r="D139" s="145"/>
      <c r="E139" s="145"/>
      <c r="F139" s="145"/>
      <c r="G139" s="86" t="s">
        <v>174</v>
      </c>
      <c r="H139" s="38"/>
      <c r="I139" s="82">
        <v>0</v>
      </c>
      <c r="J139" s="107">
        <v>1</v>
      </c>
      <c r="K139" s="65">
        <v>1</v>
      </c>
      <c r="L139" s="39"/>
    </row>
    <row r="140" spans="1:23" ht="15" thickBot="1" x14ac:dyDescent="0.35">
      <c r="A140" s="145" t="s">
        <v>176</v>
      </c>
      <c r="B140" s="145"/>
      <c r="C140" s="145"/>
      <c r="D140" s="145"/>
      <c r="E140" s="145"/>
      <c r="F140" s="145"/>
      <c r="G140" s="86" t="s">
        <v>174</v>
      </c>
      <c r="H140" s="38"/>
      <c r="I140" s="82">
        <v>0</v>
      </c>
      <c r="J140" s="107">
        <v>1</v>
      </c>
      <c r="K140" s="65">
        <v>1</v>
      </c>
      <c r="L140" s="39"/>
    </row>
    <row r="141" spans="1:23" ht="15" thickBot="1" x14ac:dyDescent="0.35">
      <c r="A141" s="145" t="s">
        <v>177</v>
      </c>
      <c r="B141" s="145"/>
      <c r="C141" s="145"/>
      <c r="D141" s="145"/>
      <c r="E141" s="145"/>
      <c r="F141" s="145"/>
      <c r="G141" s="86" t="s">
        <v>174</v>
      </c>
      <c r="H141" s="38"/>
      <c r="I141" s="82">
        <v>0</v>
      </c>
      <c r="J141" s="107">
        <v>1</v>
      </c>
      <c r="K141" s="65">
        <v>1</v>
      </c>
      <c r="L141" s="39"/>
    </row>
    <row r="142" spans="1:23" ht="15" thickBot="1" x14ac:dyDescent="0.35">
      <c r="A142" s="145" t="s">
        <v>178</v>
      </c>
      <c r="B142" s="145"/>
      <c r="C142" s="145"/>
      <c r="D142" s="145"/>
      <c r="E142" s="145"/>
      <c r="F142" s="145"/>
      <c r="G142" s="86" t="s">
        <v>174</v>
      </c>
      <c r="H142" s="38"/>
      <c r="I142" s="82">
        <v>0</v>
      </c>
      <c r="J142" s="107">
        <v>1</v>
      </c>
      <c r="K142" s="65">
        <v>1</v>
      </c>
      <c r="L142" s="39"/>
    </row>
    <row r="143" spans="1:23" ht="15" thickBot="1" x14ac:dyDescent="0.35">
      <c r="A143" s="145" t="s">
        <v>179</v>
      </c>
      <c r="B143" s="145"/>
      <c r="C143" s="145"/>
      <c r="D143" s="145"/>
      <c r="E143" s="145"/>
      <c r="F143" s="145"/>
      <c r="G143" s="86" t="s">
        <v>174</v>
      </c>
      <c r="H143" s="38"/>
      <c r="I143" s="82">
        <v>0</v>
      </c>
      <c r="J143" s="107">
        <v>1</v>
      </c>
      <c r="K143" s="65">
        <v>1</v>
      </c>
      <c r="L143" s="39"/>
    </row>
    <row r="145" spans="1:1" x14ac:dyDescent="0.3">
      <c r="A145" s="116"/>
    </row>
  </sheetData>
  <mergeCells count="94">
    <mergeCell ref="A20:F20"/>
    <mergeCell ref="P3:Q3"/>
    <mergeCell ref="R3:S3"/>
    <mergeCell ref="T3:U3"/>
    <mergeCell ref="V3:W3"/>
    <mergeCell ref="L4:N9"/>
    <mergeCell ref="A14:F14"/>
    <mergeCell ref="A15:F15"/>
    <mergeCell ref="A16:F16"/>
    <mergeCell ref="A17:F17"/>
    <mergeCell ref="A18:F18"/>
    <mergeCell ref="A19:F19"/>
    <mergeCell ref="A41:F41"/>
    <mergeCell ref="A21:F21"/>
    <mergeCell ref="A22:F22"/>
    <mergeCell ref="A23:F23"/>
    <mergeCell ref="A27:F27"/>
    <mergeCell ref="A28:F28"/>
    <mergeCell ref="A29:F29"/>
    <mergeCell ref="A30:F30"/>
    <mergeCell ref="A31:F31"/>
    <mergeCell ref="A36:F36"/>
    <mergeCell ref="A39:F39"/>
    <mergeCell ref="A40:F40"/>
    <mergeCell ref="A61:F61"/>
    <mergeCell ref="A42:F42"/>
    <mergeCell ref="A43:F43"/>
    <mergeCell ref="A44:F44"/>
    <mergeCell ref="A45:F45"/>
    <mergeCell ref="A48:F48"/>
    <mergeCell ref="A51:F51"/>
    <mergeCell ref="A54:F54"/>
    <mergeCell ref="A55:F55"/>
    <mergeCell ref="A58:F58"/>
    <mergeCell ref="A59:F59"/>
    <mergeCell ref="A60:F60"/>
    <mergeCell ref="A79:F79"/>
    <mergeCell ref="A62:F62"/>
    <mergeCell ref="A65:F65"/>
    <mergeCell ref="A66:F66"/>
    <mergeCell ref="A67:F67"/>
    <mergeCell ref="A68:F68"/>
    <mergeCell ref="A69:F69"/>
    <mergeCell ref="A70:F70"/>
    <mergeCell ref="A73:F73"/>
    <mergeCell ref="A74:F74"/>
    <mergeCell ref="A77:F77"/>
    <mergeCell ref="A78:F78"/>
    <mergeCell ref="A97:F97"/>
    <mergeCell ref="A80:F80"/>
    <mergeCell ref="A83:F83"/>
    <mergeCell ref="A84:F84"/>
    <mergeCell ref="A85:F85"/>
    <mergeCell ref="A88:F88"/>
    <mergeCell ref="A89:F89"/>
    <mergeCell ref="A90:F90"/>
    <mergeCell ref="A91:F91"/>
    <mergeCell ref="A94:F94"/>
    <mergeCell ref="A95:F95"/>
    <mergeCell ref="A96:F96"/>
    <mergeCell ref="A115:F115"/>
    <mergeCell ref="A100:F100"/>
    <mergeCell ref="A101:F101"/>
    <mergeCell ref="A102:F102"/>
    <mergeCell ref="A103:F103"/>
    <mergeCell ref="A104:F104"/>
    <mergeCell ref="A106:F106"/>
    <mergeCell ref="A110:F110"/>
    <mergeCell ref="A111:F111"/>
    <mergeCell ref="A112:F112"/>
    <mergeCell ref="A113:F113"/>
    <mergeCell ref="A114:F114"/>
    <mergeCell ref="A128:F128"/>
    <mergeCell ref="A116:F116"/>
    <mergeCell ref="A117:F117"/>
    <mergeCell ref="A118:F118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40:F140"/>
    <mergeCell ref="A141:F141"/>
    <mergeCell ref="A142:F142"/>
    <mergeCell ref="A143:F143"/>
    <mergeCell ref="A129:F129"/>
    <mergeCell ref="A131:F131"/>
    <mergeCell ref="A132:F132"/>
    <mergeCell ref="A133:F133"/>
    <mergeCell ref="A134:F134"/>
    <mergeCell ref="A139:F139"/>
  </mergeCells>
  <conditionalFormatting sqref="A35:H35 L35:Q35 I83:I86 I27:I31 I73:I74">
    <cfRule type="dataBar" priority="3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{2F958F70-A890-4424-9CC6-92F2C57B3BCF}</x14:id>
        </ext>
      </extLst>
    </cfRule>
  </conditionalFormatting>
  <conditionalFormatting sqref="B34:H34">
    <cfRule type="dataBar" priority="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{2AF09127-7C3D-464C-A473-EAC4F763F937}</x14:id>
        </ext>
      </extLst>
    </cfRule>
  </conditionalFormatting>
  <conditionalFormatting sqref="I13">
    <cfRule type="dataBar" priority="3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{81393675-E947-45C0-A40B-050704EB224E}</x14:id>
        </ext>
      </extLst>
    </cfRule>
  </conditionalFormatting>
  <conditionalFormatting sqref="I14:I24">
    <cfRule type="dataBar" priority="3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{A4FDC886-35B8-4D75-82C2-3FFAE8B198DC}</x14:id>
        </ext>
      </extLst>
    </cfRule>
  </conditionalFormatting>
  <conditionalFormatting sqref="I26">
    <cfRule type="dataBar" priority="3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{C82AD9A3-CABB-4D1A-8844-B1165F6EB45C}</x14:id>
        </ext>
      </extLst>
    </cfRule>
  </conditionalFormatting>
  <conditionalFormatting sqref="I34">
    <cfRule type="dataBar" priority="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{DB49543D-F9E8-44E3-B1C5-C59CE434F8D9}</x14:id>
        </ext>
      </extLst>
    </cfRule>
  </conditionalFormatting>
  <conditionalFormatting sqref="I36">
    <cfRule type="dataBar" priority="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{F8FD9815-3D2E-40D1-8CC5-53BA338B2DD9}</x14:id>
        </ext>
      </extLst>
    </cfRule>
  </conditionalFormatting>
  <conditionalFormatting sqref="I38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{3A31F2EC-68E6-418E-A875-D11BCC50BF91}</x14:id>
        </ext>
      </extLst>
    </cfRule>
  </conditionalFormatting>
  <conditionalFormatting sqref="I39:I46 I48">
    <cfRule type="dataBar" priority="3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{D7EE4A98-706F-4AC6-85CD-78623B8D7BB8}</x14:id>
        </ext>
      </extLst>
    </cfRule>
  </conditionalFormatting>
  <conditionalFormatting sqref="I47">
    <cfRule type="dataBar" priority="2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{C1BA8844-61A7-4F14-8521-D945FA2A0933}</x14:id>
        </ext>
      </extLst>
    </cfRule>
  </conditionalFormatting>
  <conditionalFormatting sqref="I50">
    <cfRule type="dataBar" priority="2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{DF056A35-1AED-4475-A80A-343F09B369A5}</x14:id>
        </ext>
      </extLst>
    </cfRule>
  </conditionalFormatting>
  <conditionalFormatting sqref="I51">
    <cfRule type="dataBar" priority="2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{7CF047EB-C38C-421C-A5C6-FBA664712F19}</x14:id>
        </ext>
      </extLst>
    </cfRule>
  </conditionalFormatting>
  <conditionalFormatting sqref="I53">
    <cfRule type="dataBar" priority="2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{1453337D-2EE3-4C9B-93BC-1FE96CEA72C6}</x14:id>
        </ext>
      </extLst>
    </cfRule>
  </conditionalFormatting>
  <conditionalFormatting sqref="I54:I55">
    <cfRule type="dataBar" priority="2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{C4D63BCC-8EF8-46B3-A52E-B72C02614D32}</x14:id>
        </ext>
      </extLst>
    </cfRule>
  </conditionalFormatting>
  <conditionalFormatting sqref="I57">
    <cfRule type="dataBar" priority="1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{8D249693-D3E9-4796-ADC5-28004B4CFD99}</x14:id>
        </ext>
      </extLst>
    </cfRule>
  </conditionalFormatting>
  <conditionalFormatting sqref="I58:I59">
    <cfRule type="dataBar" priority="2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{D7B0AB2A-8BF0-40CC-964F-1E052007EEF0}</x14:id>
        </ext>
      </extLst>
    </cfRule>
  </conditionalFormatting>
  <conditionalFormatting sqref="I60:I62">
    <cfRule type="dataBar" priority="2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{B13199F8-9ABE-44ED-8C4A-27CFB779D21E}</x14:id>
        </ext>
      </extLst>
    </cfRule>
  </conditionalFormatting>
  <conditionalFormatting sqref="I64">
    <cfRule type="dataBar" priority="1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{8DDE83CC-B4F3-4AB0-BD7D-89403F1F5720}</x14:id>
        </ext>
      </extLst>
    </cfRule>
  </conditionalFormatting>
  <conditionalFormatting sqref="I65:I70">
    <cfRule type="dataBar" priority="2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{311A33CD-0F4F-4E44-AFD3-368BED8D92DB}</x14:id>
        </ext>
      </extLst>
    </cfRule>
  </conditionalFormatting>
  <conditionalFormatting sqref="I72">
    <cfRule type="dataBar" priority="1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{5FA4841A-2FB7-441E-9292-5B95A4D069D8}</x14:id>
        </ext>
      </extLst>
    </cfRule>
  </conditionalFormatting>
  <conditionalFormatting sqref="I76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{AF1E7F27-6777-4332-A3D5-902254785868}</x14:id>
        </ext>
      </extLst>
    </cfRule>
  </conditionalFormatting>
  <conditionalFormatting sqref="I77:I80">
    <cfRule type="dataBar" priority="2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{31576947-51CB-4865-AAD1-CE6D859DF0BA}</x14:id>
        </ext>
      </extLst>
    </cfRule>
  </conditionalFormatting>
  <conditionalFormatting sqref="I81">
    <cfRule type="dataBar" priority="3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{E685FF24-6544-456F-98BE-387480D8EFE8}</x14:id>
        </ext>
      </extLst>
    </cfRule>
  </conditionalFormatting>
  <conditionalFormatting sqref="I82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{9AF7AECB-A9DE-4F03-930C-646F66F92EB5}</x14:id>
        </ext>
      </extLst>
    </cfRule>
  </conditionalFormatting>
  <conditionalFormatting sqref="I87">
    <cfRule type="dataBar" priority="1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{363C45E3-8FD4-423F-A26B-F1065ECC458E}</x14:id>
        </ext>
      </extLst>
    </cfRule>
  </conditionalFormatting>
  <conditionalFormatting sqref="I88:I91 I110:I118 I139:I143 I106 I94:I97 I100:I104 I120:I125 I127:I129 I131:I137">
    <cfRule type="dataBar" priority="3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{1B597DCC-9EB0-4903-8854-C290E4A00C2D}</x14:id>
        </ext>
      </extLst>
    </cfRule>
  </conditionalFormatting>
  <conditionalFormatting sqref="I93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{1A9F3C28-98D2-4EF2-B3AF-47F0B7B8E96C}</x14:id>
        </ext>
      </extLst>
    </cfRule>
  </conditionalFormatting>
  <conditionalFormatting sqref="I99">
    <cfRule type="dataBar" priority="1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{62FE0C1E-40C3-4A4F-978B-5B390913B9AB}</x14:id>
        </ext>
      </extLst>
    </cfRule>
  </conditionalFormatting>
  <conditionalFormatting sqref="I108">
    <cfRule type="dataBar" priority="3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{CEA418A7-8D96-4B79-8990-617EC6018E9C}</x14:id>
        </ext>
      </extLst>
    </cfRule>
  </conditionalFormatting>
  <conditionalFormatting sqref="I109">
    <cfRule type="dataBar" priority="1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{3DFF8468-A3AC-48DF-BEF0-43E9F9CDFFF6}</x14:id>
        </ext>
      </extLst>
    </cfRule>
  </conditionalFormatting>
  <conditionalFormatting sqref="I119">
    <cfRule type="dataBar" priority="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{81851934-4238-42F8-9627-2A20888FD149}</x14:id>
        </ext>
      </extLst>
    </cfRule>
  </conditionalFormatting>
  <conditionalFormatting sqref="I130">
    <cfRule type="dataBar" priority="1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{20060C16-0561-4D4C-965C-23ACBC44AFE6}</x14:id>
        </ext>
      </extLst>
    </cfRule>
  </conditionalFormatting>
  <conditionalFormatting sqref="I138">
    <cfRule type="dataBar" priority="1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{169D3681-277D-423C-8184-DF68ACB2F297}</x14:id>
        </ext>
      </extLst>
    </cfRule>
  </conditionalFormatting>
  <conditionalFormatting sqref="I33:K33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{DD5FD488-05D2-4346-82FE-7A3BDCB7B2AF}</x14:id>
        </ext>
      </extLst>
    </cfRule>
  </conditionalFormatting>
  <conditionalFormatting sqref="I35:K35">
    <cfRule type="dataBar" priority="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{6AC38ECC-4314-48AB-B305-A16FD6B7483D}</x14:id>
        </ext>
      </extLst>
    </cfRule>
  </conditionalFormatting>
  <conditionalFormatting sqref="L34:W34">
    <cfRule type="dataBar" priority="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{23729E7C-272E-489C-A574-89E930AB5E92}</x14:id>
        </ext>
      </extLst>
    </cfRule>
  </conditionalFormatting>
  <conditionalFormatting sqref="R35:W35">
    <cfRule type="dataBar" priority="2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{21E4EDDA-BD7C-42DC-965E-E325CC6066AF}</x14:id>
        </ext>
      </extLst>
    </cfRule>
  </conditionalFormatting>
  <hyperlinks>
    <hyperlink ref="P2" location="GENERAL!A1" display="HOME" xr:uid="{7437A7F2-9949-4FB5-AED2-6FB82DD15E13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958F70-A890-4424-9CC6-92F2C57B3B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A35:H35 L35:Q35 I83:I86 I27:I31 I73:I74</xm:sqref>
        </x14:conditionalFormatting>
        <x14:conditionalFormatting xmlns:xm="http://schemas.microsoft.com/office/excel/2006/main">
          <x14:cfRule type="dataBar" id="{2AF09127-7C3D-464C-A473-EAC4F763F9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B34:H34</xm:sqref>
        </x14:conditionalFormatting>
        <x14:conditionalFormatting xmlns:xm="http://schemas.microsoft.com/office/excel/2006/main">
          <x14:cfRule type="dataBar" id="{81393675-E947-45C0-A40B-050704EB22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</xm:sqref>
        </x14:conditionalFormatting>
        <x14:conditionalFormatting xmlns:xm="http://schemas.microsoft.com/office/excel/2006/main">
          <x14:cfRule type="dataBar" id="{A4FDC886-35B8-4D75-82C2-3FFAE8B198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I14:I24</xm:sqref>
        </x14:conditionalFormatting>
        <x14:conditionalFormatting xmlns:xm="http://schemas.microsoft.com/office/excel/2006/main">
          <x14:cfRule type="dataBar" id="{C82AD9A3-CABB-4D1A-8844-B1165F6EB4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DB49543D-F9E8-44E3-B1C5-C59CE434F8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I34</xm:sqref>
        </x14:conditionalFormatting>
        <x14:conditionalFormatting xmlns:xm="http://schemas.microsoft.com/office/excel/2006/main">
          <x14:cfRule type="dataBar" id="{F8FD9815-3D2E-40D1-8CC5-53BA338B2DD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I36</xm:sqref>
        </x14:conditionalFormatting>
        <x14:conditionalFormatting xmlns:xm="http://schemas.microsoft.com/office/excel/2006/main">
          <x14:cfRule type="dataBar" id="{3A31F2EC-68E6-418E-A875-D11BCC50BF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D7EE4A98-706F-4AC6-85CD-78623B8D7B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I39:I46 I48</xm:sqref>
        </x14:conditionalFormatting>
        <x14:conditionalFormatting xmlns:xm="http://schemas.microsoft.com/office/excel/2006/main">
          <x14:cfRule type="dataBar" id="{C1BA8844-61A7-4F14-8521-D945FA2A09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I47</xm:sqref>
        </x14:conditionalFormatting>
        <x14:conditionalFormatting xmlns:xm="http://schemas.microsoft.com/office/excel/2006/main">
          <x14:cfRule type="dataBar" id="{DF056A35-1AED-4475-A80A-343F09B369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I50</xm:sqref>
        </x14:conditionalFormatting>
        <x14:conditionalFormatting xmlns:xm="http://schemas.microsoft.com/office/excel/2006/main">
          <x14:cfRule type="dataBar" id="{7CF047EB-C38C-421C-A5C6-FBA664712F1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I51</xm:sqref>
        </x14:conditionalFormatting>
        <x14:conditionalFormatting xmlns:xm="http://schemas.microsoft.com/office/excel/2006/main">
          <x14:cfRule type="dataBar" id="{1453337D-2EE3-4C9B-93BC-1FE96CEA72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I53</xm:sqref>
        </x14:conditionalFormatting>
        <x14:conditionalFormatting xmlns:xm="http://schemas.microsoft.com/office/excel/2006/main">
          <x14:cfRule type="dataBar" id="{C4D63BCC-8EF8-46B3-A52E-B72C02614D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I54:I55</xm:sqref>
        </x14:conditionalFormatting>
        <x14:conditionalFormatting xmlns:xm="http://schemas.microsoft.com/office/excel/2006/main">
          <x14:cfRule type="dataBar" id="{8D249693-D3E9-4796-ADC5-28004B4CFD9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I57</xm:sqref>
        </x14:conditionalFormatting>
        <x14:conditionalFormatting xmlns:xm="http://schemas.microsoft.com/office/excel/2006/main">
          <x14:cfRule type="dataBar" id="{D7B0AB2A-8BF0-40CC-964F-1E052007EE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I58:I59</xm:sqref>
        </x14:conditionalFormatting>
        <x14:conditionalFormatting xmlns:xm="http://schemas.microsoft.com/office/excel/2006/main">
          <x14:cfRule type="dataBar" id="{B13199F8-9ABE-44ED-8C4A-27CFB779D2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I60:I62</xm:sqref>
        </x14:conditionalFormatting>
        <x14:conditionalFormatting xmlns:xm="http://schemas.microsoft.com/office/excel/2006/main">
          <x14:cfRule type="dataBar" id="{8DDE83CC-B4F3-4AB0-BD7D-89403F1F57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I64</xm:sqref>
        </x14:conditionalFormatting>
        <x14:conditionalFormatting xmlns:xm="http://schemas.microsoft.com/office/excel/2006/main">
          <x14:cfRule type="dataBar" id="{311A33CD-0F4F-4E44-AFD3-368BED8D92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I65:I70</xm:sqref>
        </x14:conditionalFormatting>
        <x14:conditionalFormatting xmlns:xm="http://schemas.microsoft.com/office/excel/2006/main">
          <x14:cfRule type="dataBar" id="{5FA4841A-2FB7-441E-9292-5B95A4D069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I72</xm:sqref>
        </x14:conditionalFormatting>
        <x14:conditionalFormatting xmlns:xm="http://schemas.microsoft.com/office/excel/2006/main">
          <x14:cfRule type="dataBar" id="{AF1E7F27-6777-4332-A3D5-9022547858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I76</xm:sqref>
        </x14:conditionalFormatting>
        <x14:conditionalFormatting xmlns:xm="http://schemas.microsoft.com/office/excel/2006/main">
          <x14:cfRule type="dataBar" id="{31576947-51CB-4865-AAD1-CE6D859DF0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I77:I80</xm:sqref>
        </x14:conditionalFormatting>
        <x14:conditionalFormatting xmlns:xm="http://schemas.microsoft.com/office/excel/2006/main">
          <x14:cfRule type="dataBar" id="{E685FF24-6544-456F-98BE-387480D8EF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I81</xm:sqref>
        </x14:conditionalFormatting>
        <x14:conditionalFormatting xmlns:xm="http://schemas.microsoft.com/office/excel/2006/main">
          <x14:cfRule type="dataBar" id="{9AF7AECB-A9DE-4F03-930C-646F66F92E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I82</xm:sqref>
        </x14:conditionalFormatting>
        <x14:conditionalFormatting xmlns:xm="http://schemas.microsoft.com/office/excel/2006/main">
          <x14:cfRule type="dataBar" id="{363C45E3-8FD4-423F-A26B-F1065ECC458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I87</xm:sqref>
        </x14:conditionalFormatting>
        <x14:conditionalFormatting xmlns:xm="http://schemas.microsoft.com/office/excel/2006/main">
          <x14:cfRule type="dataBar" id="{1B597DCC-9EB0-4903-8854-C290E4A00C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I88:I91 I110:I118 I139:I143 I106 I94:I97 I100:I104 I120:I125 I127:I129 I131:I137</xm:sqref>
        </x14:conditionalFormatting>
        <x14:conditionalFormatting xmlns:xm="http://schemas.microsoft.com/office/excel/2006/main">
          <x14:cfRule type="dataBar" id="{1A9F3C28-98D2-4EF2-B3AF-47F0B7B8E9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I93</xm:sqref>
        </x14:conditionalFormatting>
        <x14:conditionalFormatting xmlns:xm="http://schemas.microsoft.com/office/excel/2006/main">
          <x14:cfRule type="dataBar" id="{62FE0C1E-40C3-4A4F-978B-5B390913B9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I99</xm:sqref>
        </x14:conditionalFormatting>
        <x14:conditionalFormatting xmlns:xm="http://schemas.microsoft.com/office/excel/2006/main">
          <x14:cfRule type="dataBar" id="{CEA418A7-8D96-4B79-8990-617EC6018E9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I108</xm:sqref>
        </x14:conditionalFormatting>
        <x14:conditionalFormatting xmlns:xm="http://schemas.microsoft.com/office/excel/2006/main">
          <x14:cfRule type="dataBar" id="{3DFF8468-A3AC-48DF-BEF0-43E9F9CDFF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I109</xm:sqref>
        </x14:conditionalFormatting>
        <x14:conditionalFormatting xmlns:xm="http://schemas.microsoft.com/office/excel/2006/main">
          <x14:cfRule type="dataBar" id="{81851934-4238-42F8-9627-2A20888FD1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I119</xm:sqref>
        </x14:conditionalFormatting>
        <x14:conditionalFormatting xmlns:xm="http://schemas.microsoft.com/office/excel/2006/main">
          <x14:cfRule type="dataBar" id="{20060C16-0561-4D4C-965C-23ACBC44AF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I130</xm:sqref>
        </x14:conditionalFormatting>
        <x14:conditionalFormatting xmlns:xm="http://schemas.microsoft.com/office/excel/2006/main">
          <x14:cfRule type="dataBar" id="{169D3681-277D-423C-8184-DF68ACB2F2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I138</xm:sqref>
        </x14:conditionalFormatting>
        <x14:conditionalFormatting xmlns:xm="http://schemas.microsoft.com/office/excel/2006/main">
          <x14:cfRule type="dataBar" id="{DD5FD488-05D2-4346-82FE-7A3BDCB7B2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I33:K33</xm:sqref>
        </x14:conditionalFormatting>
        <x14:conditionalFormatting xmlns:xm="http://schemas.microsoft.com/office/excel/2006/main">
          <x14:cfRule type="dataBar" id="{6AC38ECC-4314-48AB-B305-A16FD6B748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I35:K35</xm:sqref>
        </x14:conditionalFormatting>
        <x14:conditionalFormatting xmlns:xm="http://schemas.microsoft.com/office/excel/2006/main">
          <x14:cfRule type="dataBar" id="{23729E7C-272E-489C-A574-89E930AB5E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L34:W34</xm:sqref>
        </x14:conditionalFormatting>
        <x14:conditionalFormatting xmlns:xm="http://schemas.microsoft.com/office/excel/2006/main">
          <x14:cfRule type="dataBar" id="{21E4EDDA-BD7C-42DC-965E-E325CC6066A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R35:W35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39A3-7F91-4E6F-A5A5-C837757E6FF7}">
  <dimension ref="A1:W145"/>
  <sheetViews>
    <sheetView zoomScale="90" zoomScaleNormal="90" workbookViewId="0">
      <selection activeCell="A18" sqref="A18:F18"/>
    </sheetView>
  </sheetViews>
  <sheetFormatPr defaultRowHeight="14.4" x14ac:dyDescent="0.3"/>
  <cols>
    <col min="1" max="1" width="46.5546875" bestFit="1" customWidth="1"/>
    <col min="2" max="2" width="18.33203125" bestFit="1" customWidth="1"/>
    <col min="3" max="3" width="12.6640625" bestFit="1" customWidth="1"/>
    <col min="5" max="5" width="8.88671875" bestFit="1" customWidth="1"/>
    <col min="6" max="6" width="20.33203125" customWidth="1"/>
    <col min="9" max="9" width="18.88671875" bestFit="1" customWidth="1"/>
    <col min="13" max="14" width="9.109375" style="38"/>
    <col min="17" max="17" width="16.5546875" customWidth="1"/>
    <col min="19" max="19" width="10.109375" customWidth="1"/>
    <col min="20" max="20" width="12.33203125" customWidth="1"/>
    <col min="21" max="21" width="9.33203125" customWidth="1"/>
  </cols>
  <sheetData>
    <row r="1" spans="1:23" ht="23.4" x14ac:dyDescent="0.3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128"/>
      <c r="N1" s="128"/>
      <c r="O1" s="61"/>
      <c r="P1" s="61"/>
      <c r="Q1" s="21"/>
      <c r="R1" s="19"/>
      <c r="S1" s="19"/>
      <c r="T1" s="19"/>
      <c r="U1" s="19"/>
      <c r="V1" s="19"/>
      <c r="W1" s="19"/>
    </row>
    <row r="2" spans="1:23" ht="24" thickBot="1" x14ac:dyDescent="0.5">
      <c r="A2" s="87" t="s">
        <v>227</v>
      </c>
      <c r="B2" s="87"/>
      <c r="C2" s="87"/>
      <c r="D2" s="87"/>
      <c r="E2" s="87"/>
      <c r="F2" s="87"/>
      <c r="G2" s="62" t="s">
        <v>26</v>
      </c>
      <c r="H2" s="22"/>
      <c r="I2" s="22"/>
      <c r="J2" s="23"/>
      <c r="K2" s="22"/>
      <c r="L2" s="22"/>
      <c r="M2" s="129"/>
      <c r="N2" s="129"/>
      <c r="O2" s="22"/>
      <c r="P2" s="24" t="s">
        <v>27</v>
      </c>
      <c r="Q2" s="24"/>
      <c r="R2" s="34"/>
      <c r="S2" s="34"/>
      <c r="T2" s="34"/>
      <c r="U2" s="34"/>
      <c r="V2" s="34"/>
      <c r="W2" s="34"/>
    </row>
    <row r="3" spans="1:23" ht="24" thickBot="1" x14ac:dyDescent="0.5">
      <c r="A3" s="88"/>
      <c r="B3" s="88"/>
      <c r="C3" s="88"/>
      <c r="D3" s="88"/>
      <c r="E3" s="88"/>
      <c r="F3" s="88"/>
      <c r="G3" s="88"/>
      <c r="H3" s="22"/>
      <c r="I3" s="22"/>
      <c r="J3" s="23"/>
      <c r="K3" s="22"/>
      <c r="L3" s="22" t="s">
        <v>28</v>
      </c>
      <c r="M3" s="129"/>
      <c r="N3" s="129"/>
      <c r="O3" s="22"/>
      <c r="P3" s="156" t="s">
        <v>29</v>
      </c>
      <c r="Q3" s="157"/>
      <c r="R3" s="154" t="s">
        <v>30</v>
      </c>
      <c r="S3" s="155"/>
      <c r="T3" s="154" t="s">
        <v>31</v>
      </c>
      <c r="U3" s="155"/>
      <c r="V3" s="154" t="s">
        <v>32</v>
      </c>
      <c r="W3" s="155"/>
    </row>
    <row r="4" spans="1:23" x14ac:dyDescent="0.3">
      <c r="A4" s="45" t="s">
        <v>33</v>
      </c>
      <c r="B4" s="69" t="s">
        <v>207</v>
      </c>
      <c r="C4" s="123" t="s">
        <v>34</v>
      </c>
      <c r="D4" s="46">
        <v>46388</v>
      </c>
      <c r="E4" s="26" t="s">
        <v>35</v>
      </c>
      <c r="F4" s="72"/>
      <c r="G4" s="124" t="s">
        <v>36</v>
      </c>
      <c r="H4" s="22" t="s">
        <v>198</v>
      </c>
      <c r="I4" s="22"/>
      <c r="J4" s="23"/>
      <c r="K4" s="26"/>
      <c r="L4" s="158" t="s">
        <v>215</v>
      </c>
      <c r="M4" s="158"/>
      <c r="N4" s="158"/>
      <c r="O4" s="26"/>
      <c r="P4" s="89"/>
      <c r="Q4" s="90"/>
      <c r="R4" s="91"/>
      <c r="S4" s="92"/>
      <c r="T4" s="91"/>
      <c r="U4" s="92"/>
      <c r="V4" s="91"/>
      <c r="W4" s="92"/>
    </row>
    <row r="5" spans="1:23" ht="23.25" customHeight="1" x14ac:dyDescent="0.45">
      <c r="A5" s="27" t="s">
        <v>38</v>
      </c>
      <c r="B5" s="59" t="s">
        <v>216</v>
      </c>
      <c r="C5" s="123" t="s">
        <v>39</v>
      </c>
      <c r="D5" s="60"/>
      <c r="E5" s="26" t="s">
        <v>40</v>
      </c>
      <c r="F5">
        <v>941485</v>
      </c>
      <c r="G5" s="125"/>
      <c r="H5" s="22"/>
      <c r="I5" s="22"/>
      <c r="J5" s="23"/>
      <c r="K5" s="26"/>
      <c r="L5" s="158"/>
      <c r="M5" s="158"/>
      <c r="N5" s="158"/>
      <c r="O5" s="26"/>
      <c r="P5" s="93" t="s">
        <v>42</v>
      </c>
      <c r="Q5" s="94">
        <f>I13</f>
        <v>0</v>
      </c>
      <c r="R5" s="95" t="s">
        <v>43</v>
      </c>
      <c r="S5" s="96">
        <f>I34</f>
        <v>0</v>
      </c>
      <c r="T5" s="95" t="s">
        <v>44</v>
      </c>
      <c r="U5" s="96">
        <f>I82</f>
        <v>0</v>
      </c>
      <c r="V5" s="95" t="s">
        <v>45</v>
      </c>
      <c r="W5" s="96">
        <f>I72</f>
        <v>0</v>
      </c>
    </row>
    <row r="6" spans="1:23" ht="23.25" customHeight="1" x14ac:dyDescent="0.45">
      <c r="A6" s="30" t="s">
        <v>46</v>
      </c>
      <c r="B6" s="59"/>
      <c r="C6" s="30" t="s">
        <v>47</v>
      </c>
      <c r="D6" s="71"/>
      <c r="E6" s="26" t="s">
        <v>48</v>
      </c>
      <c r="F6" s="59">
        <v>220</v>
      </c>
      <c r="G6" s="125"/>
      <c r="H6" s="22"/>
      <c r="I6" s="28"/>
      <c r="J6" s="29"/>
      <c r="K6" s="26"/>
      <c r="L6" s="158"/>
      <c r="M6" s="158"/>
      <c r="N6" s="158"/>
      <c r="O6" s="25"/>
      <c r="P6" s="93" t="s">
        <v>49</v>
      </c>
      <c r="Q6" s="94">
        <f>I26</f>
        <v>0</v>
      </c>
      <c r="R6" s="97" t="str">
        <f>A38</f>
        <v>Salarisadministratie</v>
      </c>
      <c r="S6" s="96">
        <f>I38</f>
        <v>0</v>
      </c>
      <c r="T6" s="97" t="s">
        <v>50</v>
      </c>
      <c r="U6" s="96">
        <f>I87</f>
        <v>0</v>
      </c>
      <c r="V6" s="97"/>
      <c r="W6" s="96"/>
    </row>
    <row r="7" spans="1:23" ht="23.25" customHeight="1" x14ac:dyDescent="0.45">
      <c r="A7" s="25" t="s">
        <v>51</v>
      </c>
      <c r="B7" s="59" t="s">
        <v>217</v>
      </c>
      <c r="C7" s="30" t="s">
        <v>52</v>
      </c>
      <c r="D7" s="59"/>
      <c r="E7" s="25"/>
      <c r="F7" s="119"/>
      <c r="G7" s="125"/>
      <c r="H7" s="22"/>
      <c r="I7" s="31"/>
      <c r="J7" s="32"/>
      <c r="K7" s="26"/>
      <c r="L7" s="158"/>
      <c r="M7" s="158"/>
      <c r="N7" s="158"/>
      <c r="O7" s="25"/>
      <c r="P7" s="93" t="s">
        <v>53</v>
      </c>
      <c r="Q7" s="94">
        <f>AVERAGE(S5:S11)</f>
        <v>0</v>
      </c>
      <c r="R7" s="97" t="str">
        <f>A47</f>
        <v>Loonheffingen en fonds</v>
      </c>
      <c r="S7" s="96">
        <f>I47</f>
        <v>0</v>
      </c>
      <c r="T7" s="97" t="s">
        <v>54</v>
      </c>
      <c r="U7" s="96">
        <f>I93</f>
        <v>0</v>
      </c>
      <c r="V7" s="97"/>
      <c r="W7" s="96"/>
    </row>
    <row r="8" spans="1:23" x14ac:dyDescent="0.3">
      <c r="A8" s="25"/>
      <c r="B8" s="59"/>
      <c r="C8" s="30" t="s">
        <v>55</v>
      </c>
      <c r="D8" s="59" t="s">
        <v>56</v>
      </c>
      <c r="E8" s="25"/>
      <c r="F8" s="71"/>
      <c r="G8" s="126"/>
      <c r="H8" s="71"/>
      <c r="I8" s="31"/>
      <c r="J8" s="32"/>
      <c r="K8" s="26"/>
      <c r="L8" s="158"/>
      <c r="M8" s="158"/>
      <c r="N8" s="158"/>
      <c r="O8" s="25"/>
      <c r="P8" s="93" t="s">
        <v>57</v>
      </c>
      <c r="Q8" s="94">
        <f>AVERAGE(U5:U11)</f>
        <v>0</v>
      </c>
      <c r="R8" s="97" t="str">
        <f>A50</f>
        <v>Instellingen</v>
      </c>
      <c r="S8" s="96">
        <f>I50</f>
        <v>0</v>
      </c>
      <c r="T8" s="97" t="s">
        <v>58</v>
      </c>
      <c r="U8" s="96">
        <f>I99</f>
        <v>0</v>
      </c>
      <c r="V8" s="97"/>
      <c r="W8" s="96"/>
    </row>
    <row r="9" spans="1:23" ht="15" thickBot="1" x14ac:dyDescent="0.35">
      <c r="A9" s="25" t="s">
        <v>59</v>
      </c>
      <c r="B9" s="59" t="s">
        <v>204</v>
      </c>
      <c r="C9" s="30" t="s">
        <v>60</v>
      </c>
      <c r="D9" s="59" t="s">
        <v>204</v>
      </c>
      <c r="E9" s="25"/>
      <c r="F9" s="71"/>
      <c r="G9" s="126"/>
      <c r="H9" s="71"/>
      <c r="I9" s="31"/>
      <c r="J9" s="32"/>
      <c r="K9" s="26"/>
      <c r="L9" s="158"/>
      <c r="M9" s="158"/>
      <c r="N9" s="158"/>
      <c r="O9" s="25"/>
      <c r="P9" s="98" t="s">
        <v>61</v>
      </c>
      <c r="Q9" s="99">
        <f>I109</f>
        <v>0</v>
      </c>
      <c r="R9" s="97" t="str">
        <f>A53</f>
        <v>Loonstroken en Jaaropgave</v>
      </c>
      <c r="S9" s="96">
        <f>I53</f>
        <v>0</v>
      </c>
      <c r="T9" s="97"/>
      <c r="U9" s="96"/>
      <c r="V9" s="97"/>
      <c r="W9" s="96"/>
    </row>
    <row r="10" spans="1:23" ht="15" thickBot="1" x14ac:dyDescent="0.35">
      <c r="A10" s="25"/>
      <c r="B10" s="59"/>
      <c r="C10" s="25"/>
      <c r="D10" s="59"/>
      <c r="E10" s="25"/>
      <c r="F10" s="71"/>
      <c r="G10" s="31"/>
      <c r="H10" s="31"/>
      <c r="I10" s="31"/>
      <c r="J10" s="32"/>
      <c r="K10" s="31"/>
      <c r="L10" s="31"/>
      <c r="M10" s="130"/>
      <c r="N10" s="130"/>
      <c r="O10" s="28"/>
      <c r="P10" s="98" t="s">
        <v>62</v>
      </c>
      <c r="Q10" s="99">
        <f>AVERAGE(Q5:Q9)</f>
        <v>0</v>
      </c>
      <c r="R10" s="97" t="str">
        <f>A57</f>
        <v>Import medewerkers</v>
      </c>
      <c r="S10" s="96">
        <f>I57</f>
        <v>0</v>
      </c>
      <c r="T10" s="97"/>
      <c r="U10" s="96"/>
      <c r="V10" s="97"/>
      <c r="W10" s="96"/>
    </row>
    <row r="11" spans="1:23" ht="15" thickBot="1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33"/>
      <c r="K11" s="19"/>
      <c r="L11" s="34"/>
      <c r="M11" s="131" t="s">
        <v>63</v>
      </c>
      <c r="N11" s="131"/>
      <c r="O11" s="42"/>
      <c r="P11" s="19"/>
      <c r="Q11" s="19"/>
      <c r="R11" s="83" t="str">
        <f>A64</f>
        <v>Diversen</v>
      </c>
      <c r="S11" s="84">
        <f>I64</f>
        <v>0</v>
      </c>
      <c r="T11" s="83"/>
      <c r="U11" s="84"/>
      <c r="V11" s="83"/>
      <c r="W11" s="84"/>
    </row>
    <row r="12" spans="1:23" ht="15" thickBot="1" x14ac:dyDescent="0.35">
      <c r="A12" s="34" t="s">
        <v>64</v>
      </c>
      <c r="B12" s="34"/>
      <c r="C12" s="34"/>
      <c r="D12" s="34"/>
      <c r="E12" s="34"/>
      <c r="F12" s="34"/>
      <c r="G12" s="34" t="s">
        <v>65</v>
      </c>
      <c r="H12" s="34" t="s">
        <v>66</v>
      </c>
      <c r="I12" s="34" t="s">
        <v>67</v>
      </c>
      <c r="J12" s="35" t="s">
        <v>68</v>
      </c>
      <c r="K12" s="34" t="s">
        <v>69</v>
      </c>
      <c r="L12" s="34" t="s">
        <v>70</v>
      </c>
      <c r="M12" s="132" t="s">
        <v>71</v>
      </c>
      <c r="N12" s="132" t="s">
        <v>72</v>
      </c>
      <c r="O12" s="34"/>
      <c r="P12" s="34"/>
      <c r="Q12" s="34"/>
      <c r="R12" s="34"/>
      <c r="S12" s="34"/>
      <c r="T12" s="34"/>
      <c r="U12" s="34"/>
      <c r="V12" s="34"/>
      <c r="W12" s="34"/>
    </row>
    <row r="13" spans="1:23" x14ac:dyDescent="0.3">
      <c r="A13" s="20" t="s">
        <v>73</v>
      </c>
      <c r="B13" s="20"/>
      <c r="C13" s="20"/>
      <c r="D13" s="20"/>
      <c r="E13" s="20"/>
      <c r="F13" s="20"/>
      <c r="G13" s="20"/>
      <c r="H13" s="36"/>
      <c r="I13" s="78">
        <f>(K13-J13)/K13*100%</f>
        <v>0</v>
      </c>
      <c r="J13" s="79">
        <f>SUM(J14:J25)</f>
        <v>10</v>
      </c>
      <c r="K13" s="80">
        <f>SUM(K14:K25)</f>
        <v>10</v>
      </c>
      <c r="L13" s="20"/>
      <c r="M13" s="36"/>
      <c r="N13" s="36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15" thickBot="1" x14ac:dyDescent="0.35">
      <c r="A14" s="149" t="s">
        <v>74</v>
      </c>
      <c r="B14" s="149"/>
      <c r="C14" s="149"/>
      <c r="D14" s="149"/>
      <c r="E14" s="149"/>
      <c r="F14" s="149"/>
      <c r="G14" s="86" t="s">
        <v>75</v>
      </c>
      <c r="H14" s="38"/>
      <c r="I14" s="101">
        <v>0</v>
      </c>
      <c r="J14" s="102">
        <f>K14-I14*K14</f>
        <v>1</v>
      </c>
      <c r="K14" s="102">
        <v>1</v>
      </c>
      <c r="O14" s="10"/>
      <c r="P14" s="3"/>
    </row>
    <row r="15" spans="1:23" ht="15" thickBot="1" x14ac:dyDescent="0.35">
      <c r="A15" s="149" t="s">
        <v>76</v>
      </c>
      <c r="B15" s="149"/>
      <c r="C15" s="149"/>
      <c r="D15" s="149"/>
      <c r="E15" s="149"/>
      <c r="F15" s="149"/>
      <c r="G15" s="86" t="s">
        <v>75</v>
      </c>
      <c r="H15" s="38"/>
      <c r="I15" s="101">
        <v>0</v>
      </c>
      <c r="J15" s="102">
        <f t="shared" ref="J15:J23" si="0">K15-I15*K15</f>
        <v>1</v>
      </c>
      <c r="K15" s="102">
        <v>1</v>
      </c>
      <c r="O15" s="10"/>
    </row>
    <row r="16" spans="1:23" ht="15" thickBot="1" x14ac:dyDescent="0.35">
      <c r="A16" s="149" t="s">
        <v>77</v>
      </c>
      <c r="B16" s="149"/>
      <c r="C16" s="149"/>
      <c r="D16" s="149"/>
      <c r="E16" s="149"/>
      <c r="F16" s="149"/>
      <c r="G16" s="86" t="s">
        <v>75</v>
      </c>
      <c r="H16" s="38"/>
      <c r="I16" s="101">
        <v>0</v>
      </c>
      <c r="J16" s="102">
        <f t="shared" si="0"/>
        <v>1</v>
      </c>
      <c r="K16" s="102">
        <v>1</v>
      </c>
      <c r="O16" s="10"/>
    </row>
    <row r="17" spans="1:23" ht="15" thickBot="1" x14ac:dyDescent="0.35">
      <c r="A17" s="159" t="s">
        <v>78</v>
      </c>
      <c r="B17" s="159"/>
      <c r="C17" s="159"/>
      <c r="D17" s="159"/>
      <c r="E17" s="159"/>
      <c r="F17" s="159"/>
      <c r="G17" s="86" t="s">
        <v>75</v>
      </c>
      <c r="H17" s="38"/>
      <c r="I17" s="101">
        <v>0</v>
      </c>
      <c r="J17" s="102">
        <f t="shared" si="0"/>
        <v>1</v>
      </c>
      <c r="K17" s="102">
        <v>1</v>
      </c>
      <c r="O17" s="10"/>
    </row>
    <row r="18" spans="1:23" ht="15" thickBot="1" x14ac:dyDescent="0.35">
      <c r="A18" s="149" t="s">
        <v>79</v>
      </c>
      <c r="B18" s="149"/>
      <c r="C18" s="149"/>
      <c r="D18" s="149"/>
      <c r="E18" s="149"/>
      <c r="F18" s="149"/>
      <c r="G18" s="86" t="s">
        <v>75</v>
      </c>
      <c r="H18" s="38"/>
      <c r="I18" s="101">
        <v>0</v>
      </c>
      <c r="J18" s="102">
        <f t="shared" si="0"/>
        <v>1</v>
      </c>
      <c r="K18" s="102">
        <v>1</v>
      </c>
      <c r="O18" s="10"/>
    </row>
    <row r="19" spans="1:23" ht="15" thickBot="1" x14ac:dyDescent="0.35">
      <c r="A19" s="149" t="s">
        <v>80</v>
      </c>
      <c r="B19" s="149"/>
      <c r="C19" s="149"/>
      <c r="D19" s="149"/>
      <c r="E19" s="149"/>
      <c r="F19" s="149"/>
      <c r="G19" s="86" t="s">
        <v>75</v>
      </c>
      <c r="H19" s="38"/>
      <c r="I19" s="101">
        <v>0</v>
      </c>
      <c r="J19" s="102">
        <f t="shared" si="0"/>
        <v>1</v>
      </c>
      <c r="K19" s="102">
        <v>1</v>
      </c>
      <c r="O19" s="10"/>
    </row>
    <row r="20" spans="1:23" ht="15" thickBot="1" x14ac:dyDescent="0.35">
      <c r="A20" s="149" t="s">
        <v>81</v>
      </c>
      <c r="B20" s="149"/>
      <c r="C20" s="149"/>
      <c r="D20" s="149"/>
      <c r="E20" s="149"/>
      <c r="F20" s="149"/>
      <c r="G20" s="86" t="s">
        <v>75</v>
      </c>
      <c r="H20" s="38"/>
      <c r="I20" s="101">
        <v>0</v>
      </c>
      <c r="J20" s="102">
        <f t="shared" si="0"/>
        <v>1</v>
      </c>
      <c r="K20" s="102">
        <v>1</v>
      </c>
      <c r="O20" s="10" t="s">
        <v>56</v>
      </c>
    </row>
    <row r="21" spans="1:23" ht="15" thickBot="1" x14ac:dyDescent="0.35">
      <c r="A21" s="149" t="s">
        <v>82</v>
      </c>
      <c r="B21" s="149"/>
      <c r="C21" s="149"/>
      <c r="D21" s="149"/>
      <c r="E21" s="149"/>
      <c r="F21" s="149"/>
      <c r="G21" s="86" t="s">
        <v>75</v>
      </c>
      <c r="H21" s="38"/>
      <c r="I21" s="101">
        <v>0</v>
      </c>
      <c r="J21" s="102">
        <v>1</v>
      </c>
      <c r="K21" s="102">
        <v>1</v>
      </c>
      <c r="O21" s="10" t="s">
        <v>56</v>
      </c>
    </row>
    <row r="22" spans="1:23" ht="15" thickBot="1" x14ac:dyDescent="0.35">
      <c r="A22" s="149" t="s">
        <v>83</v>
      </c>
      <c r="B22" s="149"/>
      <c r="C22" s="149"/>
      <c r="D22" s="149"/>
      <c r="E22" s="149"/>
      <c r="F22" s="149"/>
      <c r="G22" s="86" t="s">
        <v>75</v>
      </c>
      <c r="H22" s="38"/>
      <c r="I22" s="101">
        <v>0</v>
      </c>
      <c r="J22" s="102">
        <f t="shared" si="0"/>
        <v>1</v>
      </c>
      <c r="K22" s="102">
        <v>1</v>
      </c>
      <c r="O22" s="10"/>
    </row>
    <row r="23" spans="1:23" ht="15" thickBot="1" x14ac:dyDescent="0.35">
      <c r="A23" s="153" t="s">
        <v>84</v>
      </c>
      <c r="B23" s="153"/>
      <c r="C23" s="153"/>
      <c r="D23" s="153"/>
      <c r="E23" s="153"/>
      <c r="F23" s="153"/>
      <c r="G23" s="86" t="s">
        <v>75</v>
      </c>
      <c r="H23" s="38"/>
      <c r="I23" s="101">
        <v>0</v>
      </c>
      <c r="J23" s="102">
        <f t="shared" si="0"/>
        <v>1</v>
      </c>
      <c r="K23" s="102">
        <v>1</v>
      </c>
      <c r="O23" s="10"/>
    </row>
    <row r="24" spans="1:23" x14ac:dyDescent="0.3">
      <c r="A24" s="138"/>
      <c r="B24" s="138"/>
      <c r="C24" s="138"/>
      <c r="D24" s="138"/>
      <c r="E24" s="138"/>
      <c r="F24" s="138"/>
      <c r="G24" s="86"/>
      <c r="H24" s="38"/>
      <c r="I24" s="139"/>
      <c r="J24" s="102"/>
      <c r="K24" s="102"/>
      <c r="O24" s="10"/>
    </row>
    <row r="25" spans="1:23" ht="15" thickBot="1" x14ac:dyDescent="0.35">
      <c r="A25" s="100"/>
      <c r="B25" s="100"/>
      <c r="C25" s="100"/>
      <c r="D25" s="100"/>
      <c r="E25" s="100"/>
      <c r="F25" s="100"/>
      <c r="H25" s="38"/>
      <c r="I25" s="10"/>
      <c r="J25" s="39"/>
      <c r="K25" s="63"/>
      <c r="L25" s="39"/>
    </row>
    <row r="26" spans="1:23" x14ac:dyDescent="0.3">
      <c r="A26" s="20" t="s">
        <v>85</v>
      </c>
      <c r="B26" s="77"/>
      <c r="C26" s="77"/>
      <c r="D26" s="77"/>
      <c r="E26" s="77"/>
      <c r="F26" s="77"/>
      <c r="G26" s="20"/>
      <c r="H26" s="36"/>
      <c r="I26" s="78">
        <f>(K26-J26)/K26*100%</f>
        <v>0</v>
      </c>
      <c r="J26" s="79">
        <f>SUM(J27:J32)</f>
        <v>5</v>
      </c>
      <c r="K26" s="80">
        <f>SUM(K27:K32)</f>
        <v>5</v>
      </c>
      <c r="L26" s="37"/>
      <c r="M26" s="36"/>
      <c r="N26" s="36"/>
      <c r="O26" s="20"/>
      <c r="P26" s="20"/>
      <c r="Q26" s="20"/>
      <c r="R26" s="20"/>
      <c r="S26" s="20"/>
      <c r="T26" s="20"/>
      <c r="U26" s="20"/>
      <c r="V26" s="20"/>
      <c r="W26" s="20"/>
    </row>
    <row r="27" spans="1:23" ht="15" thickBot="1" x14ac:dyDescent="0.35">
      <c r="A27" s="149" t="s">
        <v>86</v>
      </c>
      <c r="B27" s="149"/>
      <c r="C27" s="149"/>
      <c r="D27" s="149"/>
      <c r="E27" s="149"/>
      <c r="F27" s="149"/>
      <c r="G27" s="86" t="s">
        <v>87</v>
      </c>
      <c r="H27" s="44"/>
      <c r="I27" s="101">
        <v>0</v>
      </c>
      <c r="J27" s="102">
        <f>K27-I27*K27</f>
        <v>1</v>
      </c>
      <c r="K27" s="102">
        <v>1</v>
      </c>
      <c r="L27" s="41"/>
      <c r="M27" s="44"/>
      <c r="N27" s="44" t="s">
        <v>88</v>
      </c>
      <c r="O27" s="11"/>
      <c r="Q27" s="11"/>
      <c r="R27" s="11"/>
      <c r="S27" s="11"/>
      <c r="T27" s="11"/>
      <c r="U27" s="11"/>
      <c r="V27" s="11"/>
      <c r="W27" s="11"/>
    </row>
    <row r="28" spans="1:23" ht="15" thickBot="1" x14ac:dyDescent="0.35">
      <c r="A28" s="149" t="s">
        <v>89</v>
      </c>
      <c r="B28" s="149"/>
      <c r="C28" s="149"/>
      <c r="D28" s="149"/>
      <c r="E28" s="149"/>
      <c r="F28" s="149"/>
      <c r="G28" s="86" t="s">
        <v>87</v>
      </c>
      <c r="H28" s="44"/>
      <c r="I28" s="101">
        <v>0</v>
      </c>
      <c r="J28" s="102">
        <f t="shared" ref="J28:J31" si="1">K28-I28*K28</f>
        <v>1</v>
      </c>
      <c r="K28" s="102">
        <v>1</v>
      </c>
      <c r="L28" s="41"/>
      <c r="M28" s="44"/>
      <c r="N28" s="137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5" thickBot="1" x14ac:dyDescent="0.35">
      <c r="A29" s="149" t="s">
        <v>90</v>
      </c>
      <c r="B29" s="149"/>
      <c r="C29" s="149"/>
      <c r="D29" s="149"/>
      <c r="E29" s="149"/>
      <c r="F29" s="149"/>
      <c r="G29" s="86" t="s">
        <v>87</v>
      </c>
      <c r="H29" s="44"/>
      <c r="I29" s="101">
        <v>0</v>
      </c>
      <c r="J29" s="102">
        <f t="shared" si="1"/>
        <v>1</v>
      </c>
      <c r="K29" s="102">
        <v>1</v>
      </c>
      <c r="L29" s="41"/>
      <c r="M29" s="44"/>
      <c r="N29" s="44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" thickBot="1" x14ac:dyDescent="0.35">
      <c r="A30" s="149" t="s">
        <v>91</v>
      </c>
      <c r="B30" s="149"/>
      <c r="C30" s="149"/>
      <c r="D30" s="149"/>
      <c r="E30" s="149"/>
      <c r="F30" s="149"/>
      <c r="G30" s="86" t="s">
        <v>87</v>
      </c>
      <c r="H30" s="44"/>
      <c r="I30" s="101">
        <v>0</v>
      </c>
      <c r="J30" s="102">
        <f t="shared" si="1"/>
        <v>1</v>
      </c>
      <c r="K30" s="102">
        <v>1</v>
      </c>
      <c r="L30" s="39"/>
      <c r="M30" s="44"/>
      <c r="N30" s="44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5" thickBot="1" x14ac:dyDescent="0.35">
      <c r="A31" s="149" t="s">
        <v>92</v>
      </c>
      <c r="B31" s="149"/>
      <c r="C31" s="149"/>
      <c r="D31" s="149"/>
      <c r="E31" s="149"/>
      <c r="F31" s="149"/>
      <c r="G31" s="86" t="s">
        <v>75</v>
      </c>
      <c r="H31" s="44"/>
      <c r="I31" s="101">
        <v>0</v>
      </c>
      <c r="J31" s="102">
        <f t="shared" si="1"/>
        <v>1</v>
      </c>
      <c r="K31" s="102">
        <v>1</v>
      </c>
      <c r="L31" s="39"/>
      <c r="M31" s="44"/>
      <c r="N31" s="44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5" thickBot="1" x14ac:dyDescent="0.35">
      <c r="A32" s="81"/>
      <c r="B32" s="81"/>
      <c r="C32" s="81"/>
      <c r="D32" s="81"/>
      <c r="E32" s="81"/>
      <c r="F32" s="81"/>
      <c r="G32" s="11"/>
      <c r="H32" s="44"/>
      <c r="I32" s="44"/>
      <c r="J32" s="44"/>
      <c r="K32" s="44"/>
      <c r="L32" s="44"/>
      <c r="M32" s="44"/>
      <c r="N32" s="44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5" thickBot="1" x14ac:dyDescent="0.35">
      <c r="A33" s="20" t="s">
        <v>93</v>
      </c>
      <c r="B33" s="77"/>
      <c r="C33" s="77"/>
      <c r="D33" s="77"/>
      <c r="E33" s="77"/>
      <c r="F33" s="77"/>
      <c r="G33" s="20"/>
      <c r="H33" s="36"/>
      <c r="I33" s="78"/>
      <c r="J33" s="111"/>
      <c r="K33" s="111"/>
      <c r="L33" s="37"/>
      <c r="M33" s="36"/>
      <c r="N33" s="36"/>
      <c r="O33" s="20"/>
      <c r="P33" s="20"/>
      <c r="Q33" s="20"/>
      <c r="R33" s="20"/>
      <c r="S33" s="20"/>
      <c r="T33" s="20"/>
      <c r="U33" s="20"/>
      <c r="V33" s="20"/>
      <c r="W33" s="20"/>
    </row>
    <row r="34" spans="1:23" x14ac:dyDescent="0.3">
      <c r="A34" s="103" t="s">
        <v>94</v>
      </c>
      <c r="B34" s="106"/>
      <c r="C34" s="106"/>
      <c r="D34" s="106"/>
      <c r="E34" s="106"/>
      <c r="F34" s="106"/>
      <c r="G34" s="106"/>
      <c r="H34" s="106"/>
      <c r="I34" s="104">
        <f>(K34-J34)/K34*100%</f>
        <v>0</v>
      </c>
      <c r="J34" s="105">
        <f>(J35+J36)</f>
        <v>1</v>
      </c>
      <c r="K34" s="105">
        <f>(K35+K36)</f>
        <v>1</v>
      </c>
      <c r="L34" s="106"/>
      <c r="M34" s="133"/>
      <c r="N34" s="133"/>
      <c r="O34" s="106"/>
      <c r="P34" s="106"/>
      <c r="Q34" s="106"/>
      <c r="R34" s="106"/>
      <c r="S34" s="106"/>
      <c r="T34" s="106"/>
      <c r="U34" s="106"/>
      <c r="V34" s="106"/>
      <c r="W34" s="106"/>
    </row>
    <row r="35" spans="1:23" x14ac:dyDescent="0.3">
      <c r="A35" s="106" t="s">
        <v>95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33"/>
      <c r="N35" s="133"/>
      <c r="O35" s="106"/>
      <c r="P35" s="106"/>
      <c r="Q35" s="106"/>
      <c r="R35" s="106"/>
      <c r="S35" s="106"/>
      <c r="T35" s="106"/>
      <c r="U35" s="106"/>
      <c r="V35" s="106"/>
      <c r="W35" s="106"/>
    </row>
    <row r="36" spans="1:23" ht="15" thickBot="1" x14ac:dyDescent="0.35">
      <c r="A36" s="149" t="s">
        <v>96</v>
      </c>
      <c r="B36" s="149"/>
      <c r="C36" s="149"/>
      <c r="D36" s="149"/>
      <c r="E36" s="149"/>
      <c r="F36" s="149"/>
      <c r="G36" s="86" t="s">
        <v>75</v>
      </c>
      <c r="H36" s="44"/>
      <c r="I36" s="82">
        <v>0</v>
      </c>
      <c r="J36" s="102">
        <f>K36-I36*K36</f>
        <v>1</v>
      </c>
      <c r="K36" s="102">
        <v>1</v>
      </c>
      <c r="L36" s="41"/>
      <c r="M36" s="44"/>
      <c r="N36" s="44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15" thickBot="1" x14ac:dyDescent="0.35">
      <c r="A37" s="100"/>
      <c r="B37" s="100"/>
      <c r="C37" s="100"/>
      <c r="D37" s="100"/>
      <c r="E37" s="100"/>
      <c r="F37" s="100"/>
      <c r="G37" s="11"/>
      <c r="H37" s="44"/>
      <c r="I37" s="44"/>
      <c r="J37" s="44"/>
      <c r="K37" s="65"/>
      <c r="L37" s="41"/>
      <c r="M37" s="44"/>
      <c r="N37" s="44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3">
      <c r="A38" s="103" t="s">
        <v>97</v>
      </c>
      <c r="B38" s="103"/>
      <c r="C38" s="103"/>
      <c r="D38" s="103"/>
      <c r="E38" s="103"/>
      <c r="F38" s="103"/>
      <c r="G38" s="50"/>
      <c r="H38" s="51"/>
      <c r="I38" s="78">
        <f>(K38-J38)/K38*100%</f>
        <v>0</v>
      </c>
      <c r="J38" s="105">
        <f>SUM(J39:J46)</f>
        <v>7</v>
      </c>
      <c r="K38" s="105">
        <f>SUM(K39:K46)</f>
        <v>7</v>
      </c>
      <c r="L38" s="103"/>
      <c r="M38" s="134"/>
      <c r="N38" s="51"/>
      <c r="O38" s="51"/>
      <c r="P38" s="103"/>
      <c r="Q38" s="103"/>
      <c r="R38" s="103"/>
      <c r="S38" s="103"/>
      <c r="T38" s="103"/>
      <c r="U38" s="103"/>
      <c r="V38" s="103"/>
      <c r="W38" s="103"/>
    </row>
    <row r="39" spans="1:23" ht="15" thickBot="1" x14ac:dyDescent="0.35">
      <c r="A39" s="149" t="s">
        <v>98</v>
      </c>
      <c r="B39" s="149"/>
      <c r="C39" s="149"/>
      <c r="D39" s="149"/>
      <c r="E39" s="149"/>
      <c r="F39" s="149"/>
      <c r="G39" s="86" t="s">
        <v>75</v>
      </c>
      <c r="H39" s="44"/>
      <c r="I39" s="82">
        <v>0</v>
      </c>
      <c r="J39" s="102">
        <f>K39-I39*K39</f>
        <v>1</v>
      </c>
      <c r="K39" s="102">
        <v>1</v>
      </c>
      <c r="L39" s="41"/>
      <c r="M39" s="44"/>
      <c r="N39" s="44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15" thickBot="1" x14ac:dyDescent="0.35">
      <c r="A40" s="149" t="s">
        <v>99</v>
      </c>
      <c r="B40" s="149"/>
      <c r="C40" s="149"/>
      <c r="D40" s="149"/>
      <c r="E40" s="149"/>
      <c r="F40" s="149"/>
      <c r="G40" s="86" t="s">
        <v>75</v>
      </c>
      <c r="H40" s="44"/>
      <c r="I40" s="82">
        <v>0</v>
      </c>
      <c r="J40" s="102">
        <f t="shared" ref="J40:J44" si="2">K40-I40*K40</f>
        <v>1</v>
      </c>
      <c r="K40" s="102">
        <v>1</v>
      </c>
      <c r="L40" s="41"/>
      <c r="M40" s="44"/>
      <c r="N40" s="44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15" thickBot="1" x14ac:dyDescent="0.35">
      <c r="A41" s="149" t="s">
        <v>100</v>
      </c>
      <c r="B41" s="149"/>
      <c r="C41" s="149"/>
      <c r="D41" s="149"/>
      <c r="E41" s="149"/>
      <c r="F41" s="149"/>
      <c r="G41" s="86" t="s">
        <v>75</v>
      </c>
      <c r="H41" s="44"/>
      <c r="I41" s="82">
        <v>0</v>
      </c>
      <c r="J41" s="102">
        <f t="shared" si="2"/>
        <v>1</v>
      </c>
      <c r="K41" s="102">
        <v>1</v>
      </c>
      <c r="L41" s="41"/>
      <c r="M41" s="44"/>
      <c r="N41" s="44"/>
      <c r="O41" s="11"/>
      <c r="P41" s="11"/>
      <c r="Q41" s="11"/>
      <c r="R41" s="11"/>
      <c r="S41" s="11"/>
      <c r="T41" s="11"/>
      <c r="U41" s="11"/>
      <c r="V41" s="11"/>
      <c r="W41" s="11"/>
    </row>
    <row r="42" spans="1:23" ht="15" thickBot="1" x14ac:dyDescent="0.35">
      <c r="A42" s="149" t="s">
        <v>101</v>
      </c>
      <c r="B42" s="149"/>
      <c r="C42" s="149"/>
      <c r="D42" s="149"/>
      <c r="E42" s="149"/>
      <c r="F42" s="149"/>
      <c r="G42" s="86" t="s">
        <v>75</v>
      </c>
      <c r="H42" s="44"/>
      <c r="I42" s="82">
        <v>0</v>
      </c>
      <c r="J42" s="102">
        <f t="shared" si="2"/>
        <v>1</v>
      </c>
      <c r="K42" s="102">
        <v>1</v>
      </c>
      <c r="L42" s="41"/>
      <c r="M42" s="44"/>
      <c r="N42" s="137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5" thickBot="1" x14ac:dyDescent="0.35">
      <c r="A43" s="149" t="s">
        <v>102</v>
      </c>
      <c r="B43" s="149"/>
      <c r="C43" s="149"/>
      <c r="D43" s="149"/>
      <c r="E43" s="149"/>
      <c r="F43" s="149"/>
      <c r="G43" s="86" t="s">
        <v>75</v>
      </c>
      <c r="H43" s="44"/>
      <c r="I43" s="82">
        <v>0</v>
      </c>
      <c r="J43" s="102">
        <f>K43-I43*K43</f>
        <v>1</v>
      </c>
      <c r="K43" s="102">
        <v>1</v>
      </c>
      <c r="L43" s="41"/>
      <c r="M43" s="44"/>
      <c r="N43" s="44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15" thickBot="1" x14ac:dyDescent="0.35">
      <c r="A44" s="149" t="s">
        <v>103</v>
      </c>
      <c r="B44" s="149"/>
      <c r="C44" s="149"/>
      <c r="D44" s="149"/>
      <c r="E44" s="149"/>
      <c r="F44" s="149"/>
      <c r="G44" s="86" t="s">
        <v>75</v>
      </c>
      <c r="H44" s="44"/>
      <c r="I44" s="82">
        <v>0</v>
      </c>
      <c r="J44" s="102">
        <f t="shared" si="2"/>
        <v>1</v>
      </c>
      <c r="K44" s="102">
        <v>1</v>
      </c>
      <c r="L44" s="41"/>
      <c r="M44" s="44"/>
      <c r="N44" s="44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15" thickBot="1" x14ac:dyDescent="0.35">
      <c r="A45" s="149" t="s">
        <v>104</v>
      </c>
      <c r="B45" s="149"/>
      <c r="C45" s="149"/>
      <c r="D45" s="149"/>
      <c r="E45" s="149"/>
      <c r="F45" s="149"/>
      <c r="G45" s="86" t="s">
        <v>75</v>
      </c>
      <c r="H45" s="44"/>
      <c r="I45" s="82">
        <v>0</v>
      </c>
      <c r="J45" s="102">
        <v>1</v>
      </c>
      <c r="K45" s="102">
        <v>1</v>
      </c>
      <c r="L45" s="41"/>
      <c r="M45" s="44"/>
      <c r="N45" s="44"/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5" thickBot="1" x14ac:dyDescent="0.35">
      <c r="A46" s="100"/>
      <c r="B46" s="100"/>
      <c r="C46" s="100"/>
      <c r="D46" s="100"/>
      <c r="E46" s="100"/>
      <c r="F46" s="100"/>
      <c r="G46" s="86"/>
      <c r="H46" s="44"/>
      <c r="I46" s="141"/>
      <c r="J46" s="142"/>
      <c r="K46" s="142"/>
      <c r="L46" s="41"/>
      <c r="M46" s="44"/>
      <c r="N46" s="44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3">
      <c r="A47" s="103" t="s">
        <v>105</v>
      </c>
      <c r="B47" s="103"/>
      <c r="C47" s="103"/>
      <c r="D47" s="103"/>
      <c r="E47" s="103"/>
      <c r="F47" s="103"/>
      <c r="G47" s="50"/>
      <c r="H47" s="51"/>
      <c r="I47" s="104">
        <f>(K47-J47)/K47*100%</f>
        <v>0</v>
      </c>
      <c r="J47" s="105">
        <f>SUM(J48:J49)</f>
        <v>1</v>
      </c>
      <c r="K47" s="105">
        <f>SUM(K48:K49)</f>
        <v>1</v>
      </c>
      <c r="L47" s="103"/>
      <c r="M47" s="134"/>
      <c r="N47" s="51"/>
      <c r="O47" s="51"/>
      <c r="P47" s="103"/>
      <c r="Q47" s="103"/>
      <c r="R47" s="103"/>
      <c r="S47" s="103"/>
      <c r="T47" s="103"/>
      <c r="U47" s="103"/>
      <c r="V47" s="103"/>
      <c r="W47" s="103"/>
    </row>
    <row r="48" spans="1:23" ht="15" thickBot="1" x14ac:dyDescent="0.35">
      <c r="A48" s="149" t="s">
        <v>106</v>
      </c>
      <c r="B48" s="149"/>
      <c r="C48" s="149"/>
      <c r="D48" s="149"/>
      <c r="E48" s="149"/>
      <c r="F48" s="149"/>
      <c r="G48" s="86" t="s">
        <v>75</v>
      </c>
      <c r="H48" s="100"/>
      <c r="I48" s="82">
        <v>0</v>
      </c>
      <c r="J48" s="102">
        <f>K48-I48*K48</f>
        <v>1</v>
      </c>
      <c r="K48" s="102">
        <v>1</v>
      </c>
      <c r="L48" s="100"/>
      <c r="M48" s="135"/>
      <c r="N48" s="135"/>
      <c r="O48" s="100"/>
      <c r="P48" s="100"/>
      <c r="Q48" s="100"/>
      <c r="R48" s="100"/>
      <c r="S48" s="100"/>
      <c r="T48" s="100"/>
      <c r="U48" s="100"/>
      <c r="V48" s="100"/>
      <c r="W48" s="100"/>
    </row>
    <row r="49" spans="1:23" ht="15" thickBot="1" x14ac:dyDescent="0.35">
      <c r="A49" s="100"/>
      <c r="B49" s="100"/>
      <c r="C49" s="100"/>
      <c r="D49" s="100"/>
      <c r="E49" s="100"/>
      <c r="F49" s="100"/>
      <c r="G49" s="100"/>
      <c r="H49" s="100"/>
      <c r="I49" s="66"/>
      <c r="J49" s="67"/>
      <c r="K49" s="68"/>
      <c r="L49" s="100"/>
      <c r="M49" s="135"/>
      <c r="N49" s="135"/>
      <c r="O49" s="100"/>
      <c r="P49" s="100"/>
      <c r="Q49" s="100"/>
      <c r="R49" s="100"/>
      <c r="S49" s="100"/>
      <c r="T49" s="100"/>
      <c r="U49" s="100"/>
      <c r="V49" s="100"/>
      <c r="W49" s="100"/>
    </row>
    <row r="50" spans="1:23" x14ac:dyDescent="0.3">
      <c r="A50" s="103" t="s">
        <v>107</v>
      </c>
      <c r="B50" s="103"/>
      <c r="C50" s="103"/>
      <c r="D50" s="103"/>
      <c r="E50" s="103"/>
      <c r="F50" s="103"/>
      <c r="G50" s="50"/>
      <c r="H50" s="51"/>
      <c r="I50" s="104">
        <f>(K50-J50)/K50*100%</f>
        <v>0</v>
      </c>
      <c r="J50" s="105">
        <f>SUM(J51:J52)</f>
        <v>1</v>
      </c>
      <c r="K50" s="105">
        <f>SUM(K51:K52)</f>
        <v>1</v>
      </c>
      <c r="L50" s="103"/>
      <c r="M50" s="134"/>
      <c r="N50" s="51"/>
      <c r="O50" s="51"/>
      <c r="P50" s="103"/>
      <c r="Q50" s="103"/>
      <c r="R50" s="103"/>
      <c r="S50" s="103"/>
      <c r="T50" s="103"/>
      <c r="U50" s="103"/>
      <c r="V50" s="103"/>
      <c r="W50" s="103"/>
    </row>
    <row r="51" spans="1:23" ht="15" thickBot="1" x14ac:dyDescent="0.35">
      <c r="A51" s="149" t="s">
        <v>108</v>
      </c>
      <c r="B51" s="149"/>
      <c r="C51" s="149"/>
      <c r="D51" s="149"/>
      <c r="E51" s="149"/>
      <c r="F51" s="149"/>
      <c r="G51" s="86" t="s">
        <v>75</v>
      </c>
      <c r="H51" s="44"/>
      <c r="I51" s="82">
        <v>0</v>
      </c>
      <c r="J51" s="102">
        <f>K51-I51*K51</f>
        <v>1</v>
      </c>
      <c r="K51" s="102">
        <v>1</v>
      </c>
      <c r="L51" s="41"/>
      <c r="M51" s="44"/>
      <c r="N51" s="44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15" thickBot="1" x14ac:dyDescent="0.35">
      <c r="A52" s="100"/>
      <c r="B52" s="100"/>
      <c r="C52" s="100"/>
      <c r="D52" s="100"/>
      <c r="E52" s="100"/>
      <c r="F52" s="100"/>
      <c r="G52" s="11"/>
      <c r="H52" s="44"/>
      <c r="I52" s="66"/>
      <c r="J52" s="67"/>
      <c r="K52" s="68"/>
      <c r="L52" s="41"/>
      <c r="M52" s="44"/>
      <c r="N52" s="44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3">
      <c r="A53" s="103" t="s">
        <v>109</v>
      </c>
      <c r="B53" s="103"/>
      <c r="C53" s="103"/>
      <c r="D53" s="103"/>
      <c r="E53" s="103"/>
      <c r="F53" s="103"/>
      <c r="G53" s="50"/>
      <c r="H53" s="51"/>
      <c r="I53" s="104">
        <f>(K53-J53)/K53*100%</f>
        <v>0</v>
      </c>
      <c r="J53" s="105">
        <f>SUM(J54:J56)</f>
        <v>2</v>
      </c>
      <c r="K53" s="105">
        <f>SUM(K54:K56)</f>
        <v>2</v>
      </c>
      <c r="L53" s="103"/>
      <c r="M53" s="134"/>
      <c r="N53" s="51"/>
      <c r="O53" s="51"/>
      <c r="P53" s="103"/>
      <c r="Q53" s="103"/>
      <c r="R53" s="103"/>
      <c r="S53" s="103"/>
      <c r="T53" s="103"/>
      <c r="U53" s="103"/>
      <c r="V53" s="103"/>
      <c r="W53" s="103"/>
    </row>
    <row r="54" spans="1:23" ht="15" thickBot="1" x14ac:dyDescent="0.35">
      <c r="A54" s="149" t="s">
        <v>110</v>
      </c>
      <c r="B54" s="149"/>
      <c r="C54" s="149"/>
      <c r="D54" s="149"/>
      <c r="E54" s="149"/>
      <c r="F54" s="149"/>
      <c r="G54" s="86" t="s">
        <v>75</v>
      </c>
      <c r="H54" s="100"/>
      <c r="I54" s="82">
        <v>0</v>
      </c>
      <c r="J54" s="102">
        <f>K54-I54*K54</f>
        <v>1</v>
      </c>
      <c r="K54" s="102">
        <v>1</v>
      </c>
      <c r="L54" s="41"/>
      <c r="M54" s="44"/>
      <c r="N54" s="44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5" thickBot="1" x14ac:dyDescent="0.35">
      <c r="A55" s="149" t="s">
        <v>111</v>
      </c>
      <c r="B55" s="149"/>
      <c r="C55" s="149"/>
      <c r="D55" s="149"/>
      <c r="E55" s="149"/>
      <c r="F55" s="149"/>
      <c r="G55" s="86" t="s">
        <v>75</v>
      </c>
      <c r="H55" s="100"/>
      <c r="I55" s="82">
        <v>0</v>
      </c>
      <c r="J55" s="102">
        <f>K55-I55*K55</f>
        <v>1</v>
      </c>
      <c r="K55" s="102">
        <v>1</v>
      </c>
      <c r="L55" s="41"/>
      <c r="M55" s="44"/>
      <c r="N55" s="44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5" thickBot="1" x14ac:dyDescent="0.35">
      <c r="A56" s="100"/>
      <c r="B56" s="100"/>
      <c r="C56" s="100"/>
      <c r="D56" s="100"/>
      <c r="E56" s="100"/>
      <c r="F56" s="100"/>
      <c r="G56" s="100"/>
      <c r="H56" s="100"/>
      <c r="I56" s="66"/>
      <c r="J56" s="67"/>
      <c r="K56" s="68"/>
      <c r="L56" s="41"/>
      <c r="M56" s="44"/>
      <c r="N56" s="44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3">
      <c r="A57" s="103" t="s">
        <v>112</v>
      </c>
      <c r="B57" s="103"/>
      <c r="C57" s="103"/>
      <c r="D57" s="103"/>
      <c r="E57" s="103"/>
      <c r="F57" s="103"/>
      <c r="G57" s="50"/>
      <c r="H57" s="51"/>
      <c r="I57" s="104">
        <f>(K57-J57)/K57*100%</f>
        <v>0</v>
      </c>
      <c r="J57" s="105">
        <f>SUM(J58:J63)</f>
        <v>5</v>
      </c>
      <c r="K57" s="105">
        <f>SUM(K58:K63)</f>
        <v>5</v>
      </c>
      <c r="L57" s="103"/>
      <c r="M57" s="134"/>
      <c r="N57" s="51"/>
      <c r="O57" s="51"/>
      <c r="P57" s="103"/>
      <c r="Q57" s="103"/>
      <c r="R57" s="103"/>
      <c r="S57" s="103"/>
      <c r="T57" s="103"/>
      <c r="U57" s="103"/>
      <c r="V57" s="103"/>
      <c r="W57" s="103"/>
    </row>
    <row r="58" spans="1:23" ht="15" thickBot="1" x14ac:dyDescent="0.35">
      <c r="A58" s="149" t="s">
        <v>113</v>
      </c>
      <c r="B58" s="149"/>
      <c r="C58" s="149"/>
      <c r="D58" s="149"/>
      <c r="E58" s="149"/>
      <c r="F58" s="149"/>
      <c r="G58" s="86" t="s">
        <v>75</v>
      </c>
      <c r="H58" s="100"/>
      <c r="I58" s="82">
        <v>0</v>
      </c>
      <c r="J58" s="102">
        <f>K58-I58*K58</f>
        <v>1</v>
      </c>
      <c r="K58" s="102">
        <v>1</v>
      </c>
      <c r="L58" s="100"/>
      <c r="M58" s="135"/>
      <c r="N58" s="135"/>
      <c r="O58" s="100"/>
      <c r="P58" s="100"/>
      <c r="Q58" s="100"/>
      <c r="R58" s="100"/>
      <c r="S58" s="100"/>
      <c r="T58" s="100"/>
      <c r="U58" s="100"/>
      <c r="V58" s="100"/>
      <c r="W58" s="100"/>
    </row>
    <row r="59" spans="1:23" ht="15" thickBot="1" x14ac:dyDescent="0.35">
      <c r="A59" s="149" t="s">
        <v>114</v>
      </c>
      <c r="B59" s="149"/>
      <c r="C59" s="149"/>
      <c r="D59" s="149"/>
      <c r="E59" s="149"/>
      <c r="F59" s="149"/>
      <c r="G59" s="86" t="s">
        <v>75</v>
      </c>
      <c r="H59" s="81"/>
      <c r="I59" s="82">
        <v>0</v>
      </c>
      <c r="J59" s="102">
        <f t="shared" ref="J59:J60" si="3">K59-I59*K59</f>
        <v>1</v>
      </c>
      <c r="K59" s="102">
        <v>1</v>
      </c>
      <c r="L59" s="81"/>
      <c r="M59" s="136"/>
      <c r="N59" s="136"/>
      <c r="O59" s="81"/>
      <c r="P59" s="81"/>
      <c r="Q59" s="81"/>
      <c r="R59" s="81"/>
      <c r="S59" s="81"/>
      <c r="T59" s="81"/>
      <c r="U59" s="81"/>
      <c r="V59" s="81"/>
      <c r="W59" s="81"/>
    </row>
    <row r="60" spans="1:23" ht="15" thickBot="1" x14ac:dyDescent="0.35">
      <c r="A60" s="149" t="s">
        <v>115</v>
      </c>
      <c r="B60" s="149"/>
      <c r="C60" s="149"/>
      <c r="D60" s="149"/>
      <c r="E60" s="149"/>
      <c r="F60" s="149"/>
      <c r="G60" s="86" t="s">
        <v>75</v>
      </c>
      <c r="H60" s="100"/>
      <c r="I60" s="82">
        <v>0</v>
      </c>
      <c r="J60" s="102">
        <f t="shared" si="3"/>
        <v>1</v>
      </c>
      <c r="K60" s="102">
        <v>1</v>
      </c>
      <c r="L60" s="100"/>
      <c r="M60" s="135"/>
      <c r="N60" s="135"/>
      <c r="O60" s="100"/>
      <c r="P60" s="100"/>
      <c r="Q60" s="100"/>
      <c r="R60" s="100"/>
      <c r="S60" s="100"/>
      <c r="T60" s="100"/>
      <c r="U60" s="100"/>
      <c r="V60" s="100"/>
      <c r="W60" s="100"/>
    </row>
    <row r="61" spans="1:23" ht="15" thickBot="1" x14ac:dyDescent="0.35">
      <c r="A61" s="149" t="s">
        <v>116</v>
      </c>
      <c r="B61" s="149"/>
      <c r="C61" s="149"/>
      <c r="D61" s="149"/>
      <c r="E61" s="149"/>
      <c r="F61" s="149"/>
      <c r="G61" s="86" t="s">
        <v>75</v>
      </c>
      <c r="H61" s="100"/>
      <c r="I61" s="82">
        <v>0</v>
      </c>
      <c r="J61" s="102">
        <f>K61-I61*K61</f>
        <v>1</v>
      </c>
      <c r="K61" s="102">
        <v>1</v>
      </c>
      <c r="L61" s="100"/>
      <c r="M61" s="135"/>
      <c r="N61" s="135"/>
      <c r="O61" s="100"/>
      <c r="P61" s="100"/>
      <c r="Q61" s="100"/>
      <c r="R61" s="100"/>
      <c r="S61" s="100"/>
      <c r="T61" s="100"/>
      <c r="U61" s="100"/>
      <c r="V61" s="100"/>
      <c r="W61" s="100"/>
    </row>
    <row r="62" spans="1:23" ht="15" thickBot="1" x14ac:dyDescent="0.35">
      <c r="A62" s="149" t="s">
        <v>117</v>
      </c>
      <c r="B62" s="149"/>
      <c r="C62" s="149"/>
      <c r="D62" s="149"/>
      <c r="E62" s="149"/>
      <c r="F62" s="149"/>
      <c r="G62" s="86" t="s">
        <v>75</v>
      </c>
      <c r="H62" s="100"/>
      <c r="I62" s="82">
        <v>0</v>
      </c>
      <c r="J62" s="102">
        <f>K62-I62*K62</f>
        <v>1</v>
      </c>
      <c r="K62" s="102">
        <v>1</v>
      </c>
      <c r="L62" s="100"/>
      <c r="M62" s="135"/>
      <c r="N62" s="135"/>
      <c r="O62" s="100"/>
      <c r="P62" s="100"/>
      <c r="Q62" s="100"/>
      <c r="R62" s="100"/>
      <c r="S62" s="100"/>
      <c r="T62" s="100"/>
      <c r="U62" s="100"/>
      <c r="V62" s="100"/>
      <c r="W62" s="100"/>
    </row>
    <row r="63" spans="1:23" ht="15" thickBot="1" x14ac:dyDescent="0.35">
      <c r="A63" s="100"/>
      <c r="B63" s="100"/>
      <c r="C63" s="100"/>
      <c r="D63" s="100"/>
      <c r="E63" s="100"/>
      <c r="F63" s="100"/>
      <c r="G63" s="100"/>
      <c r="H63" s="100"/>
      <c r="I63" s="108"/>
      <c r="J63" s="108"/>
      <c r="K63" s="108"/>
      <c r="L63" s="100"/>
      <c r="M63" s="135"/>
      <c r="N63" s="135"/>
      <c r="O63" s="100"/>
      <c r="P63" s="100"/>
      <c r="Q63" s="100"/>
      <c r="R63" s="100"/>
      <c r="S63" s="100"/>
      <c r="T63" s="100"/>
      <c r="U63" s="100"/>
      <c r="V63" s="100"/>
      <c r="W63" s="100"/>
    </row>
    <row r="64" spans="1:23" x14ac:dyDescent="0.3">
      <c r="A64" s="103" t="s">
        <v>118</v>
      </c>
      <c r="B64" s="103"/>
      <c r="C64" s="103"/>
      <c r="D64" s="103"/>
      <c r="E64" s="103"/>
      <c r="F64" s="103"/>
      <c r="G64" s="50"/>
      <c r="H64" s="51"/>
      <c r="I64" s="104">
        <f>(K64-J64)/K64*100%</f>
        <v>0</v>
      </c>
      <c r="J64" s="105">
        <f>SUM(J65:J71)</f>
        <v>6</v>
      </c>
      <c r="K64" s="105">
        <f>SUM(K65:K71)</f>
        <v>6</v>
      </c>
      <c r="L64" s="103"/>
      <c r="M64" s="134"/>
      <c r="N64" s="51"/>
      <c r="O64" s="51"/>
      <c r="P64" s="103"/>
      <c r="Q64" s="103"/>
      <c r="R64" s="103"/>
      <c r="S64" s="103"/>
      <c r="T64" s="103"/>
      <c r="U64" s="103"/>
      <c r="V64" s="103"/>
      <c r="W64" s="103"/>
    </row>
    <row r="65" spans="1:23" ht="15" thickBot="1" x14ac:dyDescent="0.35">
      <c r="A65" s="149" t="s">
        <v>119</v>
      </c>
      <c r="B65" s="149"/>
      <c r="C65" s="149"/>
      <c r="D65" s="149"/>
      <c r="E65" s="149"/>
      <c r="F65" s="149"/>
      <c r="G65" s="86" t="s">
        <v>75</v>
      </c>
      <c r="H65" s="44"/>
      <c r="I65" s="82">
        <v>0</v>
      </c>
      <c r="J65" s="102">
        <f>K65-I65*K65</f>
        <v>1</v>
      </c>
      <c r="K65" s="102">
        <v>1</v>
      </c>
      <c r="L65" s="41"/>
      <c r="M65" s="44"/>
      <c r="N65" s="44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5" thickBot="1" x14ac:dyDescent="0.35">
      <c r="A66" s="149" t="s">
        <v>120</v>
      </c>
      <c r="B66" s="149"/>
      <c r="C66" s="149"/>
      <c r="D66" s="149"/>
      <c r="E66" s="149"/>
      <c r="F66" s="149"/>
      <c r="G66" s="86" t="s">
        <v>75</v>
      </c>
      <c r="H66" s="44"/>
      <c r="I66" s="82">
        <v>0</v>
      </c>
      <c r="J66" s="102">
        <f t="shared" ref="J66:J67" si="4">K66-I66*K66</f>
        <v>1</v>
      </c>
      <c r="K66" s="102">
        <v>1</v>
      </c>
      <c r="L66" s="41"/>
      <c r="M66" s="44"/>
      <c r="N66" s="44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15" thickBot="1" x14ac:dyDescent="0.35">
      <c r="A67" s="149" t="s">
        <v>121</v>
      </c>
      <c r="B67" s="149"/>
      <c r="C67" s="149"/>
      <c r="D67" s="149"/>
      <c r="E67" s="149"/>
      <c r="F67" s="149"/>
      <c r="G67" s="86" t="s">
        <v>75</v>
      </c>
      <c r="H67" s="44"/>
      <c r="I67" s="82">
        <v>0</v>
      </c>
      <c r="J67" s="102">
        <f t="shared" si="4"/>
        <v>1</v>
      </c>
      <c r="K67" s="102">
        <v>1</v>
      </c>
      <c r="L67" s="41"/>
      <c r="M67" s="44"/>
      <c r="N67" s="44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5" thickBot="1" x14ac:dyDescent="0.35">
      <c r="A68" s="149" t="s">
        <v>122</v>
      </c>
      <c r="B68" s="149"/>
      <c r="C68" s="149"/>
      <c r="D68" s="149"/>
      <c r="E68" s="149"/>
      <c r="F68" s="149"/>
      <c r="G68" s="86" t="s">
        <v>75</v>
      </c>
      <c r="H68" s="44"/>
      <c r="I68" s="82">
        <v>0</v>
      </c>
      <c r="J68" s="102">
        <v>1</v>
      </c>
      <c r="K68" s="102">
        <v>1</v>
      </c>
      <c r="L68" s="41"/>
      <c r="M68" s="44"/>
      <c r="N68" s="44"/>
      <c r="O68" s="11"/>
      <c r="P68" s="11"/>
      <c r="Q68" s="11"/>
      <c r="R68" s="11"/>
      <c r="S68" s="11"/>
      <c r="T68" s="11"/>
      <c r="U68" s="11"/>
      <c r="V68" s="11"/>
      <c r="W68" s="11"/>
    </row>
    <row r="69" spans="1:23" ht="15" thickBot="1" x14ac:dyDescent="0.35">
      <c r="A69" s="149" t="s">
        <v>123</v>
      </c>
      <c r="B69" s="149"/>
      <c r="C69" s="149"/>
      <c r="D69" s="149"/>
      <c r="E69" s="149"/>
      <c r="F69" s="149"/>
      <c r="G69" s="86" t="s">
        <v>75</v>
      </c>
      <c r="H69" s="44"/>
      <c r="I69" s="82">
        <v>0</v>
      </c>
      <c r="J69" s="102">
        <f>K69-I69*K69</f>
        <v>1</v>
      </c>
      <c r="K69" s="102">
        <v>1</v>
      </c>
      <c r="L69" s="41"/>
      <c r="M69" s="44"/>
      <c r="N69" s="44"/>
      <c r="O69" s="11"/>
      <c r="P69" s="11"/>
      <c r="Q69" s="11"/>
      <c r="R69" s="11"/>
      <c r="S69" s="11"/>
      <c r="T69" s="11"/>
      <c r="U69" s="11"/>
      <c r="V69" s="11"/>
      <c r="W69" s="11"/>
    </row>
    <row r="70" spans="1:23" ht="15" thickBot="1" x14ac:dyDescent="0.35">
      <c r="A70" s="149" t="s">
        <v>124</v>
      </c>
      <c r="B70" s="149"/>
      <c r="C70" s="149"/>
      <c r="D70" s="149"/>
      <c r="E70" s="149"/>
      <c r="F70" s="149"/>
      <c r="G70" s="86" t="s">
        <v>75</v>
      </c>
      <c r="H70" s="44"/>
      <c r="I70" s="82">
        <v>0</v>
      </c>
      <c r="J70" s="102">
        <v>1</v>
      </c>
      <c r="K70" s="102">
        <v>1</v>
      </c>
      <c r="L70" s="41"/>
      <c r="M70" s="44"/>
      <c r="N70" s="44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5" thickBot="1" x14ac:dyDescent="0.35">
      <c r="A71" s="100"/>
      <c r="B71" s="100"/>
      <c r="C71" s="100"/>
      <c r="D71" s="100"/>
      <c r="E71" s="100"/>
      <c r="F71" s="100"/>
      <c r="H71" s="44"/>
      <c r="I71" s="11"/>
      <c r="J71" s="41"/>
      <c r="K71" s="64"/>
      <c r="L71" s="41"/>
      <c r="M71" s="44"/>
      <c r="N71" s="44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3">
      <c r="A72" s="103" t="s">
        <v>125</v>
      </c>
      <c r="B72" s="103"/>
      <c r="C72" s="103"/>
      <c r="D72" s="103"/>
      <c r="E72" s="103"/>
      <c r="F72" s="103"/>
      <c r="G72" s="50"/>
      <c r="H72" s="51"/>
      <c r="I72" s="104">
        <f>(K72-J72)/K72*100%</f>
        <v>0</v>
      </c>
      <c r="J72" s="105">
        <f>SUM(J73:J75)</f>
        <v>2</v>
      </c>
      <c r="K72" s="105">
        <f>SUM(K73:K75)</f>
        <v>2</v>
      </c>
      <c r="L72" s="49"/>
      <c r="M72" s="51"/>
      <c r="N72" s="51"/>
      <c r="O72" s="51"/>
      <c r="P72" s="50"/>
      <c r="Q72" s="51"/>
      <c r="R72" s="51"/>
      <c r="S72" s="51"/>
      <c r="T72" s="51"/>
      <c r="U72" s="51"/>
      <c r="V72" s="51"/>
      <c r="W72" s="51"/>
    </row>
    <row r="73" spans="1:23" ht="15" thickBot="1" x14ac:dyDescent="0.35">
      <c r="A73" s="149" t="s">
        <v>126</v>
      </c>
      <c r="B73" s="149"/>
      <c r="C73" s="149"/>
      <c r="D73" s="149"/>
      <c r="E73" s="149"/>
      <c r="F73" s="149"/>
      <c r="G73" s="86" t="s">
        <v>127</v>
      </c>
      <c r="H73" s="44"/>
      <c r="I73" s="82">
        <v>0</v>
      </c>
      <c r="J73" s="102">
        <f>K73-I73*K73</f>
        <v>1</v>
      </c>
      <c r="K73" s="102">
        <v>1</v>
      </c>
      <c r="L73" s="41"/>
      <c r="M73" s="44"/>
      <c r="N73" s="44"/>
      <c r="O73" s="11"/>
      <c r="P73" s="11"/>
      <c r="Q73" s="11"/>
      <c r="R73" s="11"/>
      <c r="S73" s="11"/>
      <c r="T73" s="11"/>
      <c r="U73" s="11"/>
      <c r="V73" s="11"/>
      <c r="W73" s="11"/>
    </row>
    <row r="74" spans="1:23" ht="15" thickBot="1" x14ac:dyDescent="0.35">
      <c r="A74" s="149" t="s">
        <v>128</v>
      </c>
      <c r="B74" s="149"/>
      <c r="C74" s="149"/>
      <c r="D74" s="149"/>
      <c r="E74" s="149"/>
      <c r="F74" s="149"/>
      <c r="G74" s="86" t="s">
        <v>127</v>
      </c>
      <c r="H74" s="44"/>
      <c r="I74" s="82">
        <v>0</v>
      </c>
      <c r="J74" s="102">
        <f>K74-I74*K74</f>
        <v>1</v>
      </c>
      <c r="K74" s="102">
        <v>1</v>
      </c>
      <c r="L74" s="41"/>
      <c r="M74" s="44"/>
      <c r="N74" s="44"/>
      <c r="O74" s="11"/>
      <c r="P74" s="11"/>
      <c r="Q74" s="11"/>
      <c r="R74" s="11"/>
      <c r="S74" s="11"/>
      <c r="T74" s="11"/>
      <c r="U74" s="11"/>
      <c r="V74" s="11"/>
      <c r="W74" s="11"/>
    </row>
    <row r="75" spans="1:23" ht="15" thickBot="1" x14ac:dyDescent="0.35">
      <c r="A75" s="76"/>
      <c r="B75" s="76"/>
      <c r="C75" s="76"/>
      <c r="D75" s="76"/>
      <c r="E75" s="76"/>
      <c r="F75" s="76"/>
      <c r="G75" s="11"/>
      <c r="H75" s="44"/>
      <c r="I75" s="11"/>
      <c r="J75" s="41"/>
      <c r="K75" s="64"/>
      <c r="L75" s="41"/>
      <c r="M75" s="44"/>
      <c r="N75" s="44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3">
      <c r="A76" s="103" t="s">
        <v>129</v>
      </c>
      <c r="B76" s="103"/>
      <c r="C76" s="103"/>
      <c r="D76" s="103"/>
      <c r="E76" s="103"/>
      <c r="F76" s="103"/>
      <c r="G76" s="50"/>
      <c r="H76" s="51"/>
      <c r="I76" s="104">
        <f>(K76-J76)/K76*100%</f>
        <v>1</v>
      </c>
      <c r="J76" s="105">
        <f>SUM(J77:J81)</f>
        <v>0</v>
      </c>
      <c r="K76" s="105">
        <f>SUM(K77:K81)</f>
        <v>1</v>
      </c>
      <c r="L76" s="50"/>
      <c r="M76" s="51"/>
      <c r="N76" s="51"/>
      <c r="O76" s="51"/>
      <c r="P76" s="50"/>
      <c r="Q76" s="51"/>
      <c r="R76" s="51"/>
      <c r="S76" s="51"/>
      <c r="T76" s="51"/>
      <c r="U76" s="51"/>
      <c r="V76" s="51"/>
      <c r="W76" s="51"/>
    </row>
    <row r="77" spans="1:23" ht="15" thickBot="1" x14ac:dyDescent="0.35">
      <c r="A77" s="149" t="s">
        <v>130</v>
      </c>
      <c r="B77" s="149"/>
      <c r="C77" s="149"/>
      <c r="D77" s="149"/>
      <c r="E77" s="149"/>
      <c r="F77" s="149"/>
      <c r="G77" s="86" t="s">
        <v>127</v>
      </c>
      <c r="H77" s="44" t="s">
        <v>131</v>
      </c>
      <c r="I77" s="82">
        <v>1</v>
      </c>
      <c r="J77" s="102">
        <f>K77-I77*K77</f>
        <v>0</v>
      </c>
      <c r="K77" s="102">
        <v>1</v>
      </c>
      <c r="L77" s="41"/>
      <c r="M77" s="44"/>
      <c r="N77" s="44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5" thickBot="1" x14ac:dyDescent="0.35">
      <c r="A78" s="149"/>
      <c r="B78" s="149"/>
      <c r="C78" s="149"/>
      <c r="D78" s="149"/>
      <c r="E78" s="149"/>
      <c r="F78" s="149"/>
      <c r="G78" s="86"/>
      <c r="H78" s="44"/>
      <c r="I78" s="82"/>
      <c r="J78" s="102"/>
      <c r="K78" s="102"/>
      <c r="L78" s="41"/>
      <c r="M78" s="44"/>
      <c r="N78" s="44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15" thickBot="1" x14ac:dyDescent="0.35">
      <c r="A79" s="149"/>
      <c r="B79" s="149"/>
      <c r="C79" s="149"/>
      <c r="D79" s="149"/>
      <c r="E79" s="149"/>
      <c r="F79" s="149"/>
      <c r="G79" s="86"/>
      <c r="H79" s="44"/>
      <c r="I79" s="82"/>
      <c r="J79" s="102"/>
      <c r="K79" s="102"/>
      <c r="L79" s="41"/>
      <c r="M79" s="44"/>
      <c r="N79" s="44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15" thickBot="1" x14ac:dyDescent="0.35">
      <c r="A80" s="149"/>
      <c r="B80" s="149"/>
      <c r="C80" s="149"/>
      <c r="D80" s="149"/>
      <c r="E80" s="149"/>
      <c r="F80" s="149"/>
      <c r="G80" s="86"/>
      <c r="H80" s="44"/>
      <c r="I80" s="82"/>
      <c r="J80" s="102"/>
      <c r="K80" s="102"/>
      <c r="L80" s="39"/>
    </row>
    <row r="81" spans="1:23" ht="15" thickBot="1" x14ac:dyDescent="0.35">
      <c r="A81" s="81"/>
      <c r="B81" s="81"/>
      <c r="C81" s="81"/>
      <c r="D81" s="81"/>
      <c r="E81" s="81"/>
      <c r="F81" s="81"/>
      <c r="H81" s="38"/>
      <c r="I81" s="40"/>
      <c r="J81" s="47"/>
      <c r="K81" s="63"/>
      <c r="L81" s="39"/>
    </row>
    <row r="82" spans="1:23" x14ac:dyDescent="0.3">
      <c r="A82" s="85" t="s">
        <v>132</v>
      </c>
      <c r="B82" s="77"/>
      <c r="C82" s="77"/>
      <c r="D82" s="77"/>
      <c r="E82" s="77"/>
      <c r="F82" s="77"/>
      <c r="G82" s="20"/>
      <c r="H82" s="36"/>
      <c r="I82" s="104">
        <f>(K82-J82)/K82*100%</f>
        <v>0</v>
      </c>
      <c r="J82" s="79">
        <f>SUM(J83:J86)</f>
        <v>3</v>
      </c>
      <c r="K82" s="80">
        <f>SUM(K83:K86)</f>
        <v>3</v>
      </c>
      <c r="L82" s="39"/>
    </row>
    <row r="83" spans="1:23" ht="15" thickBot="1" x14ac:dyDescent="0.35">
      <c r="A83" s="149" t="s">
        <v>133</v>
      </c>
      <c r="B83" s="149"/>
      <c r="C83" s="149"/>
      <c r="D83" s="149"/>
      <c r="E83" s="149"/>
      <c r="F83" s="149"/>
      <c r="G83" s="86" t="s">
        <v>87</v>
      </c>
      <c r="H83" s="44"/>
      <c r="I83" s="82">
        <v>0</v>
      </c>
      <c r="J83" s="102">
        <f>K83-I83*K83</f>
        <v>1</v>
      </c>
      <c r="K83" s="102">
        <v>1</v>
      </c>
      <c r="L83" s="39"/>
    </row>
    <row r="84" spans="1:23" ht="15" thickBot="1" x14ac:dyDescent="0.35">
      <c r="A84" s="149" t="s">
        <v>134</v>
      </c>
      <c r="B84" s="149"/>
      <c r="C84" s="149"/>
      <c r="D84" s="149"/>
      <c r="E84" s="149"/>
      <c r="F84" s="149"/>
      <c r="G84" s="86" t="s">
        <v>87</v>
      </c>
      <c r="H84" s="38"/>
      <c r="I84" s="82">
        <v>0</v>
      </c>
      <c r="J84" s="102">
        <f>K84-I84*K84</f>
        <v>1</v>
      </c>
      <c r="K84" s="102">
        <v>1</v>
      </c>
      <c r="L84" s="39"/>
    </row>
    <row r="85" spans="1:23" ht="15" thickBot="1" x14ac:dyDescent="0.35">
      <c r="A85" s="149" t="s">
        <v>135</v>
      </c>
      <c r="B85" s="149"/>
      <c r="C85" s="149"/>
      <c r="D85" s="149"/>
      <c r="E85" s="149"/>
      <c r="F85" s="149"/>
      <c r="G85" s="86" t="s">
        <v>87</v>
      </c>
      <c r="H85" s="38"/>
      <c r="I85" s="82">
        <v>0</v>
      </c>
      <c r="J85" s="102">
        <f>K85-I85*K85</f>
        <v>1</v>
      </c>
      <c r="K85" s="102">
        <v>1</v>
      </c>
      <c r="L85" s="39"/>
    </row>
    <row r="86" spans="1:23" ht="15" thickBot="1" x14ac:dyDescent="0.35">
      <c r="A86" s="100"/>
      <c r="B86" s="100"/>
      <c r="C86" s="100"/>
      <c r="D86" s="100"/>
      <c r="E86" s="100"/>
      <c r="F86" s="100"/>
      <c r="G86" s="86"/>
      <c r="H86" s="38"/>
      <c r="I86" s="112"/>
      <c r="J86" s="102"/>
      <c r="K86" s="102"/>
      <c r="L86" s="39"/>
    </row>
    <row r="87" spans="1:23" x14ac:dyDescent="0.3">
      <c r="A87" s="85" t="s">
        <v>136</v>
      </c>
      <c r="B87" s="77"/>
      <c r="C87" s="77"/>
      <c r="D87" s="77"/>
      <c r="E87" s="77"/>
      <c r="F87" s="77"/>
      <c r="G87" s="20"/>
      <c r="H87" s="36"/>
      <c r="I87" s="104">
        <f>(K87-J87)/K87*100%</f>
        <v>0</v>
      </c>
      <c r="J87" s="79">
        <f>SUM(J88:J92)</f>
        <v>4</v>
      </c>
      <c r="K87" s="80">
        <f>SUM(K88:K92)</f>
        <v>4</v>
      </c>
      <c r="L87" s="37"/>
      <c r="M87" s="36"/>
      <c r="N87" s="36"/>
      <c r="O87" s="20"/>
      <c r="P87" s="20"/>
      <c r="Q87" s="20"/>
      <c r="R87" s="20"/>
      <c r="S87" s="20"/>
      <c r="T87" s="20"/>
      <c r="U87" s="20"/>
      <c r="V87" s="20"/>
      <c r="W87" s="20"/>
    </row>
    <row r="88" spans="1:23" ht="15" thickBot="1" x14ac:dyDescent="0.35">
      <c r="A88" s="149" t="s">
        <v>137</v>
      </c>
      <c r="B88" s="149"/>
      <c r="C88" s="149"/>
      <c r="D88" s="149"/>
      <c r="E88" s="149"/>
      <c r="F88" s="149"/>
      <c r="G88" s="86" t="s">
        <v>87</v>
      </c>
      <c r="H88" s="44"/>
      <c r="I88" s="82">
        <v>0</v>
      </c>
      <c r="J88" s="102">
        <f>K88-I88*K88</f>
        <v>1</v>
      </c>
      <c r="K88" s="102">
        <v>1</v>
      </c>
      <c r="L88" s="41"/>
      <c r="M88" s="44"/>
      <c r="N88" s="44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5" thickBot="1" x14ac:dyDescent="0.35">
      <c r="A89" s="149" t="s">
        <v>138</v>
      </c>
      <c r="B89" s="149"/>
      <c r="C89" s="149"/>
      <c r="D89" s="149"/>
      <c r="E89" s="149"/>
      <c r="F89" s="149"/>
      <c r="G89" s="86" t="s">
        <v>75</v>
      </c>
      <c r="H89" s="38"/>
      <c r="I89" s="82">
        <v>0</v>
      </c>
      <c r="J89" s="102">
        <f t="shared" ref="J89:J90" si="5">K89-I89*K89</f>
        <v>1</v>
      </c>
      <c r="K89" s="102">
        <v>1</v>
      </c>
      <c r="L89" s="39"/>
    </row>
    <row r="90" spans="1:23" ht="15" thickBot="1" x14ac:dyDescent="0.35">
      <c r="A90" s="149" t="s">
        <v>139</v>
      </c>
      <c r="B90" s="149"/>
      <c r="C90" s="149"/>
      <c r="D90" s="149"/>
      <c r="E90" s="149"/>
      <c r="F90" s="149"/>
      <c r="G90" s="86" t="s">
        <v>75</v>
      </c>
      <c r="H90" s="38"/>
      <c r="I90" s="82">
        <v>0</v>
      </c>
      <c r="J90" s="102">
        <f t="shared" si="5"/>
        <v>1</v>
      </c>
      <c r="K90" s="102">
        <v>1</v>
      </c>
      <c r="L90" s="39"/>
    </row>
    <row r="91" spans="1:23" ht="15" thickBot="1" x14ac:dyDescent="0.35">
      <c r="A91" s="149" t="s">
        <v>140</v>
      </c>
      <c r="B91" s="149"/>
      <c r="C91" s="149"/>
      <c r="D91" s="149"/>
      <c r="E91" s="149"/>
      <c r="F91" s="149"/>
      <c r="G91" s="86" t="s">
        <v>141</v>
      </c>
      <c r="H91" s="38"/>
      <c r="I91" s="82">
        <v>0</v>
      </c>
      <c r="J91" s="102">
        <f>K91-I91*K91</f>
        <v>1</v>
      </c>
      <c r="K91" s="102">
        <v>1</v>
      </c>
      <c r="L91" s="39"/>
    </row>
    <row r="92" spans="1:23" ht="15" thickBot="1" x14ac:dyDescent="0.35">
      <c r="A92" s="100"/>
      <c r="B92" s="100"/>
      <c r="C92" s="100"/>
      <c r="D92" s="100"/>
      <c r="E92" s="100"/>
      <c r="F92" s="81"/>
      <c r="H92" s="38"/>
      <c r="I92" s="38"/>
      <c r="J92" s="38"/>
      <c r="K92" s="38"/>
      <c r="L92" s="39"/>
    </row>
    <row r="93" spans="1:23" x14ac:dyDescent="0.3">
      <c r="A93" s="85" t="s">
        <v>142</v>
      </c>
      <c r="B93" s="77"/>
      <c r="C93" s="77"/>
      <c r="D93" s="77"/>
      <c r="E93" s="77"/>
      <c r="F93" s="77"/>
      <c r="G93" s="20"/>
      <c r="H93" s="36"/>
      <c r="I93" s="104">
        <f>(K93-J93)/K93*100%</f>
        <v>0</v>
      </c>
      <c r="J93" s="79">
        <f>SUM(J94:J98)</f>
        <v>4</v>
      </c>
      <c r="K93" s="80">
        <f>SUM(K94:K98)</f>
        <v>4</v>
      </c>
      <c r="L93" s="37"/>
      <c r="M93" s="36"/>
      <c r="N93" s="36"/>
      <c r="O93" s="20"/>
      <c r="P93" s="20"/>
      <c r="Q93" s="20"/>
      <c r="R93" s="20"/>
      <c r="S93" s="20"/>
      <c r="T93" s="20"/>
      <c r="U93" s="20"/>
      <c r="V93" s="20"/>
      <c r="W93" s="20"/>
    </row>
    <row r="94" spans="1:23" ht="15" thickBot="1" x14ac:dyDescent="0.35">
      <c r="A94" s="149" t="s">
        <v>143</v>
      </c>
      <c r="B94" s="149"/>
      <c r="C94" s="149"/>
      <c r="D94" s="149"/>
      <c r="E94" s="149"/>
      <c r="F94" s="149"/>
      <c r="G94" s="86" t="s">
        <v>87</v>
      </c>
      <c r="H94" s="44"/>
      <c r="I94" s="82">
        <v>0</v>
      </c>
      <c r="J94" s="102">
        <f>K94-I94*K94</f>
        <v>1</v>
      </c>
      <c r="K94" s="102">
        <v>1</v>
      </c>
      <c r="L94" s="41"/>
      <c r="M94" s="44"/>
      <c r="N94" s="44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15" thickBot="1" x14ac:dyDescent="0.35">
      <c r="A95" s="149" t="s">
        <v>138</v>
      </c>
      <c r="B95" s="149"/>
      <c r="C95" s="149"/>
      <c r="D95" s="149"/>
      <c r="E95" s="149"/>
      <c r="F95" s="149"/>
      <c r="G95" s="86" t="s">
        <v>75</v>
      </c>
      <c r="H95" s="38"/>
      <c r="I95" s="82">
        <v>0</v>
      </c>
      <c r="J95" s="102">
        <f t="shared" ref="J95:J96" si="6">K95-I95*K95</f>
        <v>1</v>
      </c>
      <c r="K95" s="102">
        <v>1</v>
      </c>
      <c r="L95" s="39"/>
    </row>
    <row r="96" spans="1:23" ht="15" thickBot="1" x14ac:dyDescent="0.35">
      <c r="A96" s="149" t="s">
        <v>139</v>
      </c>
      <c r="B96" s="149"/>
      <c r="C96" s="149"/>
      <c r="D96" s="149"/>
      <c r="E96" s="149"/>
      <c r="F96" s="149"/>
      <c r="G96" s="86" t="s">
        <v>75</v>
      </c>
      <c r="H96" s="38"/>
      <c r="I96" s="82">
        <v>0</v>
      </c>
      <c r="J96" s="102">
        <f t="shared" si="6"/>
        <v>1</v>
      </c>
      <c r="K96" s="102">
        <v>1</v>
      </c>
      <c r="L96" s="39"/>
    </row>
    <row r="97" spans="1:23" ht="15" thickBot="1" x14ac:dyDescent="0.35">
      <c r="A97" s="149" t="s">
        <v>140</v>
      </c>
      <c r="B97" s="149"/>
      <c r="C97" s="149"/>
      <c r="D97" s="149"/>
      <c r="E97" s="149"/>
      <c r="F97" s="149"/>
      <c r="G97" s="86" t="s">
        <v>141</v>
      </c>
      <c r="H97" s="38"/>
      <c r="I97" s="82">
        <v>0</v>
      </c>
      <c r="J97" s="102">
        <f>K97-I97*K97</f>
        <v>1</v>
      </c>
      <c r="K97" s="102">
        <v>1</v>
      </c>
      <c r="L97" s="39"/>
    </row>
    <row r="98" spans="1:23" ht="15" thickBot="1" x14ac:dyDescent="0.35">
      <c r="A98" s="100"/>
      <c r="B98" s="100"/>
      <c r="C98" s="100"/>
      <c r="D98" s="100"/>
      <c r="E98" s="100"/>
      <c r="F98" s="81"/>
      <c r="H98" s="38"/>
      <c r="I98" s="38"/>
      <c r="J98" s="38"/>
      <c r="K98" s="38"/>
      <c r="L98" s="39"/>
    </row>
    <row r="99" spans="1:23" x14ac:dyDescent="0.3">
      <c r="A99" s="103" t="s">
        <v>58</v>
      </c>
      <c r="B99" s="103"/>
      <c r="C99" s="103"/>
      <c r="D99" s="103"/>
      <c r="E99" s="103"/>
      <c r="F99" s="103"/>
      <c r="G99" s="50"/>
      <c r="H99" s="51"/>
      <c r="I99" s="104">
        <f>(K99-J99)/K99*100%</f>
        <v>0</v>
      </c>
      <c r="J99" s="79">
        <f>SUM(J100:J108)</f>
        <v>6</v>
      </c>
      <c r="K99" s="80">
        <f>SUM(K100:K108)</f>
        <v>6</v>
      </c>
      <c r="L99" s="50"/>
      <c r="M99" s="51"/>
      <c r="N99" s="51"/>
      <c r="O99" s="51"/>
      <c r="P99" s="50"/>
      <c r="Q99" s="51"/>
      <c r="R99" s="51"/>
      <c r="S99" s="51"/>
      <c r="T99" s="51"/>
      <c r="U99" s="51"/>
      <c r="V99" s="51"/>
      <c r="W99" s="51"/>
    </row>
    <row r="100" spans="1:23" ht="15" thickBot="1" x14ac:dyDescent="0.35">
      <c r="A100" s="149" t="s">
        <v>144</v>
      </c>
      <c r="B100" s="149"/>
      <c r="C100" s="149"/>
      <c r="D100" s="149"/>
      <c r="E100" s="149"/>
      <c r="F100" s="149"/>
      <c r="G100" s="86" t="s">
        <v>75</v>
      </c>
      <c r="H100" s="38"/>
      <c r="I100" s="82">
        <v>0</v>
      </c>
      <c r="J100" s="102">
        <f>K100-I100*K100</f>
        <v>1</v>
      </c>
      <c r="K100" s="102">
        <v>1</v>
      </c>
      <c r="L100" s="39"/>
    </row>
    <row r="101" spans="1:23" ht="15" thickBot="1" x14ac:dyDescent="0.35">
      <c r="A101" s="149" t="s">
        <v>145</v>
      </c>
      <c r="B101" s="149"/>
      <c r="C101" s="149"/>
      <c r="D101" s="149"/>
      <c r="E101" s="149"/>
      <c r="F101" s="149"/>
      <c r="G101" s="86" t="s">
        <v>75</v>
      </c>
      <c r="H101" s="38"/>
      <c r="I101" s="82">
        <v>0</v>
      </c>
      <c r="J101" s="102">
        <f t="shared" ref="J101:J102" si="7">K101-I101*K101</f>
        <v>1</v>
      </c>
      <c r="K101" s="102">
        <v>1</v>
      </c>
      <c r="L101" s="39"/>
    </row>
    <row r="102" spans="1:23" ht="15" thickBot="1" x14ac:dyDescent="0.35">
      <c r="A102" s="149" t="s">
        <v>146</v>
      </c>
      <c r="B102" s="149"/>
      <c r="C102" s="149"/>
      <c r="D102" s="149"/>
      <c r="E102" s="149"/>
      <c r="F102" s="149"/>
      <c r="G102" s="86" t="s">
        <v>87</v>
      </c>
      <c r="H102" s="38"/>
      <c r="I102" s="82">
        <v>0</v>
      </c>
      <c r="J102" s="102">
        <f t="shared" si="7"/>
        <v>1</v>
      </c>
      <c r="K102" s="102">
        <v>1</v>
      </c>
      <c r="L102" s="39"/>
    </row>
    <row r="103" spans="1:23" ht="15" thickBot="1" x14ac:dyDescent="0.35">
      <c r="A103" s="149" t="s">
        <v>147</v>
      </c>
      <c r="B103" s="149"/>
      <c r="C103" s="149"/>
      <c r="D103" s="149"/>
      <c r="E103" s="149"/>
      <c r="F103" s="149"/>
      <c r="G103" s="86" t="s">
        <v>141</v>
      </c>
      <c r="H103" s="38"/>
      <c r="I103" s="82">
        <v>0</v>
      </c>
      <c r="J103" s="102">
        <f>K103-I103*K103</f>
        <v>1</v>
      </c>
      <c r="K103" s="102">
        <v>1</v>
      </c>
      <c r="L103" s="39"/>
    </row>
    <row r="104" spans="1:23" ht="15" thickBot="1" x14ac:dyDescent="0.35">
      <c r="A104" s="150" t="s">
        <v>148</v>
      </c>
      <c r="B104" s="150"/>
      <c r="C104" s="150"/>
      <c r="D104" s="150"/>
      <c r="E104" s="150"/>
      <c r="F104" s="150"/>
      <c r="G104" s="86" t="s">
        <v>141</v>
      </c>
      <c r="H104" s="38"/>
      <c r="I104" s="82">
        <v>0</v>
      </c>
      <c r="J104" s="102">
        <f>K104-I104*K104</f>
        <v>1</v>
      </c>
      <c r="K104" s="102">
        <v>1</v>
      </c>
      <c r="L104" s="39"/>
    </row>
    <row r="105" spans="1:23" x14ac:dyDescent="0.3">
      <c r="A105" s="109"/>
      <c r="B105" s="109"/>
      <c r="C105" s="109"/>
      <c r="D105" s="109"/>
      <c r="E105" s="109"/>
      <c r="F105" s="109"/>
      <c r="H105" s="38"/>
      <c r="I105" s="38"/>
      <c r="J105" s="38"/>
      <c r="K105" s="38"/>
      <c r="L105" s="38"/>
    </row>
    <row r="106" spans="1:23" ht="15" thickBot="1" x14ac:dyDescent="0.35">
      <c r="A106" s="151" t="s">
        <v>149</v>
      </c>
      <c r="B106" s="151"/>
      <c r="C106" s="151"/>
      <c r="D106" s="151"/>
      <c r="E106" s="151"/>
      <c r="F106" s="151"/>
      <c r="G106" s="86" t="s">
        <v>141</v>
      </c>
      <c r="H106" s="38"/>
      <c r="I106" s="82">
        <v>0</v>
      </c>
      <c r="J106" s="102">
        <f>K106-I106*K106</f>
        <v>1</v>
      </c>
      <c r="K106" s="102">
        <v>1</v>
      </c>
      <c r="L106" s="39"/>
    </row>
    <row r="107" spans="1:23" ht="15" thickBot="1" x14ac:dyDescent="0.35">
      <c r="A107" s="81"/>
      <c r="B107" s="81"/>
      <c r="C107" s="81"/>
      <c r="D107" s="81"/>
      <c r="E107" s="81"/>
      <c r="F107" s="81"/>
      <c r="J107" s="39"/>
      <c r="K107" s="63"/>
    </row>
    <row r="108" spans="1:23" ht="15" thickBot="1" x14ac:dyDescent="0.35">
      <c r="A108" s="110"/>
      <c r="B108" s="110"/>
      <c r="C108" s="110"/>
      <c r="D108" s="110"/>
      <c r="E108" s="81"/>
      <c r="F108" s="81"/>
      <c r="H108" s="38"/>
      <c r="I108" s="48"/>
      <c r="J108" s="39"/>
      <c r="K108" s="63"/>
      <c r="L108" s="39"/>
    </row>
    <row r="109" spans="1:23" x14ac:dyDescent="0.3">
      <c r="A109" s="20" t="s">
        <v>150</v>
      </c>
      <c r="B109" s="77"/>
      <c r="C109" s="77"/>
      <c r="D109" s="77"/>
      <c r="E109" s="77"/>
      <c r="F109" s="77"/>
      <c r="G109" s="20"/>
      <c r="H109" s="36"/>
      <c r="I109" s="104">
        <f>(K109-J109)/K109*100%</f>
        <v>0</v>
      </c>
      <c r="J109" s="79">
        <f>SUM(J110:J118)</f>
        <v>8</v>
      </c>
      <c r="K109" s="80">
        <f>SUM(K110:K118)</f>
        <v>8</v>
      </c>
      <c r="L109" s="37"/>
      <c r="M109" s="36"/>
      <c r="N109" s="36"/>
      <c r="O109" s="20"/>
      <c r="P109" s="20"/>
      <c r="Q109" s="20"/>
      <c r="R109" s="20"/>
      <c r="S109" s="20"/>
      <c r="T109" s="20"/>
      <c r="U109" s="20"/>
      <c r="V109" s="20"/>
      <c r="W109" s="20"/>
    </row>
    <row r="110" spans="1:23" ht="15" thickBot="1" x14ac:dyDescent="0.35">
      <c r="A110" s="152" t="s">
        <v>151</v>
      </c>
      <c r="B110" s="152"/>
      <c r="C110" s="152"/>
      <c r="D110" s="152"/>
      <c r="E110" s="152"/>
      <c r="F110" s="152"/>
      <c r="G110" s="86" t="s">
        <v>75</v>
      </c>
      <c r="H110" s="38"/>
      <c r="I110" s="82">
        <v>0</v>
      </c>
      <c r="J110" s="102">
        <f>K110-I110*K110</f>
        <v>1</v>
      </c>
      <c r="K110" s="102">
        <v>1</v>
      </c>
      <c r="L110" s="39"/>
    </row>
    <row r="111" spans="1:23" ht="15" thickBot="1" x14ac:dyDescent="0.35">
      <c r="A111" s="149" t="s">
        <v>152</v>
      </c>
      <c r="B111" s="149"/>
      <c r="C111" s="149"/>
      <c r="D111" s="149"/>
      <c r="E111" s="149"/>
      <c r="F111" s="149"/>
      <c r="G111" s="86" t="s">
        <v>75</v>
      </c>
      <c r="H111" s="38"/>
      <c r="I111" s="82">
        <v>0</v>
      </c>
      <c r="J111" s="102">
        <f t="shared" ref="J111:J112" si="8">K111-I111*K111</f>
        <v>1</v>
      </c>
      <c r="K111" s="102">
        <v>1</v>
      </c>
      <c r="L111" s="39"/>
    </row>
    <row r="112" spans="1:23" ht="15" thickBot="1" x14ac:dyDescent="0.35">
      <c r="A112" s="149" t="s">
        <v>153</v>
      </c>
      <c r="B112" s="149"/>
      <c r="C112" s="149"/>
      <c r="D112" s="149"/>
      <c r="E112" s="149"/>
      <c r="F112" s="149"/>
      <c r="G112" s="86" t="s">
        <v>75</v>
      </c>
      <c r="H112" s="38"/>
      <c r="I112" s="82">
        <v>0</v>
      </c>
      <c r="J112" s="102">
        <f t="shared" si="8"/>
        <v>1</v>
      </c>
      <c r="K112" s="102">
        <v>1</v>
      </c>
      <c r="L112" s="39"/>
    </row>
    <row r="113" spans="1:23" ht="15" thickBot="1" x14ac:dyDescent="0.35">
      <c r="A113" s="149" t="s">
        <v>154</v>
      </c>
      <c r="B113" s="149"/>
      <c r="C113" s="149"/>
      <c r="D113" s="149"/>
      <c r="E113" s="149"/>
      <c r="F113" s="149"/>
      <c r="G113" s="86" t="s">
        <v>87</v>
      </c>
      <c r="H113" s="38"/>
      <c r="I113" s="82">
        <v>0</v>
      </c>
      <c r="J113" s="102">
        <f>K113-I113*K113</f>
        <v>1</v>
      </c>
      <c r="K113" s="102">
        <v>1</v>
      </c>
      <c r="L113" s="39"/>
    </row>
    <row r="114" spans="1:23" ht="15" thickBot="1" x14ac:dyDescent="0.35">
      <c r="A114" s="149" t="s">
        <v>155</v>
      </c>
      <c r="B114" s="149"/>
      <c r="C114" s="149"/>
      <c r="D114" s="149"/>
      <c r="E114" s="149"/>
      <c r="F114" s="149"/>
      <c r="G114" s="86" t="s">
        <v>87</v>
      </c>
      <c r="H114" s="38"/>
      <c r="I114" s="82">
        <v>0</v>
      </c>
      <c r="J114" s="102">
        <f>K114-I114*K114</f>
        <v>1</v>
      </c>
      <c r="K114" s="102">
        <v>1</v>
      </c>
      <c r="L114" s="39"/>
    </row>
    <row r="115" spans="1:23" ht="15" thickBot="1" x14ac:dyDescent="0.35">
      <c r="A115" s="149" t="s">
        <v>156</v>
      </c>
      <c r="B115" s="149"/>
      <c r="C115" s="149"/>
      <c r="D115" s="149"/>
      <c r="E115" s="149"/>
      <c r="F115" s="149"/>
      <c r="G115" s="86" t="s">
        <v>87</v>
      </c>
      <c r="H115" s="38"/>
      <c r="I115" s="82">
        <v>0</v>
      </c>
      <c r="J115" s="102">
        <f>K115-I115*K115</f>
        <v>1</v>
      </c>
      <c r="K115" s="102">
        <v>1</v>
      </c>
      <c r="L115" s="39"/>
    </row>
    <row r="116" spans="1:23" ht="15" thickBot="1" x14ac:dyDescent="0.35">
      <c r="A116" s="149" t="s">
        <v>157</v>
      </c>
      <c r="B116" s="149"/>
      <c r="C116" s="149"/>
      <c r="D116" s="149"/>
      <c r="E116" s="149"/>
      <c r="F116" s="149"/>
      <c r="G116" s="86" t="s">
        <v>127</v>
      </c>
      <c r="H116" s="38"/>
      <c r="I116" s="82">
        <v>0</v>
      </c>
      <c r="J116" s="102">
        <f t="shared" ref="J116:J117" si="9">K116-I116*K116</f>
        <v>1</v>
      </c>
      <c r="K116" s="102">
        <v>1</v>
      </c>
      <c r="L116" s="39"/>
    </row>
    <row r="117" spans="1:23" ht="15" thickBot="1" x14ac:dyDescent="0.35">
      <c r="A117" s="149" t="s">
        <v>158</v>
      </c>
      <c r="B117" s="149"/>
      <c r="C117" s="149"/>
      <c r="D117" s="149"/>
      <c r="E117" s="149"/>
      <c r="F117" s="149"/>
      <c r="G117" s="86" t="s">
        <v>159</v>
      </c>
      <c r="H117" s="38"/>
      <c r="I117" s="82">
        <v>0</v>
      </c>
      <c r="J117" s="102">
        <f t="shared" si="9"/>
        <v>1</v>
      </c>
      <c r="K117" s="102">
        <v>1</v>
      </c>
      <c r="L117" s="39"/>
    </row>
    <row r="118" spans="1:23" ht="15" thickBot="1" x14ac:dyDescent="0.35">
      <c r="A118" s="148"/>
      <c r="B118" s="148"/>
      <c r="C118" s="148"/>
      <c r="D118" s="148"/>
      <c r="E118" s="148"/>
      <c r="F118" s="148"/>
      <c r="H118" s="38"/>
      <c r="I118" s="48"/>
      <c r="J118" s="39"/>
      <c r="K118" s="63"/>
      <c r="L118" s="39"/>
    </row>
    <row r="119" spans="1:23" x14ac:dyDescent="0.3">
      <c r="A119" s="20" t="s">
        <v>160</v>
      </c>
      <c r="B119" s="77"/>
      <c r="C119" s="77"/>
      <c r="D119" s="77"/>
      <c r="E119" s="77"/>
      <c r="F119" s="77"/>
      <c r="G119" s="20"/>
      <c r="H119" s="36"/>
      <c r="I119" s="104">
        <f>(K119-J119)/K119*100%</f>
        <v>0</v>
      </c>
      <c r="J119" s="79">
        <f>SUM(J120:J129)</f>
        <v>8</v>
      </c>
      <c r="K119" s="80">
        <f>SUM(K120:K129)</f>
        <v>8</v>
      </c>
      <c r="L119" s="37"/>
      <c r="M119" s="36"/>
      <c r="N119" s="36"/>
      <c r="O119" s="20"/>
      <c r="P119" s="20"/>
      <c r="Q119" s="20"/>
      <c r="R119" s="20"/>
      <c r="S119" s="20"/>
      <c r="T119" s="20"/>
      <c r="U119" s="20"/>
      <c r="V119" s="20"/>
      <c r="W119" s="20"/>
    </row>
    <row r="120" spans="1:23" ht="15" thickBot="1" x14ac:dyDescent="0.35">
      <c r="A120" s="149" t="s">
        <v>151</v>
      </c>
      <c r="B120" s="149"/>
      <c r="C120" s="149"/>
      <c r="D120" s="149"/>
      <c r="E120" s="149"/>
      <c r="F120" s="149"/>
      <c r="G120" s="86" t="s">
        <v>75</v>
      </c>
      <c r="H120" s="38"/>
      <c r="I120" s="82">
        <v>0</v>
      </c>
      <c r="J120" s="102">
        <f>K120-I120*K120</f>
        <v>1</v>
      </c>
      <c r="K120" s="102">
        <v>1</v>
      </c>
      <c r="L120" s="39"/>
    </row>
    <row r="121" spans="1:23" ht="15" thickBot="1" x14ac:dyDescent="0.35">
      <c r="A121" s="149" t="s">
        <v>153</v>
      </c>
      <c r="B121" s="149"/>
      <c r="C121" s="149"/>
      <c r="D121" s="149"/>
      <c r="E121" s="149"/>
      <c r="F121" s="149"/>
      <c r="G121" s="86" t="s">
        <v>75</v>
      </c>
      <c r="H121" s="38"/>
      <c r="I121" s="82">
        <v>0</v>
      </c>
      <c r="J121" s="102">
        <f t="shared" ref="J121:J122" si="10">K121-I121*K121</f>
        <v>1</v>
      </c>
      <c r="K121" s="102">
        <v>1</v>
      </c>
      <c r="L121" s="39"/>
    </row>
    <row r="122" spans="1:23" ht="15" thickBot="1" x14ac:dyDescent="0.35">
      <c r="A122" s="149" t="s">
        <v>161</v>
      </c>
      <c r="B122" s="149"/>
      <c r="C122" s="149"/>
      <c r="D122" s="149"/>
      <c r="E122" s="149"/>
      <c r="F122" s="149"/>
      <c r="G122" s="86" t="s">
        <v>75</v>
      </c>
      <c r="H122" s="38"/>
      <c r="I122" s="82">
        <v>0</v>
      </c>
      <c r="J122" s="102">
        <f t="shared" si="10"/>
        <v>1</v>
      </c>
      <c r="K122" s="102">
        <v>1</v>
      </c>
      <c r="L122" s="39"/>
    </row>
    <row r="123" spans="1:23" ht="15" thickBot="1" x14ac:dyDescent="0.35">
      <c r="A123" s="149" t="s">
        <v>162</v>
      </c>
      <c r="B123" s="149"/>
      <c r="C123" s="149"/>
      <c r="D123" s="149"/>
      <c r="E123" s="149"/>
      <c r="F123" s="149"/>
      <c r="G123" s="86" t="s">
        <v>75</v>
      </c>
      <c r="H123" s="38"/>
      <c r="I123" s="82">
        <v>0</v>
      </c>
      <c r="J123" s="102">
        <f>K123-I123*K123</f>
        <v>1</v>
      </c>
      <c r="K123" s="102">
        <v>1</v>
      </c>
      <c r="L123" s="39"/>
    </row>
    <row r="124" spans="1:23" ht="15" thickBot="1" x14ac:dyDescent="0.35">
      <c r="A124" s="149" t="s">
        <v>163</v>
      </c>
      <c r="B124" s="149"/>
      <c r="C124" s="149"/>
      <c r="D124" s="149"/>
      <c r="E124" s="149"/>
      <c r="F124" s="149"/>
      <c r="G124" s="86" t="s">
        <v>164</v>
      </c>
      <c r="H124" s="38"/>
      <c r="I124" s="82">
        <v>0</v>
      </c>
      <c r="J124" s="102">
        <f>K124-I124*K124</f>
        <v>1</v>
      </c>
      <c r="K124" s="102">
        <v>1</v>
      </c>
      <c r="L124" s="39"/>
    </row>
    <row r="125" spans="1:23" ht="15" thickBot="1" x14ac:dyDescent="0.35">
      <c r="A125" s="149" t="s">
        <v>165</v>
      </c>
      <c r="B125" s="149"/>
      <c r="C125" s="149"/>
      <c r="D125" s="149"/>
      <c r="E125" s="149"/>
      <c r="F125" s="149"/>
      <c r="G125" s="86" t="s">
        <v>75</v>
      </c>
      <c r="H125" s="38"/>
      <c r="I125" s="82">
        <v>0</v>
      </c>
      <c r="J125" s="102">
        <f>K125-I125*K125</f>
        <v>1</v>
      </c>
      <c r="K125" s="102">
        <v>1</v>
      </c>
      <c r="L125" s="39"/>
    </row>
    <row r="126" spans="1:23" x14ac:dyDescent="0.3">
      <c r="A126" s="148"/>
      <c r="B126" s="148"/>
      <c r="C126" s="148"/>
      <c r="D126" s="148"/>
      <c r="E126" s="148"/>
      <c r="F126" s="148"/>
      <c r="G126" s="86"/>
      <c r="H126" s="38"/>
      <c r="I126" s="44"/>
      <c r="J126" s="44"/>
      <c r="K126" s="44"/>
      <c r="L126" s="39"/>
    </row>
    <row r="127" spans="1:23" ht="15" thickBot="1" x14ac:dyDescent="0.35">
      <c r="A127" s="149" t="s">
        <v>157</v>
      </c>
      <c r="B127" s="149"/>
      <c r="C127" s="149"/>
      <c r="D127" s="149"/>
      <c r="E127" s="149"/>
      <c r="F127" s="149"/>
      <c r="G127" s="86" t="s">
        <v>127</v>
      </c>
      <c r="H127" s="38"/>
      <c r="I127" s="82">
        <v>0</v>
      </c>
      <c r="J127" s="102">
        <f t="shared" ref="J127:J128" si="11">K127-I127*K127</f>
        <v>1</v>
      </c>
      <c r="K127" s="102">
        <v>1</v>
      </c>
      <c r="L127" s="39"/>
    </row>
    <row r="128" spans="1:23" ht="15" thickBot="1" x14ac:dyDescent="0.35">
      <c r="A128" s="149" t="s">
        <v>158</v>
      </c>
      <c r="B128" s="149"/>
      <c r="C128" s="149"/>
      <c r="D128" s="149"/>
      <c r="E128" s="149"/>
      <c r="F128" s="149"/>
      <c r="G128" s="86" t="s">
        <v>159</v>
      </c>
      <c r="H128" s="38"/>
      <c r="I128" s="82">
        <v>0</v>
      </c>
      <c r="J128" s="102">
        <f t="shared" si="11"/>
        <v>1</v>
      </c>
      <c r="K128" s="102">
        <v>1</v>
      </c>
      <c r="L128" s="39"/>
    </row>
    <row r="129" spans="1:23" ht="15" thickBot="1" x14ac:dyDescent="0.35">
      <c r="A129" s="148"/>
      <c r="B129" s="148"/>
      <c r="C129" s="148"/>
      <c r="D129" s="148"/>
      <c r="E129" s="148"/>
      <c r="F129" s="148"/>
      <c r="H129" s="38"/>
      <c r="I129" s="48"/>
      <c r="J129" s="39"/>
      <c r="K129" s="63"/>
      <c r="L129" s="39"/>
    </row>
    <row r="130" spans="1:23" x14ac:dyDescent="0.3">
      <c r="A130" s="20" t="s">
        <v>166</v>
      </c>
      <c r="B130" s="77"/>
      <c r="C130" s="77"/>
      <c r="D130" s="77"/>
      <c r="E130" s="77"/>
      <c r="F130" s="77"/>
      <c r="G130" s="20"/>
      <c r="H130" s="36"/>
      <c r="I130" s="78">
        <f>(K130-J130)/K130*100%</f>
        <v>0</v>
      </c>
      <c r="J130" s="79">
        <f>SUM(J131:J137)</f>
        <v>5</v>
      </c>
      <c r="K130" s="80">
        <f>SUM(K131:K137)</f>
        <v>5</v>
      </c>
      <c r="L130" s="37"/>
      <c r="M130" s="36"/>
      <c r="N130" s="36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 ht="15" thickBot="1" x14ac:dyDescent="0.35">
      <c r="A131" s="146" t="s">
        <v>167</v>
      </c>
      <c r="B131" s="146"/>
      <c r="C131" s="146"/>
      <c r="D131" s="146"/>
      <c r="E131" s="146"/>
      <c r="F131" s="146"/>
      <c r="G131" s="86" t="s">
        <v>75</v>
      </c>
      <c r="H131" s="38"/>
      <c r="I131" s="82">
        <v>0</v>
      </c>
      <c r="J131" s="107">
        <v>1</v>
      </c>
      <c r="K131" s="65">
        <v>1</v>
      </c>
      <c r="L131" s="39"/>
    </row>
    <row r="132" spans="1:23" ht="15" thickBot="1" x14ac:dyDescent="0.35">
      <c r="A132" s="147" t="s">
        <v>168</v>
      </c>
      <c r="B132" s="147"/>
      <c r="C132" s="147"/>
      <c r="D132" s="147"/>
      <c r="E132" s="147"/>
      <c r="F132" s="147"/>
      <c r="G132" t="s">
        <v>169</v>
      </c>
      <c r="H132" s="38"/>
      <c r="I132" s="82">
        <v>0</v>
      </c>
      <c r="J132" s="107">
        <v>1</v>
      </c>
      <c r="K132" s="65">
        <v>1</v>
      </c>
      <c r="L132" s="39"/>
    </row>
    <row r="133" spans="1:23" ht="15" thickBot="1" x14ac:dyDescent="0.35">
      <c r="A133" s="146" t="s">
        <v>170</v>
      </c>
      <c r="B133" s="146"/>
      <c r="C133" s="146"/>
      <c r="D133" s="146"/>
      <c r="E133" s="146"/>
      <c r="F133" s="146"/>
      <c r="G133" s="86" t="s">
        <v>75</v>
      </c>
      <c r="H133" s="38"/>
      <c r="I133" s="82">
        <v>0</v>
      </c>
      <c r="J133" s="107">
        <v>1</v>
      </c>
      <c r="K133" s="65">
        <v>1</v>
      </c>
      <c r="L133" s="39"/>
    </row>
    <row r="134" spans="1:23" ht="15" thickBot="1" x14ac:dyDescent="0.35">
      <c r="A134" s="146" t="s">
        <v>171</v>
      </c>
      <c r="B134" s="146"/>
      <c r="C134" s="146"/>
      <c r="D134" s="146"/>
      <c r="E134" s="146"/>
      <c r="F134" s="146"/>
      <c r="G134" s="86" t="s">
        <v>75</v>
      </c>
      <c r="H134" s="38"/>
      <c r="I134" s="82">
        <v>0</v>
      </c>
      <c r="J134" s="107">
        <v>1</v>
      </c>
      <c r="K134" s="65">
        <v>1</v>
      </c>
      <c r="L134" s="39"/>
    </row>
    <row r="135" spans="1:23" ht="15" thickBot="1" x14ac:dyDescent="0.35">
      <c r="A135" s="115" t="s">
        <v>172</v>
      </c>
      <c r="B135" s="115"/>
      <c r="C135" s="115"/>
      <c r="D135" s="115"/>
      <c r="E135" s="115"/>
      <c r="F135" s="115"/>
      <c r="G135" s="86"/>
      <c r="H135" s="38"/>
      <c r="I135" s="82">
        <v>0</v>
      </c>
      <c r="J135" s="107">
        <v>1</v>
      </c>
      <c r="K135" s="65">
        <v>1</v>
      </c>
      <c r="L135" s="39"/>
    </row>
    <row r="136" spans="1:23" ht="15" thickBot="1" x14ac:dyDescent="0.35">
      <c r="A136" s="115" t="s">
        <v>173</v>
      </c>
      <c r="B136" s="115"/>
      <c r="C136" s="115"/>
      <c r="D136" s="115"/>
      <c r="E136" s="115"/>
      <c r="F136" s="115"/>
      <c r="G136" s="86"/>
      <c r="H136" s="38"/>
      <c r="I136" s="112"/>
      <c r="J136" s="107"/>
      <c r="K136" s="65"/>
      <c r="L136" s="39"/>
    </row>
    <row r="137" spans="1:23" ht="15" thickBot="1" x14ac:dyDescent="0.35">
      <c r="H137" s="38"/>
      <c r="I137" s="48"/>
      <c r="J137" s="39"/>
      <c r="K137" s="63"/>
      <c r="L137" s="39"/>
    </row>
    <row r="138" spans="1:23" x14ac:dyDescent="0.3">
      <c r="A138" s="20" t="s">
        <v>174</v>
      </c>
      <c r="B138" s="77"/>
      <c r="C138" s="77"/>
      <c r="D138" s="77"/>
      <c r="E138" s="77"/>
      <c r="F138" s="77"/>
      <c r="G138" s="20"/>
      <c r="H138" s="36"/>
      <c r="I138" s="78">
        <f>(K138-J138)/K138*100%</f>
        <v>0</v>
      </c>
      <c r="J138" s="79">
        <f>SUM(J139:J143)</f>
        <v>5</v>
      </c>
      <c r="K138" s="80">
        <f>SUM(K139:K143)</f>
        <v>5</v>
      </c>
      <c r="L138" s="37"/>
      <c r="M138" s="36"/>
      <c r="N138" s="36"/>
      <c r="O138" s="20"/>
      <c r="P138" s="20"/>
      <c r="Q138" s="20"/>
      <c r="R138" s="20"/>
      <c r="S138" s="20"/>
      <c r="T138" s="20"/>
      <c r="U138" s="20"/>
      <c r="V138" s="20"/>
      <c r="W138" s="20"/>
    </row>
    <row r="139" spans="1:23" ht="15" thickBot="1" x14ac:dyDescent="0.35">
      <c r="A139" s="145" t="s">
        <v>175</v>
      </c>
      <c r="B139" s="145"/>
      <c r="C139" s="145"/>
      <c r="D139" s="145"/>
      <c r="E139" s="145"/>
      <c r="F139" s="145"/>
      <c r="G139" s="86" t="s">
        <v>174</v>
      </c>
      <c r="H139" s="38"/>
      <c r="I139" s="82">
        <v>0</v>
      </c>
      <c r="J139" s="107">
        <v>1</v>
      </c>
      <c r="K139" s="65">
        <v>1</v>
      </c>
      <c r="L139" s="39"/>
    </row>
    <row r="140" spans="1:23" ht="15" thickBot="1" x14ac:dyDescent="0.35">
      <c r="A140" s="145" t="s">
        <v>176</v>
      </c>
      <c r="B140" s="145"/>
      <c r="C140" s="145"/>
      <c r="D140" s="145"/>
      <c r="E140" s="145"/>
      <c r="F140" s="145"/>
      <c r="G140" s="86" t="s">
        <v>174</v>
      </c>
      <c r="H140" s="38"/>
      <c r="I140" s="82">
        <v>0</v>
      </c>
      <c r="J140" s="107">
        <v>1</v>
      </c>
      <c r="K140" s="65">
        <v>1</v>
      </c>
      <c r="L140" s="39"/>
    </row>
    <row r="141" spans="1:23" ht="15" thickBot="1" x14ac:dyDescent="0.35">
      <c r="A141" s="145" t="s">
        <v>177</v>
      </c>
      <c r="B141" s="145"/>
      <c r="C141" s="145"/>
      <c r="D141" s="145"/>
      <c r="E141" s="145"/>
      <c r="F141" s="145"/>
      <c r="G141" s="86" t="s">
        <v>174</v>
      </c>
      <c r="H141" s="38"/>
      <c r="I141" s="82">
        <v>0</v>
      </c>
      <c r="J141" s="107">
        <v>1</v>
      </c>
      <c r="K141" s="65">
        <v>1</v>
      </c>
      <c r="L141" s="39"/>
    </row>
    <row r="142" spans="1:23" ht="15" thickBot="1" x14ac:dyDescent="0.35">
      <c r="A142" s="145" t="s">
        <v>178</v>
      </c>
      <c r="B142" s="145"/>
      <c r="C142" s="145"/>
      <c r="D142" s="145"/>
      <c r="E142" s="145"/>
      <c r="F142" s="145"/>
      <c r="G142" s="86" t="s">
        <v>174</v>
      </c>
      <c r="H142" s="38"/>
      <c r="I142" s="82">
        <v>0</v>
      </c>
      <c r="J142" s="107">
        <v>1</v>
      </c>
      <c r="K142" s="65">
        <v>1</v>
      </c>
      <c r="L142" s="39"/>
    </row>
    <row r="143" spans="1:23" ht="15" thickBot="1" x14ac:dyDescent="0.35">
      <c r="A143" s="145" t="s">
        <v>179</v>
      </c>
      <c r="B143" s="145"/>
      <c r="C143" s="145"/>
      <c r="D143" s="145"/>
      <c r="E143" s="145"/>
      <c r="F143" s="145"/>
      <c r="G143" s="86" t="s">
        <v>174</v>
      </c>
      <c r="H143" s="38"/>
      <c r="I143" s="82">
        <v>0</v>
      </c>
      <c r="J143" s="107">
        <v>1</v>
      </c>
      <c r="K143" s="65">
        <v>1</v>
      </c>
      <c r="L143" s="39"/>
    </row>
    <row r="145" spans="1:1" x14ac:dyDescent="0.3">
      <c r="A145" s="116"/>
    </row>
  </sheetData>
  <mergeCells count="94">
    <mergeCell ref="A20:F20"/>
    <mergeCell ref="P3:Q3"/>
    <mergeCell ref="R3:S3"/>
    <mergeCell ref="T3:U3"/>
    <mergeCell ref="V3:W3"/>
    <mergeCell ref="L4:N9"/>
    <mergeCell ref="A14:F14"/>
    <mergeCell ref="A15:F15"/>
    <mergeCell ref="A16:F16"/>
    <mergeCell ref="A17:F17"/>
    <mergeCell ref="A18:F18"/>
    <mergeCell ref="A19:F19"/>
    <mergeCell ref="A41:F41"/>
    <mergeCell ref="A21:F21"/>
    <mergeCell ref="A22:F22"/>
    <mergeCell ref="A23:F23"/>
    <mergeCell ref="A27:F27"/>
    <mergeCell ref="A28:F28"/>
    <mergeCell ref="A29:F29"/>
    <mergeCell ref="A30:F30"/>
    <mergeCell ref="A31:F31"/>
    <mergeCell ref="A36:F36"/>
    <mergeCell ref="A39:F39"/>
    <mergeCell ref="A40:F40"/>
    <mergeCell ref="A61:F61"/>
    <mergeCell ref="A42:F42"/>
    <mergeCell ref="A43:F43"/>
    <mergeCell ref="A44:F44"/>
    <mergeCell ref="A45:F45"/>
    <mergeCell ref="A48:F48"/>
    <mergeCell ref="A51:F51"/>
    <mergeCell ref="A54:F54"/>
    <mergeCell ref="A55:F55"/>
    <mergeCell ref="A58:F58"/>
    <mergeCell ref="A59:F59"/>
    <mergeCell ref="A60:F60"/>
    <mergeCell ref="A79:F79"/>
    <mergeCell ref="A62:F62"/>
    <mergeCell ref="A65:F65"/>
    <mergeCell ref="A66:F66"/>
    <mergeCell ref="A67:F67"/>
    <mergeCell ref="A68:F68"/>
    <mergeCell ref="A69:F69"/>
    <mergeCell ref="A70:F70"/>
    <mergeCell ref="A73:F73"/>
    <mergeCell ref="A74:F74"/>
    <mergeCell ref="A77:F77"/>
    <mergeCell ref="A78:F78"/>
    <mergeCell ref="A97:F97"/>
    <mergeCell ref="A80:F80"/>
    <mergeCell ref="A83:F83"/>
    <mergeCell ref="A84:F84"/>
    <mergeCell ref="A85:F85"/>
    <mergeCell ref="A88:F88"/>
    <mergeCell ref="A89:F89"/>
    <mergeCell ref="A90:F90"/>
    <mergeCell ref="A91:F91"/>
    <mergeCell ref="A94:F94"/>
    <mergeCell ref="A95:F95"/>
    <mergeCell ref="A96:F96"/>
    <mergeCell ref="A115:F115"/>
    <mergeCell ref="A100:F100"/>
    <mergeCell ref="A101:F101"/>
    <mergeCell ref="A102:F102"/>
    <mergeCell ref="A103:F103"/>
    <mergeCell ref="A104:F104"/>
    <mergeCell ref="A106:F106"/>
    <mergeCell ref="A110:F110"/>
    <mergeCell ref="A111:F111"/>
    <mergeCell ref="A112:F112"/>
    <mergeCell ref="A113:F113"/>
    <mergeCell ref="A114:F114"/>
    <mergeCell ref="A128:F128"/>
    <mergeCell ref="A116:F116"/>
    <mergeCell ref="A117:F117"/>
    <mergeCell ref="A118:F118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40:F140"/>
    <mergeCell ref="A141:F141"/>
    <mergeCell ref="A142:F142"/>
    <mergeCell ref="A143:F143"/>
    <mergeCell ref="A129:F129"/>
    <mergeCell ref="A131:F131"/>
    <mergeCell ref="A132:F132"/>
    <mergeCell ref="A133:F133"/>
    <mergeCell ref="A134:F134"/>
    <mergeCell ref="A139:F139"/>
  </mergeCells>
  <conditionalFormatting sqref="A35:H35 L35:Q35 I83:I86 I27:I31 I73:I74">
    <cfRule type="dataBar" priority="3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{73861447-5F12-4726-8A4D-86EF22E9CE94}</x14:id>
        </ext>
      </extLst>
    </cfRule>
  </conditionalFormatting>
  <conditionalFormatting sqref="B34:H34">
    <cfRule type="dataBar" priority="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{10605206-FA34-484E-A5F4-BCDD6826C3E5}</x14:id>
        </ext>
      </extLst>
    </cfRule>
  </conditionalFormatting>
  <conditionalFormatting sqref="I13">
    <cfRule type="dataBar" priority="3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{EE964E05-31D8-4501-93E3-5815C5AA15FF}</x14:id>
        </ext>
      </extLst>
    </cfRule>
  </conditionalFormatting>
  <conditionalFormatting sqref="I14:I24">
    <cfRule type="dataBar" priority="3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{297F5703-F5F8-4FA2-9245-E25483DCC533}</x14:id>
        </ext>
      </extLst>
    </cfRule>
  </conditionalFormatting>
  <conditionalFormatting sqref="I26">
    <cfRule type="dataBar" priority="3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{B53AD8CC-6EFC-4837-B905-1CD352BE90B0}</x14:id>
        </ext>
      </extLst>
    </cfRule>
  </conditionalFormatting>
  <conditionalFormatting sqref="I34">
    <cfRule type="dataBar" priority="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{44C12886-0A7D-41C7-8DFF-96689B084E58}</x14:id>
        </ext>
      </extLst>
    </cfRule>
  </conditionalFormatting>
  <conditionalFormatting sqref="I36">
    <cfRule type="dataBar" priority="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{2A054F3E-2A79-417F-AE0E-8760CDA90B3B}</x14:id>
        </ext>
      </extLst>
    </cfRule>
  </conditionalFormatting>
  <conditionalFormatting sqref="I38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{1FDAAF62-2C61-4476-8011-C8646B0E7D23}</x14:id>
        </ext>
      </extLst>
    </cfRule>
  </conditionalFormatting>
  <conditionalFormatting sqref="I39:I46 I48">
    <cfRule type="dataBar" priority="3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{1AFBB173-6ACB-4B0A-89A0-D93D75048EA2}</x14:id>
        </ext>
      </extLst>
    </cfRule>
  </conditionalFormatting>
  <conditionalFormatting sqref="I47">
    <cfRule type="dataBar" priority="2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{1E14367C-5EB4-4B27-8D18-AE68BE946680}</x14:id>
        </ext>
      </extLst>
    </cfRule>
  </conditionalFormatting>
  <conditionalFormatting sqref="I50">
    <cfRule type="dataBar" priority="2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{2EDD7265-9FCA-40DB-996C-8D38E6178EF4}</x14:id>
        </ext>
      </extLst>
    </cfRule>
  </conditionalFormatting>
  <conditionalFormatting sqref="I51">
    <cfRule type="dataBar" priority="2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{B4C30FC3-31F8-4E11-85D6-1D2B754990B5}</x14:id>
        </ext>
      </extLst>
    </cfRule>
  </conditionalFormatting>
  <conditionalFormatting sqref="I53">
    <cfRule type="dataBar" priority="2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{C512C7F5-FB69-4909-99F3-DA7319F59267}</x14:id>
        </ext>
      </extLst>
    </cfRule>
  </conditionalFormatting>
  <conditionalFormatting sqref="I54:I55">
    <cfRule type="dataBar" priority="2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{4A234782-1382-4FAD-AFB7-2C3A90C7F545}</x14:id>
        </ext>
      </extLst>
    </cfRule>
  </conditionalFormatting>
  <conditionalFormatting sqref="I57">
    <cfRule type="dataBar" priority="1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{99911439-9AD5-4405-B064-231B76BDAFF8}</x14:id>
        </ext>
      </extLst>
    </cfRule>
  </conditionalFormatting>
  <conditionalFormatting sqref="I58:I59">
    <cfRule type="dataBar" priority="2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{F9364AA0-804B-4D82-B4D2-6D755A432DB9}</x14:id>
        </ext>
      </extLst>
    </cfRule>
  </conditionalFormatting>
  <conditionalFormatting sqref="I60:I62">
    <cfRule type="dataBar" priority="2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{81B4AA91-F7B3-41EC-A273-53B8E885EE53}</x14:id>
        </ext>
      </extLst>
    </cfRule>
  </conditionalFormatting>
  <conditionalFormatting sqref="I64">
    <cfRule type="dataBar" priority="1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{2A3CEE24-0050-4EAD-B901-A15C2E351061}</x14:id>
        </ext>
      </extLst>
    </cfRule>
  </conditionalFormatting>
  <conditionalFormatting sqref="I65:I70">
    <cfRule type="dataBar" priority="2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{D1042C50-590F-4715-8C0C-2ACCC6F6E951}</x14:id>
        </ext>
      </extLst>
    </cfRule>
  </conditionalFormatting>
  <conditionalFormatting sqref="I72">
    <cfRule type="dataBar" priority="1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{B917B459-C38D-413E-9885-89A4563689D5}</x14:id>
        </ext>
      </extLst>
    </cfRule>
  </conditionalFormatting>
  <conditionalFormatting sqref="I76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{6386B1BE-4672-4777-8EC5-2CB8D05FE266}</x14:id>
        </ext>
      </extLst>
    </cfRule>
  </conditionalFormatting>
  <conditionalFormatting sqref="I77:I80">
    <cfRule type="dataBar" priority="2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{8F880401-B54D-4E4E-A51D-A0125D08940B}</x14:id>
        </ext>
      </extLst>
    </cfRule>
  </conditionalFormatting>
  <conditionalFormatting sqref="I81">
    <cfRule type="dataBar" priority="3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{E418AA64-3C0E-4209-ABDC-DC1AE19B3B86}</x14:id>
        </ext>
      </extLst>
    </cfRule>
  </conditionalFormatting>
  <conditionalFormatting sqref="I82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{275D821D-3C6B-4619-8703-CA88DD121A31}</x14:id>
        </ext>
      </extLst>
    </cfRule>
  </conditionalFormatting>
  <conditionalFormatting sqref="I87">
    <cfRule type="dataBar" priority="1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{FEEE1D32-8967-4E57-B055-CB03B92ACC2E}</x14:id>
        </ext>
      </extLst>
    </cfRule>
  </conditionalFormatting>
  <conditionalFormatting sqref="I88:I91 I110:I118 I139:I143 I106 I94:I97 I100:I104 I120:I125 I127:I129 I131:I137">
    <cfRule type="dataBar" priority="3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{E7CADC16-29CB-4FD7-B811-23FA956B3F8D}</x14:id>
        </ext>
      </extLst>
    </cfRule>
  </conditionalFormatting>
  <conditionalFormatting sqref="I93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{098EEA42-3C09-424F-AD61-E71F16D6622A}</x14:id>
        </ext>
      </extLst>
    </cfRule>
  </conditionalFormatting>
  <conditionalFormatting sqref="I99">
    <cfRule type="dataBar" priority="1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{34058F5A-8CC6-403E-9D92-3A6A52DCD7D1}</x14:id>
        </ext>
      </extLst>
    </cfRule>
  </conditionalFormatting>
  <conditionalFormatting sqref="I108">
    <cfRule type="dataBar" priority="3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{79D1CDCF-4799-40F5-BC38-4BBF2E681A21}</x14:id>
        </ext>
      </extLst>
    </cfRule>
  </conditionalFormatting>
  <conditionalFormatting sqref="I109">
    <cfRule type="dataBar" priority="1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{6C8D660A-06EB-42BD-901B-B50CB451835E}</x14:id>
        </ext>
      </extLst>
    </cfRule>
  </conditionalFormatting>
  <conditionalFormatting sqref="I119">
    <cfRule type="dataBar" priority="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{C8D06B07-3038-4CB9-A51F-AA0F0DD98701}</x14:id>
        </ext>
      </extLst>
    </cfRule>
  </conditionalFormatting>
  <conditionalFormatting sqref="I130">
    <cfRule type="dataBar" priority="1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{5AD9F870-9FE5-4859-9342-69A8464C2672}</x14:id>
        </ext>
      </extLst>
    </cfRule>
  </conditionalFormatting>
  <conditionalFormatting sqref="I138">
    <cfRule type="dataBar" priority="1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{F8513655-28DD-4489-BFD1-5935E10EC711}</x14:id>
        </ext>
      </extLst>
    </cfRule>
  </conditionalFormatting>
  <conditionalFormatting sqref="I33:K33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{370ABF37-8FD2-4334-82C8-87BFD0569063}</x14:id>
        </ext>
      </extLst>
    </cfRule>
  </conditionalFormatting>
  <conditionalFormatting sqref="I35:K35">
    <cfRule type="dataBar" priority="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{AF9D6C62-772A-40EF-93DD-939B036B3D74}</x14:id>
        </ext>
      </extLst>
    </cfRule>
  </conditionalFormatting>
  <conditionalFormatting sqref="L34:W34">
    <cfRule type="dataBar" priority="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{365E4B4E-D047-44B2-A9DC-AEFB85A7881F}</x14:id>
        </ext>
      </extLst>
    </cfRule>
  </conditionalFormatting>
  <conditionalFormatting sqref="R35:W35">
    <cfRule type="dataBar" priority="2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{6600CD35-F8E1-49A1-938F-39A9DC05E874}</x14:id>
        </ext>
      </extLst>
    </cfRule>
  </conditionalFormatting>
  <hyperlinks>
    <hyperlink ref="P2" location="GENERAL!A1" display="HOME" xr:uid="{D4C3F3C6-A39A-4CF3-A8C1-AD407BFE8C49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61447-5F12-4726-8A4D-86EF22E9CE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A35:H35 L35:Q35 I83:I86 I27:I31 I73:I74</xm:sqref>
        </x14:conditionalFormatting>
        <x14:conditionalFormatting xmlns:xm="http://schemas.microsoft.com/office/excel/2006/main">
          <x14:cfRule type="dataBar" id="{10605206-FA34-484E-A5F4-BCDD6826C3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B34:H34</xm:sqref>
        </x14:conditionalFormatting>
        <x14:conditionalFormatting xmlns:xm="http://schemas.microsoft.com/office/excel/2006/main">
          <x14:cfRule type="dataBar" id="{EE964E05-31D8-4501-93E3-5815C5AA15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</xm:sqref>
        </x14:conditionalFormatting>
        <x14:conditionalFormatting xmlns:xm="http://schemas.microsoft.com/office/excel/2006/main">
          <x14:cfRule type="dataBar" id="{297F5703-F5F8-4FA2-9245-E25483DCC5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I14:I24</xm:sqref>
        </x14:conditionalFormatting>
        <x14:conditionalFormatting xmlns:xm="http://schemas.microsoft.com/office/excel/2006/main">
          <x14:cfRule type="dataBar" id="{B53AD8CC-6EFC-4837-B905-1CD352BE90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44C12886-0A7D-41C7-8DFF-96689B084E5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I34</xm:sqref>
        </x14:conditionalFormatting>
        <x14:conditionalFormatting xmlns:xm="http://schemas.microsoft.com/office/excel/2006/main">
          <x14:cfRule type="dataBar" id="{2A054F3E-2A79-417F-AE0E-8760CDA90B3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I36</xm:sqref>
        </x14:conditionalFormatting>
        <x14:conditionalFormatting xmlns:xm="http://schemas.microsoft.com/office/excel/2006/main">
          <x14:cfRule type="dataBar" id="{1FDAAF62-2C61-4476-8011-C8646B0E7D2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1AFBB173-6ACB-4B0A-89A0-D93D75048EA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I39:I46 I48</xm:sqref>
        </x14:conditionalFormatting>
        <x14:conditionalFormatting xmlns:xm="http://schemas.microsoft.com/office/excel/2006/main">
          <x14:cfRule type="dataBar" id="{1E14367C-5EB4-4B27-8D18-AE68BE94668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I47</xm:sqref>
        </x14:conditionalFormatting>
        <x14:conditionalFormatting xmlns:xm="http://schemas.microsoft.com/office/excel/2006/main">
          <x14:cfRule type="dataBar" id="{2EDD7265-9FCA-40DB-996C-8D38E6178EF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I50</xm:sqref>
        </x14:conditionalFormatting>
        <x14:conditionalFormatting xmlns:xm="http://schemas.microsoft.com/office/excel/2006/main">
          <x14:cfRule type="dataBar" id="{B4C30FC3-31F8-4E11-85D6-1D2B754990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I51</xm:sqref>
        </x14:conditionalFormatting>
        <x14:conditionalFormatting xmlns:xm="http://schemas.microsoft.com/office/excel/2006/main">
          <x14:cfRule type="dataBar" id="{C512C7F5-FB69-4909-99F3-DA7319F5926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I53</xm:sqref>
        </x14:conditionalFormatting>
        <x14:conditionalFormatting xmlns:xm="http://schemas.microsoft.com/office/excel/2006/main">
          <x14:cfRule type="dataBar" id="{4A234782-1382-4FAD-AFB7-2C3A90C7F5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I54:I55</xm:sqref>
        </x14:conditionalFormatting>
        <x14:conditionalFormatting xmlns:xm="http://schemas.microsoft.com/office/excel/2006/main">
          <x14:cfRule type="dataBar" id="{99911439-9AD5-4405-B064-231B76BDAFF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I57</xm:sqref>
        </x14:conditionalFormatting>
        <x14:conditionalFormatting xmlns:xm="http://schemas.microsoft.com/office/excel/2006/main">
          <x14:cfRule type="dataBar" id="{F9364AA0-804B-4D82-B4D2-6D755A432D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I58:I59</xm:sqref>
        </x14:conditionalFormatting>
        <x14:conditionalFormatting xmlns:xm="http://schemas.microsoft.com/office/excel/2006/main">
          <x14:cfRule type="dataBar" id="{81B4AA91-F7B3-41EC-A273-53B8E885EE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I60:I62</xm:sqref>
        </x14:conditionalFormatting>
        <x14:conditionalFormatting xmlns:xm="http://schemas.microsoft.com/office/excel/2006/main">
          <x14:cfRule type="dataBar" id="{2A3CEE24-0050-4EAD-B901-A15C2E3510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I64</xm:sqref>
        </x14:conditionalFormatting>
        <x14:conditionalFormatting xmlns:xm="http://schemas.microsoft.com/office/excel/2006/main">
          <x14:cfRule type="dataBar" id="{D1042C50-590F-4715-8C0C-2ACCC6F6E9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I65:I70</xm:sqref>
        </x14:conditionalFormatting>
        <x14:conditionalFormatting xmlns:xm="http://schemas.microsoft.com/office/excel/2006/main">
          <x14:cfRule type="dataBar" id="{B917B459-C38D-413E-9885-89A4563689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I72</xm:sqref>
        </x14:conditionalFormatting>
        <x14:conditionalFormatting xmlns:xm="http://schemas.microsoft.com/office/excel/2006/main">
          <x14:cfRule type="dataBar" id="{6386B1BE-4672-4777-8EC5-2CB8D05FE26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I76</xm:sqref>
        </x14:conditionalFormatting>
        <x14:conditionalFormatting xmlns:xm="http://schemas.microsoft.com/office/excel/2006/main">
          <x14:cfRule type="dataBar" id="{8F880401-B54D-4E4E-A51D-A0125D0894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I77:I80</xm:sqref>
        </x14:conditionalFormatting>
        <x14:conditionalFormatting xmlns:xm="http://schemas.microsoft.com/office/excel/2006/main">
          <x14:cfRule type="dataBar" id="{E418AA64-3C0E-4209-ABDC-DC1AE19B3B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I81</xm:sqref>
        </x14:conditionalFormatting>
        <x14:conditionalFormatting xmlns:xm="http://schemas.microsoft.com/office/excel/2006/main">
          <x14:cfRule type="dataBar" id="{275D821D-3C6B-4619-8703-CA88DD121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I82</xm:sqref>
        </x14:conditionalFormatting>
        <x14:conditionalFormatting xmlns:xm="http://schemas.microsoft.com/office/excel/2006/main">
          <x14:cfRule type="dataBar" id="{FEEE1D32-8967-4E57-B055-CB03B92ACC2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I87</xm:sqref>
        </x14:conditionalFormatting>
        <x14:conditionalFormatting xmlns:xm="http://schemas.microsoft.com/office/excel/2006/main">
          <x14:cfRule type="dataBar" id="{E7CADC16-29CB-4FD7-B811-23FA956B3F8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I88:I91 I110:I118 I139:I143 I106 I94:I97 I100:I104 I120:I125 I127:I129 I131:I137</xm:sqref>
        </x14:conditionalFormatting>
        <x14:conditionalFormatting xmlns:xm="http://schemas.microsoft.com/office/excel/2006/main">
          <x14:cfRule type="dataBar" id="{098EEA42-3C09-424F-AD61-E71F16D662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I93</xm:sqref>
        </x14:conditionalFormatting>
        <x14:conditionalFormatting xmlns:xm="http://schemas.microsoft.com/office/excel/2006/main">
          <x14:cfRule type="dataBar" id="{34058F5A-8CC6-403E-9D92-3A6A52DCD7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I99</xm:sqref>
        </x14:conditionalFormatting>
        <x14:conditionalFormatting xmlns:xm="http://schemas.microsoft.com/office/excel/2006/main">
          <x14:cfRule type="dataBar" id="{79D1CDCF-4799-40F5-BC38-4BBF2E681A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I108</xm:sqref>
        </x14:conditionalFormatting>
        <x14:conditionalFormatting xmlns:xm="http://schemas.microsoft.com/office/excel/2006/main">
          <x14:cfRule type="dataBar" id="{6C8D660A-06EB-42BD-901B-B50CB451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I109</xm:sqref>
        </x14:conditionalFormatting>
        <x14:conditionalFormatting xmlns:xm="http://schemas.microsoft.com/office/excel/2006/main">
          <x14:cfRule type="dataBar" id="{C8D06B07-3038-4CB9-A51F-AA0F0DD987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I119</xm:sqref>
        </x14:conditionalFormatting>
        <x14:conditionalFormatting xmlns:xm="http://schemas.microsoft.com/office/excel/2006/main">
          <x14:cfRule type="dataBar" id="{5AD9F870-9FE5-4859-9342-69A8464C26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I130</xm:sqref>
        </x14:conditionalFormatting>
        <x14:conditionalFormatting xmlns:xm="http://schemas.microsoft.com/office/excel/2006/main">
          <x14:cfRule type="dataBar" id="{F8513655-28DD-4489-BFD1-5935E10EC71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I138</xm:sqref>
        </x14:conditionalFormatting>
        <x14:conditionalFormatting xmlns:xm="http://schemas.microsoft.com/office/excel/2006/main">
          <x14:cfRule type="dataBar" id="{370ABF37-8FD2-4334-82C8-87BFD05690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I33:K33</xm:sqref>
        </x14:conditionalFormatting>
        <x14:conditionalFormatting xmlns:xm="http://schemas.microsoft.com/office/excel/2006/main">
          <x14:cfRule type="dataBar" id="{AF9D6C62-772A-40EF-93DD-939B036B3D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I35:K35</xm:sqref>
        </x14:conditionalFormatting>
        <x14:conditionalFormatting xmlns:xm="http://schemas.microsoft.com/office/excel/2006/main">
          <x14:cfRule type="dataBar" id="{365E4B4E-D047-44B2-A9DC-AEFB85A788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L34:W34</xm:sqref>
        </x14:conditionalFormatting>
        <x14:conditionalFormatting xmlns:xm="http://schemas.microsoft.com/office/excel/2006/main">
          <x14:cfRule type="dataBar" id="{6600CD35-F8E1-49A1-938F-39A9DC05E8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R35:W35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6A70-89D1-4471-B48B-79E3CCF6CEB5}">
  <dimension ref="A1:W145"/>
  <sheetViews>
    <sheetView zoomScale="90" zoomScaleNormal="90" workbookViewId="0">
      <selection activeCell="H5" sqref="H5"/>
    </sheetView>
  </sheetViews>
  <sheetFormatPr defaultRowHeight="14.4" x14ac:dyDescent="0.3"/>
  <cols>
    <col min="1" max="1" width="46.5546875" bestFit="1" customWidth="1"/>
    <col min="2" max="2" width="18.33203125" bestFit="1" customWidth="1"/>
    <col min="3" max="3" width="12.6640625" bestFit="1" customWidth="1"/>
    <col min="5" max="5" width="8.88671875" bestFit="1" customWidth="1"/>
    <col min="6" max="6" width="20.33203125" customWidth="1"/>
    <col min="9" max="9" width="18.88671875" bestFit="1" customWidth="1"/>
    <col min="13" max="14" width="9.109375" style="38"/>
    <col min="17" max="17" width="16.5546875" customWidth="1"/>
    <col min="19" max="19" width="10.109375" customWidth="1"/>
    <col min="20" max="20" width="12.33203125" customWidth="1"/>
    <col min="21" max="21" width="9.33203125" customWidth="1"/>
  </cols>
  <sheetData>
    <row r="1" spans="1:23" ht="23.4" x14ac:dyDescent="0.3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128"/>
      <c r="N1" s="128"/>
      <c r="O1" s="61"/>
      <c r="P1" s="61"/>
      <c r="Q1" s="21"/>
      <c r="R1" s="19"/>
      <c r="S1" s="19"/>
      <c r="T1" s="19"/>
      <c r="U1" s="19"/>
      <c r="V1" s="19"/>
      <c r="W1" s="19"/>
    </row>
    <row r="2" spans="1:23" ht="24" thickBot="1" x14ac:dyDescent="0.5">
      <c r="A2" s="87" t="s">
        <v>228</v>
      </c>
      <c r="B2" s="87"/>
      <c r="C2" s="87"/>
      <c r="D2" s="87"/>
      <c r="E2" s="87"/>
      <c r="F2" s="87"/>
      <c r="G2" s="62" t="s">
        <v>26</v>
      </c>
      <c r="H2" s="22"/>
      <c r="I2" s="22"/>
      <c r="J2" s="23"/>
      <c r="K2" s="22"/>
      <c r="L2" s="22"/>
      <c r="M2" s="129"/>
      <c r="N2" s="129"/>
      <c r="O2" s="22"/>
      <c r="P2" s="24" t="s">
        <v>27</v>
      </c>
      <c r="Q2" s="24"/>
      <c r="R2" s="34"/>
      <c r="S2" s="34"/>
      <c r="T2" s="34"/>
      <c r="U2" s="34"/>
      <c r="V2" s="34"/>
      <c r="W2" s="34"/>
    </row>
    <row r="3" spans="1:23" ht="24" thickBot="1" x14ac:dyDescent="0.5">
      <c r="A3" s="88"/>
      <c r="B3" s="88"/>
      <c r="C3" s="88"/>
      <c r="D3" s="88"/>
      <c r="E3" s="88"/>
      <c r="F3" s="88"/>
      <c r="G3" s="88"/>
      <c r="H3" s="22"/>
      <c r="I3" s="22"/>
      <c r="J3" s="23"/>
      <c r="K3" s="22"/>
      <c r="L3" s="22" t="s">
        <v>28</v>
      </c>
      <c r="M3" s="129"/>
      <c r="N3" s="129"/>
      <c r="O3" s="22"/>
      <c r="P3" s="156" t="s">
        <v>29</v>
      </c>
      <c r="Q3" s="157"/>
      <c r="R3" s="154" t="s">
        <v>30</v>
      </c>
      <c r="S3" s="155"/>
      <c r="T3" s="154" t="s">
        <v>31</v>
      </c>
      <c r="U3" s="155"/>
      <c r="V3" s="154" t="s">
        <v>32</v>
      </c>
      <c r="W3" s="155"/>
    </row>
    <row r="4" spans="1:23" x14ac:dyDescent="0.3">
      <c r="A4" s="45" t="s">
        <v>33</v>
      </c>
      <c r="B4" s="69" t="s">
        <v>207</v>
      </c>
      <c r="C4" s="123" t="s">
        <v>34</v>
      </c>
      <c r="D4" s="46">
        <v>46388</v>
      </c>
      <c r="E4" s="26" t="s">
        <v>35</v>
      </c>
      <c r="F4" s="72"/>
      <c r="G4" s="124" t="s">
        <v>36</v>
      </c>
      <c r="H4" s="22" t="s">
        <v>37</v>
      </c>
      <c r="I4" s="22"/>
      <c r="J4" s="23"/>
      <c r="K4" s="26"/>
      <c r="L4" s="158" t="s">
        <v>218</v>
      </c>
      <c r="M4" s="158"/>
      <c r="N4" s="158"/>
      <c r="O4" s="26"/>
      <c r="P4" s="89"/>
      <c r="Q4" s="90"/>
      <c r="R4" s="91"/>
      <c r="S4" s="92"/>
      <c r="T4" s="91"/>
      <c r="U4" s="92"/>
      <c r="V4" s="91"/>
      <c r="W4" s="92"/>
    </row>
    <row r="5" spans="1:23" ht="23.25" customHeight="1" x14ac:dyDescent="0.45">
      <c r="A5" s="27" t="s">
        <v>38</v>
      </c>
      <c r="B5" s="59" t="s">
        <v>219</v>
      </c>
      <c r="C5" s="123" t="s">
        <v>39</v>
      </c>
      <c r="D5" s="60" t="s">
        <v>198</v>
      </c>
      <c r="E5" s="26" t="s">
        <v>40</v>
      </c>
      <c r="F5">
        <v>941478</v>
      </c>
      <c r="G5" s="125"/>
      <c r="H5" s="116" t="s">
        <v>220</v>
      </c>
      <c r="I5" s="22"/>
      <c r="J5" s="23"/>
      <c r="K5" s="26"/>
      <c r="L5" s="158"/>
      <c r="M5" s="158"/>
      <c r="N5" s="158"/>
      <c r="O5" s="26"/>
      <c r="P5" s="93" t="s">
        <v>42</v>
      </c>
      <c r="Q5" s="94">
        <f>I13</f>
        <v>0</v>
      </c>
      <c r="R5" s="95" t="s">
        <v>43</v>
      </c>
      <c r="S5" s="96">
        <f>I34</f>
        <v>0</v>
      </c>
      <c r="T5" s="95" t="s">
        <v>44</v>
      </c>
      <c r="U5" s="96">
        <f>I82</f>
        <v>0</v>
      </c>
      <c r="V5" s="95" t="s">
        <v>45</v>
      </c>
      <c r="W5" s="96">
        <f>I72</f>
        <v>0</v>
      </c>
    </row>
    <row r="6" spans="1:23" ht="23.25" customHeight="1" x14ac:dyDescent="0.45">
      <c r="A6" s="30" t="s">
        <v>46</v>
      </c>
      <c r="B6" s="59"/>
      <c r="C6" s="30" t="s">
        <v>47</v>
      </c>
      <c r="D6" s="71"/>
      <c r="E6" s="26" t="s">
        <v>48</v>
      </c>
      <c r="F6" s="59">
        <v>70</v>
      </c>
      <c r="G6" s="125"/>
      <c r="H6" s="22"/>
      <c r="I6" s="28"/>
      <c r="J6" s="29"/>
      <c r="K6" s="26"/>
      <c r="L6" s="158"/>
      <c r="M6" s="158"/>
      <c r="N6" s="158"/>
      <c r="O6" s="25"/>
      <c r="P6" s="93" t="s">
        <v>49</v>
      </c>
      <c r="Q6" s="94">
        <f>I26</f>
        <v>0</v>
      </c>
      <c r="R6" s="97" t="str">
        <f>A38</f>
        <v>Salarisadministratie</v>
      </c>
      <c r="S6" s="96">
        <f>I38</f>
        <v>0</v>
      </c>
      <c r="T6" s="97" t="s">
        <v>50</v>
      </c>
      <c r="U6" s="96">
        <f>I87</f>
        <v>0</v>
      </c>
      <c r="V6" s="97"/>
      <c r="W6" s="96"/>
    </row>
    <row r="7" spans="1:23" ht="23.25" customHeight="1" x14ac:dyDescent="0.45">
      <c r="A7" s="25" t="s">
        <v>51</v>
      </c>
      <c r="B7" s="59" t="s">
        <v>210</v>
      </c>
      <c r="C7" s="30" t="s">
        <v>52</v>
      </c>
      <c r="D7" s="59"/>
      <c r="E7" s="25"/>
      <c r="F7" s="119"/>
      <c r="G7" s="125"/>
      <c r="H7" s="22"/>
      <c r="I7" s="31"/>
      <c r="J7" s="32"/>
      <c r="K7" s="26"/>
      <c r="L7" s="158"/>
      <c r="M7" s="158"/>
      <c r="N7" s="158"/>
      <c r="O7" s="25"/>
      <c r="P7" s="93" t="s">
        <v>53</v>
      </c>
      <c r="Q7" s="94">
        <f>AVERAGE(S5:S11)</f>
        <v>0</v>
      </c>
      <c r="R7" s="97" t="str">
        <f>A47</f>
        <v>Loonheffingen en fonds</v>
      </c>
      <c r="S7" s="96">
        <f>I47</f>
        <v>0</v>
      </c>
      <c r="T7" s="97" t="s">
        <v>54</v>
      </c>
      <c r="U7" s="96">
        <f>I93</f>
        <v>0</v>
      </c>
      <c r="V7" s="97"/>
      <c r="W7" s="96"/>
    </row>
    <row r="8" spans="1:23" x14ac:dyDescent="0.3">
      <c r="A8" s="25"/>
      <c r="B8" s="59"/>
      <c r="C8" s="30" t="s">
        <v>55</v>
      </c>
      <c r="D8" s="59" t="s">
        <v>56</v>
      </c>
      <c r="E8" s="25"/>
      <c r="F8" s="71"/>
      <c r="G8" s="126"/>
      <c r="H8" s="71"/>
      <c r="I8" s="31"/>
      <c r="J8" s="32"/>
      <c r="K8" s="26"/>
      <c r="L8" s="158"/>
      <c r="M8" s="158"/>
      <c r="N8" s="158"/>
      <c r="O8" s="25"/>
      <c r="P8" s="93" t="s">
        <v>57</v>
      </c>
      <c r="Q8" s="94">
        <f>AVERAGE(U5:U11)</f>
        <v>0</v>
      </c>
      <c r="R8" s="97" t="str">
        <f>A50</f>
        <v>Instellingen</v>
      </c>
      <c r="S8" s="96">
        <f>I50</f>
        <v>0</v>
      </c>
      <c r="T8" s="97" t="s">
        <v>58</v>
      </c>
      <c r="U8" s="96">
        <f>I99</f>
        <v>0</v>
      </c>
      <c r="V8" s="97"/>
      <c r="W8" s="96"/>
    </row>
    <row r="9" spans="1:23" ht="15" thickBot="1" x14ac:dyDescent="0.35">
      <c r="A9" s="25" t="s">
        <v>59</v>
      </c>
      <c r="B9" s="59" t="s">
        <v>221</v>
      </c>
      <c r="C9" s="30" t="s">
        <v>60</v>
      </c>
      <c r="D9" s="59" t="s">
        <v>204</v>
      </c>
      <c r="E9" s="25"/>
      <c r="F9" s="71"/>
      <c r="G9" s="126"/>
      <c r="H9" s="71"/>
      <c r="I9" s="31"/>
      <c r="J9" s="32"/>
      <c r="K9" s="26"/>
      <c r="L9" s="158"/>
      <c r="M9" s="158"/>
      <c r="N9" s="158"/>
      <c r="O9" s="25"/>
      <c r="P9" s="98" t="s">
        <v>61</v>
      </c>
      <c r="Q9" s="99">
        <f>I109</f>
        <v>0</v>
      </c>
      <c r="R9" s="97" t="str">
        <f>A53</f>
        <v>Loonstroken en Jaaropgave</v>
      </c>
      <c r="S9" s="96">
        <f>I53</f>
        <v>0</v>
      </c>
      <c r="T9" s="97"/>
      <c r="U9" s="96"/>
      <c r="V9" s="97"/>
      <c r="W9" s="96"/>
    </row>
    <row r="10" spans="1:23" ht="15" thickBot="1" x14ac:dyDescent="0.35">
      <c r="A10" s="25"/>
      <c r="B10" s="59"/>
      <c r="C10" s="25"/>
      <c r="D10" s="59"/>
      <c r="E10" s="25"/>
      <c r="F10" s="71"/>
      <c r="G10" s="31"/>
      <c r="H10" s="31"/>
      <c r="I10" s="31"/>
      <c r="J10" s="32"/>
      <c r="K10" s="31"/>
      <c r="L10" s="31"/>
      <c r="M10" s="130"/>
      <c r="N10" s="130"/>
      <c r="O10" s="28"/>
      <c r="P10" s="98" t="s">
        <v>62</v>
      </c>
      <c r="Q10" s="99">
        <f>AVERAGE(Q5:Q9)</f>
        <v>0</v>
      </c>
      <c r="R10" s="97" t="str">
        <f>A57</f>
        <v>Import medewerkers</v>
      </c>
      <c r="S10" s="96">
        <f>I57</f>
        <v>0</v>
      </c>
      <c r="T10" s="97"/>
      <c r="U10" s="96"/>
      <c r="V10" s="97"/>
      <c r="W10" s="96"/>
    </row>
    <row r="11" spans="1:23" ht="15" thickBot="1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33"/>
      <c r="K11" s="19"/>
      <c r="L11" s="34"/>
      <c r="M11" s="131" t="s">
        <v>63</v>
      </c>
      <c r="N11" s="131"/>
      <c r="O11" s="42"/>
      <c r="P11" s="19"/>
      <c r="Q11" s="19"/>
      <c r="R11" s="83" t="str">
        <f>A64</f>
        <v>Diversen</v>
      </c>
      <c r="S11" s="84">
        <f>I64</f>
        <v>0</v>
      </c>
      <c r="T11" s="83"/>
      <c r="U11" s="84"/>
      <c r="V11" s="83"/>
      <c r="W11" s="84"/>
    </row>
    <row r="12" spans="1:23" ht="15" thickBot="1" x14ac:dyDescent="0.35">
      <c r="A12" s="34" t="s">
        <v>64</v>
      </c>
      <c r="B12" s="34"/>
      <c r="C12" s="34"/>
      <c r="D12" s="34"/>
      <c r="E12" s="34"/>
      <c r="F12" s="34"/>
      <c r="G12" s="34" t="s">
        <v>65</v>
      </c>
      <c r="H12" s="34" t="s">
        <v>66</v>
      </c>
      <c r="I12" s="34" t="s">
        <v>67</v>
      </c>
      <c r="J12" s="35" t="s">
        <v>68</v>
      </c>
      <c r="K12" s="34" t="s">
        <v>69</v>
      </c>
      <c r="L12" s="34" t="s">
        <v>70</v>
      </c>
      <c r="M12" s="132" t="s">
        <v>71</v>
      </c>
      <c r="N12" s="132" t="s">
        <v>72</v>
      </c>
      <c r="O12" s="34"/>
      <c r="P12" s="34"/>
      <c r="Q12" s="34"/>
      <c r="R12" s="34"/>
      <c r="S12" s="34"/>
      <c r="T12" s="34"/>
      <c r="U12" s="34"/>
      <c r="V12" s="34"/>
      <c r="W12" s="34"/>
    </row>
    <row r="13" spans="1:23" x14ac:dyDescent="0.3">
      <c r="A13" s="20" t="s">
        <v>73</v>
      </c>
      <c r="B13" s="20"/>
      <c r="C13" s="20"/>
      <c r="D13" s="20"/>
      <c r="E13" s="20"/>
      <c r="F13" s="20"/>
      <c r="G13" s="20"/>
      <c r="H13" s="36"/>
      <c r="I13" s="78">
        <f>(K13-J13)/K13*100%</f>
        <v>0</v>
      </c>
      <c r="J13" s="79">
        <f>SUM(J14:J25)</f>
        <v>10</v>
      </c>
      <c r="K13" s="80">
        <f>SUM(K14:K25)</f>
        <v>10</v>
      </c>
      <c r="L13" s="20"/>
      <c r="M13" s="36"/>
      <c r="N13" s="36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15" thickBot="1" x14ac:dyDescent="0.35">
      <c r="A14" s="149" t="s">
        <v>74</v>
      </c>
      <c r="B14" s="149"/>
      <c r="C14" s="149"/>
      <c r="D14" s="149"/>
      <c r="E14" s="149"/>
      <c r="F14" s="149"/>
      <c r="G14" s="86" t="s">
        <v>75</v>
      </c>
      <c r="H14" s="38"/>
      <c r="I14" s="101">
        <v>0</v>
      </c>
      <c r="J14" s="102">
        <f>K14-I14*K14</f>
        <v>1</v>
      </c>
      <c r="K14" s="102">
        <v>1</v>
      </c>
      <c r="O14" s="10"/>
      <c r="P14" s="3"/>
    </row>
    <row r="15" spans="1:23" ht="15" thickBot="1" x14ac:dyDescent="0.35">
      <c r="A15" s="149" t="s">
        <v>76</v>
      </c>
      <c r="B15" s="149"/>
      <c r="C15" s="149"/>
      <c r="D15" s="149"/>
      <c r="E15" s="149"/>
      <c r="F15" s="149"/>
      <c r="G15" s="86" t="s">
        <v>75</v>
      </c>
      <c r="H15" s="38"/>
      <c r="I15" s="101">
        <v>0</v>
      </c>
      <c r="J15" s="102">
        <f t="shared" ref="J15:J23" si="0">K15-I15*K15</f>
        <v>1</v>
      </c>
      <c r="K15" s="102">
        <v>1</v>
      </c>
      <c r="O15" s="10"/>
    </row>
    <row r="16" spans="1:23" ht="15" thickBot="1" x14ac:dyDescent="0.35">
      <c r="A16" s="149" t="s">
        <v>77</v>
      </c>
      <c r="B16" s="149"/>
      <c r="C16" s="149"/>
      <c r="D16" s="149"/>
      <c r="E16" s="149"/>
      <c r="F16" s="149"/>
      <c r="G16" s="86" t="s">
        <v>75</v>
      </c>
      <c r="H16" s="38"/>
      <c r="I16" s="101">
        <v>0</v>
      </c>
      <c r="J16" s="102">
        <f t="shared" si="0"/>
        <v>1</v>
      </c>
      <c r="K16" s="102">
        <v>1</v>
      </c>
      <c r="O16" s="10"/>
    </row>
    <row r="17" spans="1:23" ht="15" thickBot="1" x14ac:dyDescent="0.35">
      <c r="A17" s="159" t="s">
        <v>78</v>
      </c>
      <c r="B17" s="159"/>
      <c r="C17" s="159"/>
      <c r="D17" s="159"/>
      <c r="E17" s="159"/>
      <c r="F17" s="159"/>
      <c r="G17" s="86" t="s">
        <v>75</v>
      </c>
      <c r="H17" s="38"/>
      <c r="I17" s="101">
        <v>0</v>
      </c>
      <c r="J17" s="102">
        <f t="shared" si="0"/>
        <v>1</v>
      </c>
      <c r="K17" s="102">
        <v>1</v>
      </c>
      <c r="O17" s="10"/>
    </row>
    <row r="18" spans="1:23" ht="15" thickBot="1" x14ac:dyDescent="0.35">
      <c r="A18" s="149" t="s">
        <v>79</v>
      </c>
      <c r="B18" s="149"/>
      <c r="C18" s="149"/>
      <c r="D18" s="149"/>
      <c r="E18" s="149"/>
      <c r="F18" s="149"/>
      <c r="G18" s="86" t="s">
        <v>75</v>
      </c>
      <c r="H18" s="38"/>
      <c r="I18" s="101">
        <v>0</v>
      </c>
      <c r="J18" s="102">
        <f t="shared" si="0"/>
        <v>1</v>
      </c>
      <c r="K18" s="102">
        <v>1</v>
      </c>
      <c r="O18" s="10"/>
    </row>
    <row r="19" spans="1:23" ht="15" thickBot="1" x14ac:dyDescent="0.35">
      <c r="A19" s="149" t="s">
        <v>80</v>
      </c>
      <c r="B19" s="149"/>
      <c r="C19" s="149"/>
      <c r="D19" s="149"/>
      <c r="E19" s="149"/>
      <c r="F19" s="149"/>
      <c r="G19" s="86" t="s">
        <v>75</v>
      </c>
      <c r="H19" s="38"/>
      <c r="I19" s="101">
        <v>0</v>
      </c>
      <c r="J19" s="102">
        <f t="shared" si="0"/>
        <v>1</v>
      </c>
      <c r="K19" s="102">
        <v>1</v>
      </c>
      <c r="O19" s="10"/>
    </row>
    <row r="20" spans="1:23" ht="15" thickBot="1" x14ac:dyDescent="0.35">
      <c r="A20" s="149" t="s">
        <v>81</v>
      </c>
      <c r="B20" s="149"/>
      <c r="C20" s="149"/>
      <c r="D20" s="149"/>
      <c r="E20" s="149"/>
      <c r="F20" s="149"/>
      <c r="G20" s="86" t="s">
        <v>75</v>
      </c>
      <c r="H20" s="38"/>
      <c r="I20" s="101">
        <v>0</v>
      </c>
      <c r="J20" s="102">
        <f t="shared" si="0"/>
        <v>1</v>
      </c>
      <c r="K20" s="102">
        <v>1</v>
      </c>
      <c r="O20" s="10" t="s">
        <v>56</v>
      </c>
    </row>
    <row r="21" spans="1:23" ht="15" thickBot="1" x14ac:dyDescent="0.35">
      <c r="A21" s="149" t="s">
        <v>82</v>
      </c>
      <c r="B21" s="149"/>
      <c r="C21" s="149"/>
      <c r="D21" s="149"/>
      <c r="E21" s="149"/>
      <c r="F21" s="149"/>
      <c r="G21" s="86" t="s">
        <v>75</v>
      </c>
      <c r="H21" s="38"/>
      <c r="I21" s="101">
        <v>0</v>
      </c>
      <c r="J21" s="102">
        <v>1</v>
      </c>
      <c r="K21" s="102">
        <v>1</v>
      </c>
      <c r="O21" s="10" t="s">
        <v>56</v>
      </c>
    </row>
    <row r="22" spans="1:23" ht="15" thickBot="1" x14ac:dyDescent="0.35">
      <c r="A22" s="149" t="s">
        <v>83</v>
      </c>
      <c r="B22" s="149"/>
      <c r="C22" s="149"/>
      <c r="D22" s="149"/>
      <c r="E22" s="149"/>
      <c r="F22" s="149"/>
      <c r="G22" s="86" t="s">
        <v>75</v>
      </c>
      <c r="H22" s="38"/>
      <c r="I22" s="101">
        <v>0</v>
      </c>
      <c r="J22" s="102">
        <f t="shared" si="0"/>
        <v>1</v>
      </c>
      <c r="K22" s="102">
        <v>1</v>
      </c>
      <c r="O22" s="10"/>
    </row>
    <row r="23" spans="1:23" ht="15" thickBot="1" x14ac:dyDescent="0.35">
      <c r="A23" s="153" t="s">
        <v>84</v>
      </c>
      <c r="B23" s="153"/>
      <c r="C23" s="153"/>
      <c r="D23" s="153"/>
      <c r="E23" s="153"/>
      <c r="F23" s="153"/>
      <c r="G23" s="86" t="s">
        <v>75</v>
      </c>
      <c r="H23" s="38"/>
      <c r="I23" s="101">
        <v>0</v>
      </c>
      <c r="J23" s="102">
        <f t="shared" si="0"/>
        <v>1</v>
      </c>
      <c r="K23" s="102">
        <v>1</v>
      </c>
      <c r="O23" s="10"/>
    </row>
    <row r="24" spans="1:23" x14ac:dyDescent="0.3">
      <c r="A24" s="138"/>
      <c r="B24" s="138"/>
      <c r="C24" s="138"/>
      <c r="D24" s="138"/>
      <c r="E24" s="138"/>
      <c r="F24" s="138"/>
      <c r="G24" s="86"/>
      <c r="H24" s="38"/>
      <c r="I24" s="139"/>
      <c r="J24" s="102"/>
      <c r="K24" s="102"/>
      <c r="O24" s="10"/>
    </row>
    <row r="25" spans="1:23" ht="15" thickBot="1" x14ac:dyDescent="0.35">
      <c r="A25" s="100"/>
      <c r="B25" s="100"/>
      <c r="C25" s="100"/>
      <c r="D25" s="100"/>
      <c r="E25" s="100"/>
      <c r="F25" s="100"/>
      <c r="H25" s="38"/>
      <c r="I25" s="10"/>
      <c r="J25" s="39"/>
      <c r="K25" s="63"/>
      <c r="L25" s="39"/>
    </row>
    <row r="26" spans="1:23" x14ac:dyDescent="0.3">
      <c r="A26" s="20" t="s">
        <v>85</v>
      </c>
      <c r="B26" s="77"/>
      <c r="C26" s="77"/>
      <c r="D26" s="77"/>
      <c r="E26" s="77"/>
      <c r="F26" s="77"/>
      <c r="G26" s="20"/>
      <c r="H26" s="36"/>
      <c r="I26" s="78">
        <f>(K26-J26)/K26*100%</f>
        <v>0</v>
      </c>
      <c r="J26" s="79">
        <f>SUM(J27:J32)</f>
        <v>5</v>
      </c>
      <c r="K26" s="80">
        <f>SUM(K27:K32)</f>
        <v>5</v>
      </c>
      <c r="L26" s="37"/>
      <c r="M26" s="36"/>
      <c r="N26" s="36"/>
      <c r="O26" s="20"/>
      <c r="P26" s="20"/>
      <c r="Q26" s="20"/>
      <c r="R26" s="20"/>
      <c r="S26" s="20"/>
      <c r="T26" s="20"/>
      <c r="U26" s="20"/>
      <c r="V26" s="20"/>
      <c r="W26" s="20"/>
    </row>
    <row r="27" spans="1:23" ht="15" thickBot="1" x14ac:dyDescent="0.35">
      <c r="A27" s="149" t="s">
        <v>86</v>
      </c>
      <c r="B27" s="149"/>
      <c r="C27" s="149"/>
      <c r="D27" s="149"/>
      <c r="E27" s="149"/>
      <c r="F27" s="149"/>
      <c r="G27" s="86" t="s">
        <v>87</v>
      </c>
      <c r="H27" s="44"/>
      <c r="I27" s="101">
        <v>0</v>
      </c>
      <c r="J27" s="102">
        <f>K27-I27*K27</f>
        <v>1</v>
      </c>
      <c r="K27" s="102">
        <v>1</v>
      </c>
      <c r="L27" s="41"/>
      <c r="M27" s="44"/>
      <c r="N27" s="44" t="s">
        <v>88</v>
      </c>
      <c r="O27" s="11"/>
      <c r="Q27" s="11"/>
      <c r="R27" s="11"/>
      <c r="S27" s="11"/>
      <c r="T27" s="11"/>
      <c r="U27" s="11"/>
      <c r="V27" s="11"/>
      <c r="W27" s="11"/>
    </row>
    <row r="28" spans="1:23" ht="15" thickBot="1" x14ac:dyDescent="0.35">
      <c r="A28" s="149" t="s">
        <v>89</v>
      </c>
      <c r="B28" s="149"/>
      <c r="C28" s="149"/>
      <c r="D28" s="149"/>
      <c r="E28" s="149"/>
      <c r="F28" s="149"/>
      <c r="G28" s="86" t="s">
        <v>87</v>
      </c>
      <c r="H28" s="44"/>
      <c r="I28" s="101">
        <v>0</v>
      </c>
      <c r="J28" s="102">
        <f t="shared" ref="J28:J31" si="1">K28-I28*K28</f>
        <v>1</v>
      </c>
      <c r="K28" s="102">
        <v>1</v>
      </c>
      <c r="L28" s="41"/>
      <c r="M28" s="44"/>
      <c r="N28" s="137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5" thickBot="1" x14ac:dyDescent="0.35">
      <c r="A29" s="149" t="s">
        <v>90</v>
      </c>
      <c r="B29" s="149"/>
      <c r="C29" s="149"/>
      <c r="D29" s="149"/>
      <c r="E29" s="149"/>
      <c r="F29" s="149"/>
      <c r="G29" s="86" t="s">
        <v>87</v>
      </c>
      <c r="H29" s="44"/>
      <c r="I29" s="101">
        <v>0</v>
      </c>
      <c r="J29" s="102">
        <f t="shared" si="1"/>
        <v>1</v>
      </c>
      <c r="K29" s="102">
        <v>1</v>
      </c>
      <c r="L29" s="41"/>
      <c r="M29" s="44"/>
      <c r="N29" s="44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" thickBot="1" x14ac:dyDescent="0.35">
      <c r="A30" s="149" t="s">
        <v>91</v>
      </c>
      <c r="B30" s="149"/>
      <c r="C30" s="149"/>
      <c r="D30" s="149"/>
      <c r="E30" s="149"/>
      <c r="F30" s="149"/>
      <c r="G30" s="86" t="s">
        <v>87</v>
      </c>
      <c r="H30" s="44"/>
      <c r="I30" s="101">
        <v>0</v>
      </c>
      <c r="J30" s="102">
        <f t="shared" si="1"/>
        <v>1</v>
      </c>
      <c r="K30" s="102">
        <v>1</v>
      </c>
      <c r="L30" s="39"/>
      <c r="M30" s="44"/>
      <c r="N30" s="44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5" thickBot="1" x14ac:dyDescent="0.35">
      <c r="A31" s="149" t="s">
        <v>92</v>
      </c>
      <c r="B31" s="149"/>
      <c r="C31" s="149"/>
      <c r="D31" s="149"/>
      <c r="E31" s="149"/>
      <c r="F31" s="149"/>
      <c r="G31" s="86" t="s">
        <v>75</v>
      </c>
      <c r="H31" s="44"/>
      <c r="I31" s="101">
        <v>0</v>
      </c>
      <c r="J31" s="102">
        <f t="shared" si="1"/>
        <v>1</v>
      </c>
      <c r="K31" s="102">
        <v>1</v>
      </c>
      <c r="L31" s="39"/>
      <c r="M31" s="44"/>
      <c r="N31" s="44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5" thickBot="1" x14ac:dyDescent="0.35">
      <c r="A32" s="81"/>
      <c r="B32" s="81"/>
      <c r="C32" s="81"/>
      <c r="D32" s="81"/>
      <c r="E32" s="81"/>
      <c r="F32" s="81"/>
      <c r="G32" s="11"/>
      <c r="H32" s="44"/>
      <c r="I32" s="44"/>
      <c r="J32" s="44"/>
      <c r="K32" s="44"/>
      <c r="L32" s="44"/>
      <c r="M32" s="44"/>
      <c r="N32" s="44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5" thickBot="1" x14ac:dyDescent="0.35">
      <c r="A33" s="20" t="s">
        <v>93</v>
      </c>
      <c r="B33" s="77"/>
      <c r="C33" s="77"/>
      <c r="D33" s="77"/>
      <c r="E33" s="77"/>
      <c r="F33" s="77"/>
      <c r="G33" s="20"/>
      <c r="H33" s="36"/>
      <c r="I33" s="78"/>
      <c r="J33" s="111"/>
      <c r="K33" s="111"/>
      <c r="L33" s="37"/>
      <c r="M33" s="36"/>
      <c r="N33" s="36"/>
      <c r="O33" s="20"/>
      <c r="P33" s="20"/>
      <c r="Q33" s="20"/>
      <c r="R33" s="20"/>
      <c r="S33" s="20"/>
      <c r="T33" s="20"/>
      <c r="U33" s="20"/>
      <c r="V33" s="20"/>
      <c r="W33" s="20"/>
    </row>
    <row r="34" spans="1:23" x14ac:dyDescent="0.3">
      <c r="A34" s="103" t="s">
        <v>94</v>
      </c>
      <c r="B34" s="106"/>
      <c r="C34" s="106"/>
      <c r="D34" s="106"/>
      <c r="E34" s="106"/>
      <c r="F34" s="106"/>
      <c r="G34" s="106"/>
      <c r="H34" s="106"/>
      <c r="I34" s="104">
        <f>(K34-J34)/K34*100%</f>
        <v>0</v>
      </c>
      <c r="J34" s="105">
        <f>(J35+J36)</f>
        <v>1</v>
      </c>
      <c r="K34" s="105">
        <f>(K35+K36)</f>
        <v>1</v>
      </c>
      <c r="L34" s="106"/>
      <c r="M34" s="133"/>
      <c r="N34" s="133"/>
      <c r="O34" s="106"/>
      <c r="P34" s="106"/>
      <c r="Q34" s="106"/>
      <c r="R34" s="106"/>
      <c r="S34" s="106"/>
      <c r="T34" s="106"/>
      <c r="U34" s="106"/>
      <c r="V34" s="106"/>
      <c r="W34" s="106"/>
    </row>
    <row r="35" spans="1:23" x14ac:dyDescent="0.3">
      <c r="A35" s="106" t="s">
        <v>95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33"/>
      <c r="N35" s="133"/>
      <c r="O35" s="106"/>
      <c r="P35" s="106"/>
      <c r="Q35" s="106"/>
      <c r="R35" s="106"/>
      <c r="S35" s="106"/>
      <c r="T35" s="106"/>
      <c r="U35" s="106"/>
      <c r="V35" s="106"/>
      <c r="W35" s="106"/>
    </row>
    <row r="36" spans="1:23" ht="15" thickBot="1" x14ac:dyDescent="0.35">
      <c r="A36" s="149" t="s">
        <v>96</v>
      </c>
      <c r="B36" s="149"/>
      <c r="C36" s="149"/>
      <c r="D36" s="149"/>
      <c r="E36" s="149"/>
      <c r="F36" s="149"/>
      <c r="G36" s="86" t="s">
        <v>75</v>
      </c>
      <c r="H36" s="44"/>
      <c r="I36" s="82">
        <v>0</v>
      </c>
      <c r="J36" s="102">
        <f>K36-I36*K36</f>
        <v>1</v>
      </c>
      <c r="K36" s="102">
        <v>1</v>
      </c>
      <c r="L36" s="41"/>
      <c r="M36" s="44"/>
      <c r="N36" s="44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15" thickBot="1" x14ac:dyDescent="0.35">
      <c r="A37" s="100"/>
      <c r="B37" s="100"/>
      <c r="C37" s="100"/>
      <c r="D37" s="100"/>
      <c r="E37" s="100"/>
      <c r="F37" s="100"/>
      <c r="G37" s="11"/>
      <c r="H37" s="44"/>
      <c r="I37" s="44"/>
      <c r="J37" s="44"/>
      <c r="K37" s="65"/>
      <c r="L37" s="41"/>
      <c r="M37" s="44"/>
      <c r="N37" s="44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3">
      <c r="A38" s="103" t="s">
        <v>97</v>
      </c>
      <c r="B38" s="103"/>
      <c r="C38" s="103"/>
      <c r="D38" s="103"/>
      <c r="E38" s="103"/>
      <c r="F38" s="103"/>
      <c r="G38" s="50"/>
      <c r="H38" s="51"/>
      <c r="I38" s="78">
        <f>(K38-J38)/K38*100%</f>
        <v>0</v>
      </c>
      <c r="J38" s="105">
        <f>SUM(J39:J46)</f>
        <v>7</v>
      </c>
      <c r="K38" s="105">
        <f>SUM(K39:K46)</f>
        <v>7</v>
      </c>
      <c r="L38" s="103"/>
      <c r="M38" s="134"/>
      <c r="N38" s="51"/>
      <c r="O38" s="51"/>
      <c r="P38" s="103"/>
      <c r="Q38" s="103"/>
      <c r="R38" s="103"/>
      <c r="S38" s="103"/>
      <c r="T38" s="103"/>
      <c r="U38" s="103"/>
      <c r="V38" s="103"/>
      <c r="W38" s="103"/>
    </row>
    <row r="39" spans="1:23" ht="15" thickBot="1" x14ac:dyDescent="0.35">
      <c r="A39" s="149" t="s">
        <v>98</v>
      </c>
      <c r="B39" s="149"/>
      <c r="C39" s="149"/>
      <c r="D39" s="149"/>
      <c r="E39" s="149"/>
      <c r="F39" s="149"/>
      <c r="G39" s="86" t="s">
        <v>75</v>
      </c>
      <c r="H39" s="44"/>
      <c r="I39" s="82">
        <v>0</v>
      </c>
      <c r="J39" s="102">
        <f>K39-I39*K39</f>
        <v>1</v>
      </c>
      <c r="K39" s="102">
        <v>1</v>
      </c>
      <c r="L39" s="41"/>
      <c r="M39" s="44"/>
      <c r="N39" s="44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15" thickBot="1" x14ac:dyDescent="0.35">
      <c r="A40" s="149" t="s">
        <v>99</v>
      </c>
      <c r="B40" s="149"/>
      <c r="C40" s="149"/>
      <c r="D40" s="149"/>
      <c r="E40" s="149"/>
      <c r="F40" s="149"/>
      <c r="G40" s="86" t="s">
        <v>75</v>
      </c>
      <c r="H40" s="44"/>
      <c r="I40" s="82">
        <v>0</v>
      </c>
      <c r="J40" s="102">
        <f t="shared" ref="J40:J44" si="2">K40-I40*K40</f>
        <v>1</v>
      </c>
      <c r="K40" s="102">
        <v>1</v>
      </c>
      <c r="L40" s="41"/>
      <c r="M40" s="44"/>
      <c r="N40" s="44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15" thickBot="1" x14ac:dyDescent="0.35">
      <c r="A41" s="149" t="s">
        <v>100</v>
      </c>
      <c r="B41" s="149"/>
      <c r="C41" s="149"/>
      <c r="D41" s="149"/>
      <c r="E41" s="149"/>
      <c r="F41" s="149"/>
      <c r="G41" s="86" t="s">
        <v>75</v>
      </c>
      <c r="H41" s="44"/>
      <c r="I41" s="82">
        <v>0</v>
      </c>
      <c r="J41" s="102">
        <f t="shared" si="2"/>
        <v>1</v>
      </c>
      <c r="K41" s="102">
        <v>1</v>
      </c>
      <c r="L41" s="41"/>
      <c r="M41" s="44"/>
      <c r="N41" s="44"/>
      <c r="O41" s="11"/>
      <c r="P41" s="11"/>
      <c r="Q41" s="11"/>
      <c r="R41" s="11"/>
      <c r="S41" s="11"/>
      <c r="T41" s="11"/>
      <c r="U41" s="11"/>
      <c r="V41" s="11"/>
      <c r="W41" s="11"/>
    </row>
    <row r="42" spans="1:23" ht="15" thickBot="1" x14ac:dyDescent="0.35">
      <c r="A42" s="149" t="s">
        <v>101</v>
      </c>
      <c r="B42" s="149"/>
      <c r="C42" s="149"/>
      <c r="D42" s="149"/>
      <c r="E42" s="149"/>
      <c r="F42" s="149"/>
      <c r="G42" s="86" t="s">
        <v>75</v>
      </c>
      <c r="H42" s="44"/>
      <c r="I42" s="82">
        <v>0</v>
      </c>
      <c r="J42" s="102">
        <f t="shared" si="2"/>
        <v>1</v>
      </c>
      <c r="K42" s="102">
        <v>1</v>
      </c>
      <c r="L42" s="41"/>
      <c r="M42" s="44"/>
      <c r="N42" s="137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5" thickBot="1" x14ac:dyDescent="0.35">
      <c r="A43" s="149" t="s">
        <v>102</v>
      </c>
      <c r="B43" s="149"/>
      <c r="C43" s="149"/>
      <c r="D43" s="149"/>
      <c r="E43" s="149"/>
      <c r="F43" s="149"/>
      <c r="G43" s="86" t="s">
        <v>75</v>
      </c>
      <c r="H43" s="44"/>
      <c r="I43" s="82">
        <v>0</v>
      </c>
      <c r="J43" s="102">
        <f>K43-I43*K43</f>
        <v>1</v>
      </c>
      <c r="K43" s="102">
        <v>1</v>
      </c>
      <c r="L43" s="41"/>
      <c r="M43" s="44"/>
      <c r="N43" s="44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15" thickBot="1" x14ac:dyDescent="0.35">
      <c r="A44" s="149" t="s">
        <v>103</v>
      </c>
      <c r="B44" s="149"/>
      <c r="C44" s="149"/>
      <c r="D44" s="149"/>
      <c r="E44" s="149"/>
      <c r="F44" s="149"/>
      <c r="G44" s="86" t="s">
        <v>75</v>
      </c>
      <c r="H44" s="44"/>
      <c r="I44" s="82">
        <v>0</v>
      </c>
      <c r="J44" s="102">
        <f t="shared" si="2"/>
        <v>1</v>
      </c>
      <c r="K44" s="102">
        <v>1</v>
      </c>
      <c r="L44" s="41"/>
      <c r="M44" s="44"/>
      <c r="N44" s="44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15" thickBot="1" x14ac:dyDescent="0.35">
      <c r="A45" s="149" t="s">
        <v>104</v>
      </c>
      <c r="B45" s="149"/>
      <c r="C45" s="149"/>
      <c r="D45" s="149"/>
      <c r="E45" s="149"/>
      <c r="F45" s="149"/>
      <c r="G45" s="86" t="s">
        <v>75</v>
      </c>
      <c r="H45" s="44"/>
      <c r="I45" s="82">
        <v>0</v>
      </c>
      <c r="J45" s="102">
        <v>1</v>
      </c>
      <c r="K45" s="102">
        <v>1</v>
      </c>
      <c r="L45" s="41"/>
      <c r="M45" s="44"/>
      <c r="N45" s="44"/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5" thickBot="1" x14ac:dyDescent="0.35">
      <c r="A46" s="100"/>
      <c r="B46" s="100"/>
      <c r="C46" s="100"/>
      <c r="D46" s="100"/>
      <c r="E46" s="100"/>
      <c r="F46" s="100"/>
      <c r="G46" s="86"/>
      <c r="H46" s="44"/>
      <c r="I46" s="141"/>
      <c r="J46" s="142"/>
      <c r="K46" s="142"/>
      <c r="L46" s="41"/>
      <c r="M46" s="44"/>
      <c r="N46" s="44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3">
      <c r="A47" s="103" t="s">
        <v>105</v>
      </c>
      <c r="B47" s="103"/>
      <c r="C47" s="103"/>
      <c r="D47" s="103"/>
      <c r="E47" s="103"/>
      <c r="F47" s="103"/>
      <c r="G47" s="50"/>
      <c r="H47" s="51"/>
      <c r="I47" s="104">
        <f>(K47-J47)/K47*100%</f>
        <v>0</v>
      </c>
      <c r="J47" s="105">
        <f>SUM(J48:J49)</f>
        <v>1</v>
      </c>
      <c r="K47" s="105">
        <f>SUM(K48:K49)</f>
        <v>1</v>
      </c>
      <c r="L47" s="103"/>
      <c r="M47" s="134"/>
      <c r="N47" s="51"/>
      <c r="O47" s="51"/>
      <c r="P47" s="103"/>
      <c r="Q47" s="103"/>
      <c r="R47" s="103"/>
      <c r="S47" s="103"/>
      <c r="T47" s="103"/>
      <c r="U47" s="103"/>
      <c r="V47" s="103"/>
      <c r="W47" s="103"/>
    </row>
    <row r="48" spans="1:23" ht="15" thickBot="1" x14ac:dyDescent="0.35">
      <c r="A48" s="149" t="s">
        <v>106</v>
      </c>
      <c r="B48" s="149"/>
      <c r="C48" s="149"/>
      <c r="D48" s="149"/>
      <c r="E48" s="149"/>
      <c r="F48" s="149"/>
      <c r="G48" s="86" t="s">
        <v>75</v>
      </c>
      <c r="H48" s="100"/>
      <c r="I48" s="82">
        <v>0</v>
      </c>
      <c r="J48" s="102">
        <f>K48-I48*K48</f>
        <v>1</v>
      </c>
      <c r="K48" s="102">
        <v>1</v>
      </c>
      <c r="L48" s="100"/>
      <c r="M48" s="135"/>
      <c r="N48" s="135"/>
      <c r="O48" s="100"/>
      <c r="P48" s="100"/>
      <c r="Q48" s="100"/>
      <c r="R48" s="100"/>
      <c r="S48" s="100"/>
      <c r="T48" s="100"/>
      <c r="U48" s="100"/>
      <c r="V48" s="100"/>
      <c r="W48" s="100"/>
    </row>
    <row r="49" spans="1:23" ht="15" thickBot="1" x14ac:dyDescent="0.35">
      <c r="A49" s="100"/>
      <c r="B49" s="100"/>
      <c r="C49" s="100"/>
      <c r="D49" s="100"/>
      <c r="E49" s="100"/>
      <c r="F49" s="100"/>
      <c r="G49" s="100"/>
      <c r="H49" s="100"/>
      <c r="I49" s="66"/>
      <c r="J49" s="67"/>
      <c r="K49" s="68"/>
      <c r="L49" s="100"/>
      <c r="M49" s="135"/>
      <c r="N49" s="135"/>
      <c r="O49" s="100"/>
      <c r="P49" s="100"/>
      <c r="Q49" s="100"/>
      <c r="R49" s="100"/>
      <c r="S49" s="100"/>
      <c r="T49" s="100"/>
      <c r="U49" s="100"/>
      <c r="V49" s="100"/>
      <c r="W49" s="100"/>
    </row>
    <row r="50" spans="1:23" x14ac:dyDescent="0.3">
      <c r="A50" s="103" t="s">
        <v>107</v>
      </c>
      <c r="B50" s="103"/>
      <c r="C50" s="103"/>
      <c r="D50" s="103"/>
      <c r="E50" s="103"/>
      <c r="F50" s="103"/>
      <c r="G50" s="50"/>
      <c r="H50" s="51"/>
      <c r="I50" s="104">
        <f>(K50-J50)/K50*100%</f>
        <v>0</v>
      </c>
      <c r="J50" s="105">
        <f>SUM(J51:J52)</f>
        <v>1</v>
      </c>
      <c r="K50" s="105">
        <f>SUM(K51:K52)</f>
        <v>1</v>
      </c>
      <c r="L50" s="103"/>
      <c r="M50" s="134"/>
      <c r="N50" s="51"/>
      <c r="O50" s="51"/>
      <c r="P50" s="103"/>
      <c r="Q50" s="103"/>
      <c r="R50" s="103"/>
      <c r="S50" s="103"/>
      <c r="T50" s="103"/>
      <c r="U50" s="103"/>
      <c r="V50" s="103"/>
      <c r="W50" s="103"/>
    </row>
    <row r="51" spans="1:23" ht="15" thickBot="1" x14ac:dyDescent="0.35">
      <c r="A51" s="149" t="s">
        <v>108</v>
      </c>
      <c r="B51" s="149"/>
      <c r="C51" s="149"/>
      <c r="D51" s="149"/>
      <c r="E51" s="149"/>
      <c r="F51" s="149"/>
      <c r="G51" s="86" t="s">
        <v>75</v>
      </c>
      <c r="H51" s="44"/>
      <c r="I51" s="82">
        <v>0</v>
      </c>
      <c r="J51" s="102">
        <f>K51-I51*K51</f>
        <v>1</v>
      </c>
      <c r="K51" s="102">
        <v>1</v>
      </c>
      <c r="L51" s="41"/>
      <c r="M51" s="44"/>
      <c r="N51" s="44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15" thickBot="1" x14ac:dyDescent="0.35">
      <c r="A52" s="100"/>
      <c r="B52" s="100"/>
      <c r="C52" s="100"/>
      <c r="D52" s="100"/>
      <c r="E52" s="100"/>
      <c r="F52" s="100"/>
      <c r="G52" s="11"/>
      <c r="H52" s="44"/>
      <c r="I52" s="66"/>
      <c r="J52" s="67"/>
      <c r="K52" s="68"/>
      <c r="L52" s="41"/>
      <c r="M52" s="44"/>
      <c r="N52" s="44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3">
      <c r="A53" s="103" t="s">
        <v>109</v>
      </c>
      <c r="B53" s="103"/>
      <c r="C53" s="103"/>
      <c r="D53" s="103"/>
      <c r="E53" s="103"/>
      <c r="F53" s="103"/>
      <c r="G53" s="50"/>
      <c r="H53" s="51"/>
      <c r="I53" s="104">
        <f>(K53-J53)/K53*100%</f>
        <v>0</v>
      </c>
      <c r="J53" s="105">
        <f>SUM(J54:J56)</f>
        <v>2</v>
      </c>
      <c r="K53" s="105">
        <f>SUM(K54:K56)</f>
        <v>2</v>
      </c>
      <c r="L53" s="103"/>
      <c r="M53" s="134"/>
      <c r="N53" s="51"/>
      <c r="O53" s="51"/>
      <c r="P53" s="103"/>
      <c r="Q53" s="103"/>
      <c r="R53" s="103"/>
      <c r="S53" s="103"/>
      <c r="T53" s="103"/>
      <c r="U53" s="103"/>
      <c r="V53" s="103"/>
      <c r="W53" s="103"/>
    </row>
    <row r="54" spans="1:23" ht="15" thickBot="1" x14ac:dyDescent="0.35">
      <c r="A54" s="149" t="s">
        <v>110</v>
      </c>
      <c r="B54" s="149"/>
      <c r="C54" s="149"/>
      <c r="D54" s="149"/>
      <c r="E54" s="149"/>
      <c r="F54" s="149"/>
      <c r="G54" s="86" t="s">
        <v>75</v>
      </c>
      <c r="H54" s="100"/>
      <c r="I54" s="82">
        <v>0</v>
      </c>
      <c r="J54" s="102">
        <f>K54-I54*K54</f>
        <v>1</v>
      </c>
      <c r="K54" s="102">
        <v>1</v>
      </c>
      <c r="L54" s="41"/>
      <c r="M54" s="44"/>
      <c r="N54" s="44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5" thickBot="1" x14ac:dyDescent="0.35">
      <c r="A55" s="149" t="s">
        <v>111</v>
      </c>
      <c r="B55" s="149"/>
      <c r="C55" s="149"/>
      <c r="D55" s="149"/>
      <c r="E55" s="149"/>
      <c r="F55" s="149"/>
      <c r="G55" s="86" t="s">
        <v>75</v>
      </c>
      <c r="H55" s="100"/>
      <c r="I55" s="82">
        <v>0</v>
      </c>
      <c r="J55" s="102">
        <f>K55-I55*K55</f>
        <v>1</v>
      </c>
      <c r="K55" s="102">
        <v>1</v>
      </c>
      <c r="L55" s="41"/>
      <c r="M55" s="44"/>
      <c r="N55" s="44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5" thickBot="1" x14ac:dyDescent="0.35">
      <c r="A56" s="100"/>
      <c r="B56" s="100"/>
      <c r="C56" s="100"/>
      <c r="D56" s="100"/>
      <c r="E56" s="100"/>
      <c r="F56" s="100"/>
      <c r="G56" s="100"/>
      <c r="H56" s="100"/>
      <c r="I56" s="66"/>
      <c r="J56" s="67"/>
      <c r="K56" s="68"/>
      <c r="L56" s="41"/>
      <c r="M56" s="44"/>
      <c r="N56" s="44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3">
      <c r="A57" s="103" t="s">
        <v>112</v>
      </c>
      <c r="B57" s="103"/>
      <c r="C57" s="103"/>
      <c r="D57" s="103"/>
      <c r="E57" s="103"/>
      <c r="F57" s="103"/>
      <c r="G57" s="50"/>
      <c r="H57" s="51"/>
      <c r="I57" s="104">
        <f>(K57-J57)/K57*100%</f>
        <v>0</v>
      </c>
      <c r="J57" s="105">
        <f>SUM(J58:J63)</f>
        <v>5</v>
      </c>
      <c r="K57" s="105">
        <f>SUM(K58:K63)</f>
        <v>5</v>
      </c>
      <c r="L57" s="103"/>
      <c r="M57" s="134"/>
      <c r="N57" s="51"/>
      <c r="O57" s="51"/>
      <c r="P57" s="103"/>
      <c r="Q57" s="103"/>
      <c r="R57" s="103"/>
      <c r="S57" s="103"/>
      <c r="T57" s="103"/>
      <c r="U57" s="103"/>
      <c r="V57" s="103"/>
      <c r="W57" s="103"/>
    </row>
    <row r="58" spans="1:23" ht="15" thickBot="1" x14ac:dyDescent="0.35">
      <c r="A58" s="149" t="s">
        <v>113</v>
      </c>
      <c r="B58" s="149"/>
      <c r="C58" s="149"/>
      <c r="D58" s="149"/>
      <c r="E58" s="149"/>
      <c r="F58" s="149"/>
      <c r="G58" s="86" t="s">
        <v>75</v>
      </c>
      <c r="H58" s="100"/>
      <c r="I58" s="82">
        <v>0</v>
      </c>
      <c r="J58" s="102">
        <f>K58-I58*K58</f>
        <v>1</v>
      </c>
      <c r="K58" s="102">
        <v>1</v>
      </c>
      <c r="L58" s="100"/>
      <c r="M58" s="135"/>
      <c r="N58" s="135"/>
      <c r="O58" s="100"/>
      <c r="P58" s="100"/>
      <c r="Q58" s="100"/>
      <c r="R58" s="100"/>
      <c r="S58" s="100"/>
      <c r="T58" s="100"/>
      <c r="U58" s="100"/>
      <c r="V58" s="100"/>
      <c r="W58" s="100"/>
    </row>
    <row r="59" spans="1:23" ht="15" thickBot="1" x14ac:dyDescent="0.35">
      <c r="A59" s="149" t="s">
        <v>114</v>
      </c>
      <c r="B59" s="149"/>
      <c r="C59" s="149"/>
      <c r="D59" s="149"/>
      <c r="E59" s="149"/>
      <c r="F59" s="149"/>
      <c r="G59" s="86" t="s">
        <v>75</v>
      </c>
      <c r="H59" s="81"/>
      <c r="I59" s="82">
        <v>0</v>
      </c>
      <c r="J59" s="102">
        <f t="shared" ref="J59:J60" si="3">K59-I59*K59</f>
        <v>1</v>
      </c>
      <c r="K59" s="102">
        <v>1</v>
      </c>
      <c r="L59" s="81"/>
      <c r="M59" s="136"/>
      <c r="N59" s="136"/>
      <c r="O59" s="81"/>
      <c r="P59" s="81"/>
      <c r="Q59" s="81"/>
      <c r="R59" s="81"/>
      <c r="S59" s="81"/>
      <c r="T59" s="81"/>
      <c r="U59" s="81"/>
      <c r="V59" s="81"/>
      <c r="W59" s="81"/>
    </row>
    <row r="60" spans="1:23" ht="15" thickBot="1" x14ac:dyDescent="0.35">
      <c r="A60" s="149" t="s">
        <v>115</v>
      </c>
      <c r="B60" s="149"/>
      <c r="C60" s="149"/>
      <c r="D60" s="149"/>
      <c r="E60" s="149"/>
      <c r="F60" s="149"/>
      <c r="G60" s="86" t="s">
        <v>75</v>
      </c>
      <c r="H60" s="100"/>
      <c r="I60" s="82">
        <v>0</v>
      </c>
      <c r="J60" s="102">
        <f t="shared" si="3"/>
        <v>1</v>
      </c>
      <c r="K60" s="102">
        <v>1</v>
      </c>
      <c r="L60" s="100"/>
      <c r="M60" s="135"/>
      <c r="N60" s="135"/>
      <c r="O60" s="100"/>
      <c r="P60" s="100"/>
      <c r="Q60" s="100"/>
      <c r="R60" s="100"/>
      <c r="S60" s="100"/>
      <c r="T60" s="100"/>
      <c r="U60" s="100"/>
      <c r="V60" s="100"/>
      <c r="W60" s="100"/>
    </row>
    <row r="61" spans="1:23" ht="15" thickBot="1" x14ac:dyDescent="0.35">
      <c r="A61" s="149" t="s">
        <v>116</v>
      </c>
      <c r="B61" s="149"/>
      <c r="C61" s="149"/>
      <c r="D61" s="149"/>
      <c r="E61" s="149"/>
      <c r="F61" s="149"/>
      <c r="G61" s="86" t="s">
        <v>75</v>
      </c>
      <c r="H61" s="100"/>
      <c r="I61" s="82">
        <v>0</v>
      </c>
      <c r="J61" s="102">
        <f>K61-I61*K61</f>
        <v>1</v>
      </c>
      <c r="K61" s="102">
        <v>1</v>
      </c>
      <c r="L61" s="100"/>
      <c r="M61" s="135"/>
      <c r="N61" s="135"/>
      <c r="O61" s="100"/>
      <c r="P61" s="100"/>
      <c r="Q61" s="100"/>
      <c r="R61" s="100"/>
      <c r="S61" s="100"/>
      <c r="T61" s="100"/>
      <c r="U61" s="100"/>
      <c r="V61" s="100"/>
      <c r="W61" s="100"/>
    </row>
    <row r="62" spans="1:23" ht="15" thickBot="1" x14ac:dyDescent="0.35">
      <c r="A62" s="149" t="s">
        <v>117</v>
      </c>
      <c r="B62" s="149"/>
      <c r="C62" s="149"/>
      <c r="D62" s="149"/>
      <c r="E62" s="149"/>
      <c r="F62" s="149"/>
      <c r="G62" s="86" t="s">
        <v>75</v>
      </c>
      <c r="H62" s="100"/>
      <c r="I62" s="82">
        <v>0</v>
      </c>
      <c r="J62" s="102">
        <f>K62-I62*K62</f>
        <v>1</v>
      </c>
      <c r="K62" s="102">
        <v>1</v>
      </c>
      <c r="L62" s="100"/>
      <c r="M62" s="135"/>
      <c r="N62" s="135"/>
      <c r="O62" s="100"/>
      <c r="P62" s="100"/>
      <c r="Q62" s="100"/>
      <c r="R62" s="100"/>
      <c r="S62" s="100"/>
      <c r="T62" s="100"/>
      <c r="U62" s="100"/>
      <c r="V62" s="100"/>
      <c r="W62" s="100"/>
    </row>
    <row r="63" spans="1:23" ht="15" thickBot="1" x14ac:dyDescent="0.35">
      <c r="A63" s="100"/>
      <c r="B63" s="100"/>
      <c r="C63" s="100"/>
      <c r="D63" s="100"/>
      <c r="E63" s="100"/>
      <c r="F63" s="100"/>
      <c r="G63" s="100"/>
      <c r="H63" s="100"/>
      <c r="I63" s="108"/>
      <c r="J63" s="108"/>
      <c r="K63" s="108"/>
      <c r="L63" s="100"/>
      <c r="M63" s="135"/>
      <c r="N63" s="135"/>
      <c r="O63" s="100"/>
      <c r="P63" s="100"/>
      <c r="Q63" s="100"/>
      <c r="R63" s="100"/>
      <c r="S63" s="100"/>
      <c r="T63" s="100"/>
      <c r="U63" s="100"/>
      <c r="V63" s="100"/>
      <c r="W63" s="100"/>
    </row>
    <row r="64" spans="1:23" x14ac:dyDescent="0.3">
      <c r="A64" s="103" t="s">
        <v>118</v>
      </c>
      <c r="B64" s="103"/>
      <c r="C64" s="103"/>
      <c r="D64" s="103"/>
      <c r="E64" s="103"/>
      <c r="F64" s="103"/>
      <c r="G64" s="50"/>
      <c r="H64" s="51"/>
      <c r="I64" s="104">
        <f>(K64-J64)/K64*100%</f>
        <v>0</v>
      </c>
      <c r="J64" s="105">
        <f>SUM(J65:J71)</f>
        <v>6</v>
      </c>
      <c r="K64" s="105">
        <f>SUM(K65:K71)</f>
        <v>6</v>
      </c>
      <c r="L64" s="103"/>
      <c r="M64" s="134"/>
      <c r="N64" s="51"/>
      <c r="O64" s="51"/>
      <c r="P64" s="103"/>
      <c r="Q64" s="103"/>
      <c r="R64" s="103"/>
      <c r="S64" s="103"/>
      <c r="T64" s="103"/>
      <c r="U64" s="103"/>
      <c r="V64" s="103"/>
      <c r="W64" s="103"/>
    </row>
    <row r="65" spans="1:23" ht="15" thickBot="1" x14ac:dyDescent="0.35">
      <c r="A65" s="149" t="s">
        <v>119</v>
      </c>
      <c r="B65" s="149"/>
      <c r="C65" s="149"/>
      <c r="D65" s="149"/>
      <c r="E65" s="149"/>
      <c r="F65" s="149"/>
      <c r="G65" s="86" t="s">
        <v>75</v>
      </c>
      <c r="H65" s="44"/>
      <c r="I65" s="82">
        <v>0</v>
      </c>
      <c r="J65" s="102">
        <f>K65-I65*K65</f>
        <v>1</v>
      </c>
      <c r="K65" s="102">
        <v>1</v>
      </c>
      <c r="L65" s="41"/>
      <c r="M65" s="44"/>
      <c r="N65" s="44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5" thickBot="1" x14ac:dyDescent="0.35">
      <c r="A66" s="149" t="s">
        <v>120</v>
      </c>
      <c r="B66" s="149"/>
      <c r="C66" s="149"/>
      <c r="D66" s="149"/>
      <c r="E66" s="149"/>
      <c r="F66" s="149"/>
      <c r="G66" s="86" t="s">
        <v>75</v>
      </c>
      <c r="H66" s="44"/>
      <c r="I66" s="82">
        <v>0</v>
      </c>
      <c r="J66" s="102">
        <f t="shared" ref="J66:J67" si="4">K66-I66*K66</f>
        <v>1</v>
      </c>
      <c r="K66" s="102">
        <v>1</v>
      </c>
      <c r="L66" s="41"/>
      <c r="M66" s="44"/>
      <c r="N66" s="44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15" thickBot="1" x14ac:dyDescent="0.35">
      <c r="A67" s="149" t="s">
        <v>121</v>
      </c>
      <c r="B67" s="149"/>
      <c r="C67" s="149"/>
      <c r="D67" s="149"/>
      <c r="E67" s="149"/>
      <c r="F67" s="149"/>
      <c r="G67" s="86" t="s">
        <v>75</v>
      </c>
      <c r="H67" s="44"/>
      <c r="I67" s="82">
        <v>0</v>
      </c>
      <c r="J67" s="102">
        <f t="shared" si="4"/>
        <v>1</v>
      </c>
      <c r="K67" s="102">
        <v>1</v>
      </c>
      <c r="L67" s="41"/>
      <c r="M67" s="44"/>
      <c r="N67" s="44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5" thickBot="1" x14ac:dyDescent="0.35">
      <c r="A68" s="149" t="s">
        <v>122</v>
      </c>
      <c r="B68" s="149"/>
      <c r="C68" s="149"/>
      <c r="D68" s="149"/>
      <c r="E68" s="149"/>
      <c r="F68" s="149"/>
      <c r="G68" s="86" t="s">
        <v>75</v>
      </c>
      <c r="H68" s="44"/>
      <c r="I68" s="82">
        <v>0</v>
      </c>
      <c r="J68" s="102">
        <v>1</v>
      </c>
      <c r="K68" s="102">
        <v>1</v>
      </c>
      <c r="L68" s="41"/>
      <c r="M68" s="44"/>
      <c r="N68" s="44"/>
      <c r="O68" s="11"/>
      <c r="P68" s="11"/>
      <c r="Q68" s="11"/>
      <c r="R68" s="11"/>
      <c r="S68" s="11"/>
      <c r="T68" s="11"/>
      <c r="U68" s="11"/>
      <c r="V68" s="11"/>
      <c r="W68" s="11"/>
    </row>
    <row r="69" spans="1:23" ht="15" thickBot="1" x14ac:dyDescent="0.35">
      <c r="A69" s="149" t="s">
        <v>123</v>
      </c>
      <c r="B69" s="149"/>
      <c r="C69" s="149"/>
      <c r="D69" s="149"/>
      <c r="E69" s="149"/>
      <c r="F69" s="149"/>
      <c r="G69" s="86" t="s">
        <v>75</v>
      </c>
      <c r="H69" s="44"/>
      <c r="I69" s="82">
        <v>0</v>
      </c>
      <c r="J69" s="102">
        <f>K69-I69*K69</f>
        <v>1</v>
      </c>
      <c r="K69" s="102">
        <v>1</v>
      </c>
      <c r="L69" s="41"/>
      <c r="M69" s="44"/>
      <c r="N69" s="44"/>
      <c r="O69" s="11"/>
      <c r="P69" s="11"/>
      <c r="Q69" s="11"/>
      <c r="R69" s="11"/>
      <c r="S69" s="11"/>
      <c r="T69" s="11"/>
      <c r="U69" s="11"/>
      <c r="V69" s="11"/>
      <c r="W69" s="11"/>
    </row>
    <row r="70" spans="1:23" ht="15" thickBot="1" x14ac:dyDescent="0.35">
      <c r="A70" s="149" t="s">
        <v>124</v>
      </c>
      <c r="B70" s="149"/>
      <c r="C70" s="149"/>
      <c r="D70" s="149"/>
      <c r="E70" s="149"/>
      <c r="F70" s="149"/>
      <c r="G70" s="86" t="s">
        <v>75</v>
      </c>
      <c r="H70" s="44"/>
      <c r="I70" s="82">
        <v>0</v>
      </c>
      <c r="J70" s="102">
        <v>1</v>
      </c>
      <c r="K70" s="102">
        <v>1</v>
      </c>
      <c r="L70" s="41"/>
      <c r="M70" s="44"/>
      <c r="N70" s="44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5" thickBot="1" x14ac:dyDescent="0.35">
      <c r="A71" s="100"/>
      <c r="B71" s="100"/>
      <c r="C71" s="100"/>
      <c r="D71" s="100"/>
      <c r="E71" s="100"/>
      <c r="F71" s="100"/>
      <c r="H71" s="44"/>
      <c r="I71" s="11"/>
      <c r="J71" s="41"/>
      <c r="K71" s="64"/>
      <c r="L71" s="41"/>
      <c r="M71" s="44"/>
      <c r="N71" s="44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3">
      <c r="A72" s="103" t="s">
        <v>125</v>
      </c>
      <c r="B72" s="103"/>
      <c r="C72" s="103"/>
      <c r="D72" s="103"/>
      <c r="E72" s="103"/>
      <c r="F72" s="103"/>
      <c r="G72" s="50"/>
      <c r="H72" s="51"/>
      <c r="I72" s="104">
        <f>(K72-J72)/K72*100%</f>
        <v>0</v>
      </c>
      <c r="J72" s="105">
        <f>SUM(J73:J75)</f>
        <v>2</v>
      </c>
      <c r="K72" s="105">
        <f>SUM(K73:K75)</f>
        <v>2</v>
      </c>
      <c r="L72" s="49"/>
      <c r="M72" s="51"/>
      <c r="N72" s="51"/>
      <c r="O72" s="51"/>
      <c r="P72" s="50"/>
      <c r="Q72" s="51"/>
      <c r="R72" s="51"/>
      <c r="S72" s="51"/>
      <c r="T72" s="51"/>
      <c r="U72" s="51"/>
      <c r="V72" s="51"/>
      <c r="W72" s="51"/>
    </row>
    <row r="73" spans="1:23" ht="15" thickBot="1" x14ac:dyDescent="0.35">
      <c r="A73" s="149" t="s">
        <v>126</v>
      </c>
      <c r="B73" s="149"/>
      <c r="C73" s="149"/>
      <c r="D73" s="149"/>
      <c r="E73" s="149"/>
      <c r="F73" s="149"/>
      <c r="G73" s="86" t="s">
        <v>127</v>
      </c>
      <c r="H73" s="44"/>
      <c r="I73" s="82">
        <v>0</v>
      </c>
      <c r="J73" s="102">
        <f>K73-I73*K73</f>
        <v>1</v>
      </c>
      <c r="K73" s="102">
        <v>1</v>
      </c>
      <c r="L73" s="41"/>
      <c r="M73" s="44"/>
      <c r="N73" s="44"/>
      <c r="O73" s="11"/>
      <c r="P73" s="11"/>
      <c r="Q73" s="11"/>
      <c r="R73" s="11"/>
      <c r="S73" s="11"/>
      <c r="T73" s="11"/>
      <c r="U73" s="11"/>
      <c r="V73" s="11"/>
      <c r="W73" s="11"/>
    </row>
    <row r="74" spans="1:23" ht="15" thickBot="1" x14ac:dyDescent="0.35">
      <c r="A74" s="149" t="s">
        <v>128</v>
      </c>
      <c r="B74" s="149"/>
      <c r="C74" s="149"/>
      <c r="D74" s="149"/>
      <c r="E74" s="149"/>
      <c r="F74" s="149"/>
      <c r="G74" s="86" t="s">
        <v>127</v>
      </c>
      <c r="H74" s="44"/>
      <c r="I74" s="82">
        <v>0</v>
      </c>
      <c r="J74" s="102">
        <f>K74-I74*K74</f>
        <v>1</v>
      </c>
      <c r="K74" s="102">
        <v>1</v>
      </c>
      <c r="L74" s="41"/>
      <c r="M74" s="44"/>
      <c r="N74" s="44"/>
      <c r="O74" s="11"/>
      <c r="P74" s="11"/>
      <c r="Q74" s="11"/>
      <c r="R74" s="11"/>
      <c r="S74" s="11"/>
      <c r="T74" s="11"/>
      <c r="U74" s="11"/>
      <c r="V74" s="11"/>
      <c r="W74" s="11"/>
    </row>
    <row r="75" spans="1:23" ht="15" thickBot="1" x14ac:dyDescent="0.35">
      <c r="A75" s="76"/>
      <c r="B75" s="76"/>
      <c r="C75" s="76"/>
      <c r="D75" s="76"/>
      <c r="E75" s="76"/>
      <c r="F75" s="76"/>
      <c r="G75" s="11"/>
      <c r="H75" s="44"/>
      <c r="I75" s="11"/>
      <c r="J75" s="41"/>
      <c r="K75" s="64"/>
      <c r="L75" s="41"/>
      <c r="M75" s="44"/>
      <c r="N75" s="44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3">
      <c r="A76" s="103" t="s">
        <v>129</v>
      </c>
      <c r="B76" s="103"/>
      <c r="C76" s="103"/>
      <c r="D76" s="103"/>
      <c r="E76" s="103"/>
      <c r="F76" s="103"/>
      <c r="G76" s="50"/>
      <c r="H76" s="51"/>
      <c r="I76" s="104">
        <f>(K76-J76)/K76*100%</f>
        <v>1</v>
      </c>
      <c r="J76" s="105">
        <f>SUM(J77:J81)</f>
        <v>0</v>
      </c>
      <c r="K76" s="105">
        <f>SUM(K77:K81)</f>
        <v>1</v>
      </c>
      <c r="L76" s="50"/>
      <c r="M76" s="51"/>
      <c r="N76" s="51"/>
      <c r="O76" s="51"/>
      <c r="P76" s="50"/>
      <c r="Q76" s="51"/>
      <c r="R76" s="51"/>
      <c r="S76" s="51"/>
      <c r="T76" s="51"/>
      <c r="U76" s="51"/>
      <c r="V76" s="51"/>
      <c r="W76" s="51"/>
    </row>
    <row r="77" spans="1:23" ht="15" thickBot="1" x14ac:dyDescent="0.35">
      <c r="A77" s="149" t="s">
        <v>130</v>
      </c>
      <c r="B77" s="149"/>
      <c r="C77" s="149"/>
      <c r="D77" s="149"/>
      <c r="E77" s="149"/>
      <c r="F77" s="149"/>
      <c r="G77" s="86" t="s">
        <v>127</v>
      </c>
      <c r="H77" s="44" t="s">
        <v>131</v>
      </c>
      <c r="I77" s="82">
        <v>1</v>
      </c>
      <c r="J77" s="102">
        <f>K77-I77*K77</f>
        <v>0</v>
      </c>
      <c r="K77" s="102">
        <v>1</v>
      </c>
      <c r="L77" s="41"/>
      <c r="M77" s="44"/>
      <c r="N77" s="44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5" thickBot="1" x14ac:dyDescent="0.35">
      <c r="A78" s="149"/>
      <c r="B78" s="149"/>
      <c r="C78" s="149"/>
      <c r="D78" s="149"/>
      <c r="E78" s="149"/>
      <c r="F78" s="149"/>
      <c r="G78" s="86"/>
      <c r="H78" s="44"/>
      <c r="I78" s="82"/>
      <c r="J78" s="102"/>
      <c r="K78" s="102"/>
      <c r="L78" s="41"/>
      <c r="M78" s="44"/>
      <c r="N78" s="44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15" thickBot="1" x14ac:dyDescent="0.35">
      <c r="A79" s="149"/>
      <c r="B79" s="149"/>
      <c r="C79" s="149"/>
      <c r="D79" s="149"/>
      <c r="E79" s="149"/>
      <c r="F79" s="149"/>
      <c r="G79" s="86"/>
      <c r="H79" s="44"/>
      <c r="I79" s="82"/>
      <c r="J79" s="102"/>
      <c r="K79" s="102"/>
      <c r="L79" s="41"/>
      <c r="M79" s="44"/>
      <c r="N79" s="44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15" thickBot="1" x14ac:dyDescent="0.35">
      <c r="A80" s="149"/>
      <c r="B80" s="149"/>
      <c r="C80" s="149"/>
      <c r="D80" s="149"/>
      <c r="E80" s="149"/>
      <c r="F80" s="149"/>
      <c r="G80" s="86"/>
      <c r="H80" s="44"/>
      <c r="I80" s="82"/>
      <c r="J80" s="102"/>
      <c r="K80" s="102"/>
      <c r="L80" s="39"/>
    </row>
    <row r="81" spans="1:23" ht="15" thickBot="1" x14ac:dyDescent="0.35">
      <c r="A81" s="81"/>
      <c r="B81" s="81"/>
      <c r="C81" s="81"/>
      <c r="D81" s="81"/>
      <c r="E81" s="81"/>
      <c r="F81" s="81"/>
      <c r="H81" s="38"/>
      <c r="I81" s="40"/>
      <c r="J81" s="47"/>
      <c r="K81" s="63"/>
      <c r="L81" s="39"/>
    </row>
    <row r="82" spans="1:23" x14ac:dyDescent="0.3">
      <c r="A82" s="85" t="s">
        <v>132</v>
      </c>
      <c r="B82" s="77"/>
      <c r="C82" s="77"/>
      <c r="D82" s="77"/>
      <c r="E82" s="77"/>
      <c r="F82" s="77"/>
      <c r="G82" s="20"/>
      <c r="H82" s="36"/>
      <c r="I82" s="104">
        <f>(K82-J82)/K82*100%</f>
        <v>0</v>
      </c>
      <c r="J82" s="79">
        <f>SUM(J83:J86)</f>
        <v>3</v>
      </c>
      <c r="K82" s="80">
        <f>SUM(K83:K86)</f>
        <v>3</v>
      </c>
      <c r="L82" s="39"/>
    </row>
    <row r="83" spans="1:23" ht="15" thickBot="1" x14ac:dyDescent="0.35">
      <c r="A83" s="149" t="s">
        <v>133</v>
      </c>
      <c r="B83" s="149"/>
      <c r="C83" s="149"/>
      <c r="D83" s="149"/>
      <c r="E83" s="149"/>
      <c r="F83" s="149"/>
      <c r="G83" s="86" t="s">
        <v>87</v>
      </c>
      <c r="H83" s="44"/>
      <c r="I83" s="82">
        <v>0</v>
      </c>
      <c r="J83" s="102">
        <f>K83-I83*K83</f>
        <v>1</v>
      </c>
      <c r="K83" s="102">
        <v>1</v>
      </c>
      <c r="L83" s="39"/>
    </row>
    <row r="84" spans="1:23" ht="15" thickBot="1" x14ac:dyDescent="0.35">
      <c r="A84" s="149" t="s">
        <v>134</v>
      </c>
      <c r="B84" s="149"/>
      <c r="C84" s="149"/>
      <c r="D84" s="149"/>
      <c r="E84" s="149"/>
      <c r="F84" s="149"/>
      <c r="G84" s="86" t="s">
        <v>87</v>
      </c>
      <c r="H84" s="38"/>
      <c r="I84" s="82">
        <v>0</v>
      </c>
      <c r="J84" s="102">
        <f>K84-I84*K84</f>
        <v>1</v>
      </c>
      <c r="K84" s="102">
        <v>1</v>
      </c>
      <c r="L84" s="39"/>
    </row>
    <row r="85" spans="1:23" ht="15" thickBot="1" x14ac:dyDescent="0.35">
      <c r="A85" s="149" t="s">
        <v>135</v>
      </c>
      <c r="B85" s="149"/>
      <c r="C85" s="149"/>
      <c r="D85" s="149"/>
      <c r="E85" s="149"/>
      <c r="F85" s="149"/>
      <c r="G85" s="86" t="s">
        <v>87</v>
      </c>
      <c r="H85" s="38"/>
      <c r="I85" s="82">
        <v>0</v>
      </c>
      <c r="J85" s="102">
        <f>K85-I85*K85</f>
        <v>1</v>
      </c>
      <c r="K85" s="102">
        <v>1</v>
      </c>
      <c r="L85" s="39"/>
    </row>
    <row r="86" spans="1:23" ht="15" thickBot="1" x14ac:dyDescent="0.35">
      <c r="A86" s="100"/>
      <c r="B86" s="100"/>
      <c r="C86" s="100"/>
      <c r="D86" s="100"/>
      <c r="E86" s="100"/>
      <c r="F86" s="100"/>
      <c r="G86" s="86"/>
      <c r="H86" s="38"/>
      <c r="I86" s="112"/>
      <c r="J86" s="102"/>
      <c r="K86" s="102"/>
      <c r="L86" s="39"/>
    </row>
    <row r="87" spans="1:23" x14ac:dyDescent="0.3">
      <c r="A87" s="85" t="s">
        <v>136</v>
      </c>
      <c r="B87" s="77"/>
      <c r="C87" s="77"/>
      <c r="D87" s="77"/>
      <c r="E87" s="77"/>
      <c r="F87" s="77"/>
      <c r="G87" s="20"/>
      <c r="H87" s="36"/>
      <c r="I87" s="104">
        <f>(K87-J87)/K87*100%</f>
        <v>0</v>
      </c>
      <c r="J87" s="79">
        <f>SUM(J88:J92)</f>
        <v>4</v>
      </c>
      <c r="K87" s="80">
        <f>SUM(K88:K92)</f>
        <v>4</v>
      </c>
      <c r="L87" s="37"/>
      <c r="M87" s="36"/>
      <c r="N87" s="36"/>
      <c r="O87" s="20"/>
      <c r="P87" s="20"/>
      <c r="Q87" s="20"/>
      <c r="R87" s="20"/>
      <c r="S87" s="20"/>
      <c r="T87" s="20"/>
      <c r="U87" s="20"/>
      <c r="V87" s="20"/>
      <c r="W87" s="20"/>
    </row>
    <row r="88" spans="1:23" ht="15" thickBot="1" x14ac:dyDescent="0.35">
      <c r="A88" s="149" t="s">
        <v>137</v>
      </c>
      <c r="B88" s="149"/>
      <c r="C88" s="149"/>
      <c r="D88" s="149"/>
      <c r="E88" s="149"/>
      <c r="F88" s="149"/>
      <c r="G88" s="86" t="s">
        <v>87</v>
      </c>
      <c r="H88" s="44"/>
      <c r="I88" s="82">
        <v>0</v>
      </c>
      <c r="J88" s="102">
        <f>K88-I88*K88</f>
        <v>1</v>
      </c>
      <c r="K88" s="102">
        <v>1</v>
      </c>
      <c r="L88" s="41"/>
      <c r="M88" s="44"/>
      <c r="N88" s="44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5" thickBot="1" x14ac:dyDescent="0.35">
      <c r="A89" s="149" t="s">
        <v>138</v>
      </c>
      <c r="B89" s="149"/>
      <c r="C89" s="149"/>
      <c r="D89" s="149"/>
      <c r="E89" s="149"/>
      <c r="F89" s="149"/>
      <c r="G89" s="86" t="s">
        <v>75</v>
      </c>
      <c r="H89" s="38"/>
      <c r="I89" s="82">
        <v>0</v>
      </c>
      <c r="J89" s="102">
        <f t="shared" ref="J89:J90" si="5">K89-I89*K89</f>
        <v>1</v>
      </c>
      <c r="K89" s="102">
        <v>1</v>
      </c>
      <c r="L89" s="39"/>
    </row>
    <row r="90" spans="1:23" ht="15" thickBot="1" x14ac:dyDescent="0.35">
      <c r="A90" s="149" t="s">
        <v>139</v>
      </c>
      <c r="B90" s="149"/>
      <c r="C90" s="149"/>
      <c r="D90" s="149"/>
      <c r="E90" s="149"/>
      <c r="F90" s="149"/>
      <c r="G90" s="86" t="s">
        <v>75</v>
      </c>
      <c r="H90" s="38"/>
      <c r="I90" s="82">
        <v>0</v>
      </c>
      <c r="J90" s="102">
        <f t="shared" si="5"/>
        <v>1</v>
      </c>
      <c r="K90" s="102">
        <v>1</v>
      </c>
      <c r="L90" s="39"/>
    </row>
    <row r="91" spans="1:23" ht="15" thickBot="1" x14ac:dyDescent="0.35">
      <c r="A91" s="149" t="s">
        <v>140</v>
      </c>
      <c r="B91" s="149"/>
      <c r="C91" s="149"/>
      <c r="D91" s="149"/>
      <c r="E91" s="149"/>
      <c r="F91" s="149"/>
      <c r="G91" s="86" t="s">
        <v>141</v>
      </c>
      <c r="H91" s="38"/>
      <c r="I91" s="82">
        <v>0</v>
      </c>
      <c r="J91" s="102">
        <f>K91-I91*K91</f>
        <v>1</v>
      </c>
      <c r="K91" s="102">
        <v>1</v>
      </c>
      <c r="L91" s="39"/>
    </row>
    <row r="92" spans="1:23" ht="15" thickBot="1" x14ac:dyDescent="0.35">
      <c r="A92" s="100"/>
      <c r="B92" s="100"/>
      <c r="C92" s="100"/>
      <c r="D92" s="100"/>
      <c r="E92" s="100"/>
      <c r="F92" s="81"/>
      <c r="H92" s="38"/>
      <c r="I92" s="38"/>
      <c r="J92" s="38"/>
      <c r="K92" s="38"/>
      <c r="L92" s="39"/>
    </row>
    <row r="93" spans="1:23" x14ac:dyDescent="0.3">
      <c r="A93" s="85" t="s">
        <v>142</v>
      </c>
      <c r="B93" s="77"/>
      <c r="C93" s="77"/>
      <c r="D93" s="77"/>
      <c r="E93" s="77"/>
      <c r="F93" s="77"/>
      <c r="G93" s="20"/>
      <c r="H93" s="36"/>
      <c r="I93" s="104">
        <f>(K93-J93)/K93*100%</f>
        <v>0</v>
      </c>
      <c r="J93" s="79">
        <f>SUM(J94:J98)</f>
        <v>4</v>
      </c>
      <c r="K93" s="80">
        <f>SUM(K94:K98)</f>
        <v>4</v>
      </c>
      <c r="L93" s="37"/>
      <c r="M93" s="36"/>
      <c r="N93" s="36"/>
      <c r="O93" s="20"/>
      <c r="P93" s="20"/>
      <c r="Q93" s="20"/>
      <c r="R93" s="20"/>
      <c r="S93" s="20"/>
      <c r="T93" s="20"/>
      <c r="U93" s="20"/>
      <c r="V93" s="20"/>
      <c r="W93" s="20"/>
    </row>
    <row r="94" spans="1:23" ht="15" thickBot="1" x14ac:dyDescent="0.35">
      <c r="A94" s="149" t="s">
        <v>143</v>
      </c>
      <c r="B94" s="149"/>
      <c r="C94" s="149"/>
      <c r="D94" s="149"/>
      <c r="E94" s="149"/>
      <c r="F94" s="149"/>
      <c r="G94" s="86" t="s">
        <v>87</v>
      </c>
      <c r="H94" s="44"/>
      <c r="I94" s="82">
        <v>0</v>
      </c>
      <c r="J94" s="102">
        <f>K94-I94*K94</f>
        <v>1</v>
      </c>
      <c r="K94" s="102">
        <v>1</v>
      </c>
      <c r="L94" s="41"/>
      <c r="M94" s="44"/>
      <c r="N94" s="44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15" thickBot="1" x14ac:dyDescent="0.35">
      <c r="A95" s="149" t="s">
        <v>138</v>
      </c>
      <c r="B95" s="149"/>
      <c r="C95" s="149"/>
      <c r="D95" s="149"/>
      <c r="E95" s="149"/>
      <c r="F95" s="149"/>
      <c r="G95" s="86" t="s">
        <v>75</v>
      </c>
      <c r="H95" s="38"/>
      <c r="I95" s="82">
        <v>0</v>
      </c>
      <c r="J95" s="102">
        <f t="shared" ref="J95:J96" si="6">K95-I95*K95</f>
        <v>1</v>
      </c>
      <c r="K95" s="102">
        <v>1</v>
      </c>
      <c r="L95" s="39"/>
    </row>
    <row r="96" spans="1:23" ht="15" thickBot="1" x14ac:dyDescent="0.35">
      <c r="A96" s="149" t="s">
        <v>139</v>
      </c>
      <c r="B96" s="149"/>
      <c r="C96" s="149"/>
      <c r="D96" s="149"/>
      <c r="E96" s="149"/>
      <c r="F96" s="149"/>
      <c r="G96" s="86" t="s">
        <v>75</v>
      </c>
      <c r="H96" s="38"/>
      <c r="I96" s="82">
        <v>0</v>
      </c>
      <c r="J96" s="102">
        <f t="shared" si="6"/>
        <v>1</v>
      </c>
      <c r="K96" s="102">
        <v>1</v>
      </c>
      <c r="L96" s="39"/>
    </row>
    <row r="97" spans="1:23" ht="15" thickBot="1" x14ac:dyDescent="0.35">
      <c r="A97" s="149" t="s">
        <v>140</v>
      </c>
      <c r="B97" s="149"/>
      <c r="C97" s="149"/>
      <c r="D97" s="149"/>
      <c r="E97" s="149"/>
      <c r="F97" s="149"/>
      <c r="G97" s="86" t="s">
        <v>141</v>
      </c>
      <c r="H97" s="38"/>
      <c r="I97" s="82">
        <v>0</v>
      </c>
      <c r="J97" s="102">
        <f>K97-I97*K97</f>
        <v>1</v>
      </c>
      <c r="K97" s="102">
        <v>1</v>
      </c>
      <c r="L97" s="39"/>
    </row>
    <row r="98" spans="1:23" ht="15" thickBot="1" x14ac:dyDescent="0.35">
      <c r="A98" s="100"/>
      <c r="B98" s="100"/>
      <c r="C98" s="100"/>
      <c r="D98" s="100"/>
      <c r="E98" s="100"/>
      <c r="F98" s="81"/>
      <c r="H98" s="38"/>
      <c r="I98" s="38"/>
      <c r="J98" s="38"/>
      <c r="K98" s="38"/>
      <c r="L98" s="39"/>
    </row>
    <row r="99" spans="1:23" x14ac:dyDescent="0.3">
      <c r="A99" s="103" t="s">
        <v>58</v>
      </c>
      <c r="B99" s="103"/>
      <c r="C99" s="103"/>
      <c r="D99" s="103"/>
      <c r="E99" s="103"/>
      <c r="F99" s="103"/>
      <c r="G99" s="50"/>
      <c r="H99" s="51"/>
      <c r="I99" s="104">
        <f>(K99-J99)/K99*100%</f>
        <v>0</v>
      </c>
      <c r="J99" s="79">
        <f>SUM(J100:J108)</f>
        <v>6</v>
      </c>
      <c r="K99" s="80">
        <f>SUM(K100:K108)</f>
        <v>6</v>
      </c>
      <c r="L99" s="50"/>
      <c r="M99" s="51"/>
      <c r="N99" s="51"/>
      <c r="O99" s="51"/>
      <c r="P99" s="50"/>
      <c r="Q99" s="51"/>
      <c r="R99" s="51"/>
      <c r="S99" s="51"/>
      <c r="T99" s="51"/>
      <c r="U99" s="51"/>
      <c r="V99" s="51"/>
      <c r="W99" s="51"/>
    </row>
    <row r="100" spans="1:23" ht="15" thickBot="1" x14ac:dyDescent="0.35">
      <c r="A100" s="149" t="s">
        <v>144</v>
      </c>
      <c r="B100" s="149"/>
      <c r="C100" s="149"/>
      <c r="D100" s="149"/>
      <c r="E100" s="149"/>
      <c r="F100" s="149"/>
      <c r="G100" s="86" t="s">
        <v>75</v>
      </c>
      <c r="H100" s="38"/>
      <c r="I100" s="82">
        <v>0</v>
      </c>
      <c r="J100" s="102">
        <f>K100-I100*K100</f>
        <v>1</v>
      </c>
      <c r="K100" s="102">
        <v>1</v>
      </c>
      <c r="L100" s="39"/>
    </row>
    <row r="101" spans="1:23" ht="15" thickBot="1" x14ac:dyDescent="0.35">
      <c r="A101" s="149" t="s">
        <v>145</v>
      </c>
      <c r="B101" s="149"/>
      <c r="C101" s="149"/>
      <c r="D101" s="149"/>
      <c r="E101" s="149"/>
      <c r="F101" s="149"/>
      <c r="G101" s="86" t="s">
        <v>75</v>
      </c>
      <c r="H101" s="38"/>
      <c r="I101" s="82">
        <v>0</v>
      </c>
      <c r="J101" s="102">
        <f t="shared" ref="J101:J102" si="7">K101-I101*K101</f>
        <v>1</v>
      </c>
      <c r="K101" s="102">
        <v>1</v>
      </c>
      <c r="L101" s="39"/>
    </row>
    <row r="102" spans="1:23" ht="15" thickBot="1" x14ac:dyDescent="0.35">
      <c r="A102" s="149" t="s">
        <v>146</v>
      </c>
      <c r="B102" s="149"/>
      <c r="C102" s="149"/>
      <c r="D102" s="149"/>
      <c r="E102" s="149"/>
      <c r="F102" s="149"/>
      <c r="G102" s="86" t="s">
        <v>87</v>
      </c>
      <c r="H102" s="38"/>
      <c r="I102" s="82">
        <v>0</v>
      </c>
      <c r="J102" s="102">
        <f t="shared" si="7"/>
        <v>1</v>
      </c>
      <c r="K102" s="102">
        <v>1</v>
      </c>
      <c r="L102" s="39"/>
    </row>
    <row r="103" spans="1:23" ht="15" thickBot="1" x14ac:dyDescent="0.35">
      <c r="A103" s="149" t="s">
        <v>147</v>
      </c>
      <c r="B103" s="149"/>
      <c r="C103" s="149"/>
      <c r="D103" s="149"/>
      <c r="E103" s="149"/>
      <c r="F103" s="149"/>
      <c r="G103" s="86" t="s">
        <v>141</v>
      </c>
      <c r="H103" s="38"/>
      <c r="I103" s="82">
        <v>0</v>
      </c>
      <c r="J103" s="102">
        <f>K103-I103*K103</f>
        <v>1</v>
      </c>
      <c r="K103" s="102">
        <v>1</v>
      </c>
      <c r="L103" s="39"/>
    </row>
    <row r="104" spans="1:23" ht="15" thickBot="1" x14ac:dyDescent="0.35">
      <c r="A104" s="150" t="s">
        <v>148</v>
      </c>
      <c r="B104" s="150"/>
      <c r="C104" s="150"/>
      <c r="D104" s="150"/>
      <c r="E104" s="150"/>
      <c r="F104" s="150"/>
      <c r="G104" s="86" t="s">
        <v>141</v>
      </c>
      <c r="H104" s="38"/>
      <c r="I104" s="82">
        <v>0</v>
      </c>
      <c r="J104" s="102">
        <f>K104-I104*K104</f>
        <v>1</v>
      </c>
      <c r="K104" s="102">
        <v>1</v>
      </c>
      <c r="L104" s="39"/>
    </row>
    <row r="105" spans="1:23" x14ac:dyDescent="0.3">
      <c r="A105" s="109"/>
      <c r="B105" s="109"/>
      <c r="C105" s="109"/>
      <c r="D105" s="109"/>
      <c r="E105" s="109"/>
      <c r="F105" s="109"/>
      <c r="H105" s="38"/>
      <c r="I105" s="38"/>
      <c r="J105" s="38"/>
      <c r="K105" s="38"/>
      <c r="L105" s="38"/>
    </row>
    <row r="106" spans="1:23" ht="15" thickBot="1" x14ac:dyDescent="0.35">
      <c r="A106" s="151" t="s">
        <v>149</v>
      </c>
      <c r="B106" s="151"/>
      <c r="C106" s="151"/>
      <c r="D106" s="151"/>
      <c r="E106" s="151"/>
      <c r="F106" s="151"/>
      <c r="G106" s="86" t="s">
        <v>141</v>
      </c>
      <c r="H106" s="38"/>
      <c r="I106" s="82">
        <v>0</v>
      </c>
      <c r="J106" s="102">
        <f>K106-I106*K106</f>
        <v>1</v>
      </c>
      <c r="K106" s="102">
        <v>1</v>
      </c>
      <c r="L106" s="39"/>
    </row>
    <row r="107" spans="1:23" ht="15" thickBot="1" x14ac:dyDescent="0.35">
      <c r="A107" s="81"/>
      <c r="B107" s="81"/>
      <c r="C107" s="81"/>
      <c r="D107" s="81"/>
      <c r="E107" s="81"/>
      <c r="F107" s="81"/>
      <c r="J107" s="39"/>
      <c r="K107" s="63"/>
    </row>
    <row r="108" spans="1:23" ht="15" thickBot="1" x14ac:dyDescent="0.35">
      <c r="A108" s="110"/>
      <c r="B108" s="110"/>
      <c r="C108" s="110"/>
      <c r="D108" s="110"/>
      <c r="E108" s="81"/>
      <c r="F108" s="81"/>
      <c r="H108" s="38"/>
      <c r="I108" s="48"/>
      <c r="J108" s="39"/>
      <c r="K108" s="63"/>
      <c r="L108" s="39"/>
    </row>
    <row r="109" spans="1:23" x14ac:dyDescent="0.3">
      <c r="A109" s="20" t="s">
        <v>150</v>
      </c>
      <c r="B109" s="77"/>
      <c r="C109" s="77"/>
      <c r="D109" s="77"/>
      <c r="E109" s="77"/>
      <c r="F109" s="77"/>
      <c r="G109" s="20"/>
      <c r="H109" s="36"/>
      <c r="I109" s="104">
        <f>(K109-J109)/K109*100%</f>
        <v>0</v>
      </c>
      <c r="J109" s="79">
        <f>SUM(J110:J118)</f>
        <v>8</v>
      </c>
      <c r="K109" s="80">
        <f>SUM(K110:K118)</f>
        <v>8</v>
      </c>
      <c r="L109" s="37"/>
      <c r="M109" s="36"/>
      <c r="N109" s="36"/>
      <c r="O109" s="20"/>
      <c r="P109" s="20"/>
      <c r="Q109" s="20"/>
      <c r="R109" s="20"/>
      <c r="S109" s="20"/>
      <c r="T109" s="20"/>
      <c r="U109" s="20"/>
      <c r="V109" s="20"/>
      <c r="W109" s="20"/>
    </row>
    <row r="110" spans="1:23" ht="15" thickBot="1" x14ac:dyDescent="0.35">
      <c r="A110" s="152" t="s">
        <v>151</v>
      </c>
      <c r="B110" s="152"/>
      <c r="C110" s="152"/>
      <c r="D110" s="152"/>
      <c r="E110" s="152"/>
      <c r="F110" s="152"/>
      <c r="G110" s="86" t="s">
        <v>75</v>
      </c>
      <c r="H110" s="38"/>
      <c r="I110" s="82">
        <v>0</v>
      </c>
      <c r="J110" s="102">
        <f>K110-I110*K110</f>
        <v>1</v>
      </c>
      <c r="K110" s="102">
        <v>1</v>
      </c>
      <c r="L110" s="39"/>
    </row>
    <row r="111" spans="1:23" ht="15" thickBot="1" x14ac:dyDescent="0.35">
      <c r="A111" s="149" t="s">
        <v>152</v>
      </c>
      <c r="B111" s="149"/>
      <c r="C111" s="149"/>
      <c r="D111" s="149"/>
      <c r="E111" s="149"/>
      <c r="F111" s="149"/>
      <c r="G111" s="86" t="s">
        <v>75</v>
      </c>
      <c r="H111" s="38"/>
      <c r="I111" s="82">
        <v>0</v>
      </c>
      <c r="J111" s="102">
        <f t="shared" ref="J111:J112" si="8">K111-I111*K111</f>
        <v>1</v>
      </c>
      <c r="K111" s="102">
        <v>1</v>
      </c>
      <c r="L111" s="39"/>
    </row>
    <row r="112" spans="1:23" ht="15" thickBot="1" x14ac:dyDescent="0.35">
      <c r="A112" s="149" t="s">
        <v>153</v>
      </c>
      <c r="B112" s="149"/>
      <c r="C112" s="149"/>
      <c r="D112" s="149"/>
      <c r="E112" s="149"/>
      <c r="F112" s="149"/>
      <c r="G112" s="86" t="s">
        <v>75</v>
      </c>
      <c r="H112" s="38"/>
      <c r="I112" s="82">
        <v>0</v>
      </c>
      <c r="J112" s="102">
        <f t="shared" si="8"/>
        <v>1</v>
      </c>
      <c r="K112" s="102">
        <v>1</v>
      </c>
      <c r="L112" s="39"/>
    </row>
    <row r="113" spans="1:23" ht="15" thickBot="1" x14ac:dyDescent="0.35">
      <c r="A113" s="149" t="s">
        <v>154</v>
      </c>
      <c r="B113" s="149"/>
      <c r="C113" s="149"/>
      <c r="D113" s="149"/>
      <c r="E113" s="149"/>
      <c r="F113" s="149"/>
      <c r="G113" s="86" t="s">
        <v>87</v>
      </c>
      <c r="H113" s="38"/>
      <c r="I113" s="82">
        <v>0</v>
      </c>
      <c r="J113" s="102">
        <f>K113-I113*K113</f>
        <v>1</v>
      </c>
      <c r="K113" s="102">
        <v>1</v>
      </c>
      <c r="L113" s="39"/>
    </row>
    <row r="114" spans="1:23" ht="15" thickBot="1" x14ac:dyDescent="0.35">
      <c r="A114" s="149" t="s">
        <v>155</v>
      </c>
      <c r="B114" s="149"/>
      <c r="C114" s="149"/>
      <c r="D114" s="149"/>
      <c r="E114" s="149"/>
      <c r="F114" s="149"/>
      <c r="G114" s="86" t="s">
        <v>87</v>
      </c>
      <c r="H114" s="38"/>
      <c r="I114" s="82">
        <v>0</v>
      </c>
      <c r="J114" s="102">
        <f>K114-I114*K114</f>
        <v>1</v>
      </c>
      <c r="K114" s="102">
        <v>1</v>
      </c>
      <c r="L114" s="39"/>
    </row>
    <row r="115" spans="1:23" ht="15" thickBot="1" x14ac:dyDescent="0.35">
      <c r="A115" s="149" t="s">
        <v>156</v>
      </c>
      <c r="B115" s="149"/>
      <c r="C115" s="149"/>
      <c r="D115" s="149"/>
      <c r="E115" s="149"/>
      <c r="F115" s="149"/>
      <c r="G115" s="86" t="s">
        <v>87</v>
      </c>
      <c r="H115" s="38"/>
      <c r="I115" s="82">
        <v>0</v>
      </c>
      <c r="J115" s="102">
        <f>K115-I115*K115</f>
        <v>1</v>
      </c>
      <c r="K115" s="102">
        <v>1</v>
      </c>
      <c r="L115" s="39"/>
    </row>
    <row r="116" spans="1:23" ht="15" thickBot="1" x14ac:dyDescent="0.35">
      <c r="A116" s="149" t="s">
        <v>157</v>
      </c>
      <c r="B116" s="149"/>
      <c r="C116" s="149"/>
      <c r="D116" s="149"/>
      <c r="E116" s="149"/>
      <c r="F116" s="149"/>
      <c r="G116" s="86" t="s">
        <v>127</v>
      </c>
      <c r="H116" s="38"/>
      <c r="I116" s="82">
        <v>0</v>
      </c>
      <c r="J116" s="102">
        <f t="shared" ref="J116:J117" si="9">K116-I116*K116</f>
        <v>1</v>
      </c>
      <c r="K116" s="102">
        <v>1</v>
      </c>
      <c r="L116" s="39"/>
    </row>
    <row r="117" spans="1:23" ht="15" thickBot="1" x14ac:dyDescent="0.35">
      <c r="A117" s="149" t="s">
        <v>158</v>
      </c>
      <c r="B117" s="149"/>
      <c r="C117" s="149"/>
      <c r="D117" s="149"/>
      <c r="E117" s="149"/>
      <c r="F117" s="149"/>
      <c r="G117" s="86" t="s">
        <v>159</v>
      </c>
      <c r="H117" s="38"/>
      <c r="I117" s="82">
        <v>0</v>
      </c>
      <c r="J117" s="102">
        <f t="shared" si="9"/>
        <v>1</v>
      </c>
      <c r="K117" s="102">
        <v>1</v>
      </c>
      <c r="L117" s="39"/>
    </row>
    <row r="118" spans="1:23" ht="15" thickBot="1" x14ac:dyDescent="0.35">
      <c r="A118" s="148"/>
      <c r="B118" s="148"/>
      <c r="C118" s="148"/>
      <c r="D118" s="148"/>
      <c r="E118" s="148"/>
      <c r="F118" s="148"/>
      <c r="H118" s="38"/>
      <c r="I118" s="48"/>
      <c r="J118" s="39"/>
      <c r="K118" s="63"/>
      <c r="L118" s="39"/>
    </row>
    <row r="119" spans="1:23" x14ac:dyDescent="0.3">
      <c r="A119" s="20" t="s">
        <v>160</v>
      </c>
      <c r="B119" s="77"/>
      <c r="C119" s="77"/>
      <c r="D119" s="77"/>
      <c r="E119" s="77"/>
      <c r="F119" s="77"/>
      <c r="G119" s="20"/>
      <c r="H119" s="36"/>
      <c r="I119" s="104">
        <f>(K119-J119)/K119*100%</f>
        <v>0</v>
      </c>
      <c r="J119" s="79">
        <f>SUM(J120:J129)</f>
        <v>8</v>
      </c>
      <c r="K119" s="80">
        <f>SUM(K120:K129)</f>
        <v>8</v>
      </c>
      <c r="L119" s="37"/>
      <c r="M119" s="36"/>
      <c r="N119" s="36"/>
      <c r="O119" s="20"/>
      <c r="P119" s="20"/>
      <c r="Q119" s="20"/>
      <c r="R119" s="20"/>
      <c r="S119" s="20"/>
      <c r="T119" s="20"/>
      <c r="U119" s="20"/>
      <c r="V119" s="20"/>
      <c r="W119" s="20"/>
    </row>
    <row r="120" spans="1:23" ht="15" thickBot="1" x14ac:dyDescent="0.35">
      <c r="A120" s="149" t="s">
        <v>151</v>
      </c>
      <c r="B120" s="149"/>
      <c r="C120" s="149"/>
      <c r="D120" s="149"/>
      <c r="E120" s="149"/>
      <c r="F120" s="149"/>
      <c r="G120" s="86" t="s">
        <v>75</v>
      </c>
      <c r="H120" s="38"/>
      <c r="I120" s="82">
        <v>0</v>
      </c>
      <c r="J120" s="102">
        <f>K120-I120*K120</f>
        <v>1</v>
      </c>
      <c r="K120" s="102">
        <v>1</v>
      </c>
      <c r="L120" s="39"/>
    </row>
    <row r="121" spans="1:23" ht="15" thickBot="1" x14ac:dyDescent="0.35">
      <c r="A121" s="149" t="s">
        <v>153</v>
      </c>
      <c r="B121" s="149"/>
      <c r="C121" s="149"/>
      <c r="D121" s="149"/>
      <c r="E121" s="149"/>
      <c r="F121" s="149"/>
      <c r="G121" s="86" t="s">
        <v>75</v>
      </c>
      <c r="H121" s="38"/>
      <c r="I121" s="82">
        <v>0</v>
      </c>
      <c r="J121" s="102">
        <f t="shared" ref="J121:J122" si="10">K121-I121*K121</f>
        <v>1</v>
      </c>
      <c r="K121" s="102">
        <v>1</v>
      </c>
      <c r="L121" s="39"/>
    </row>
    <row r="122" spans="1:23" ht="15" thickBot="1" x14ac:dyDescent="0.35">
      <c r="A122" s="149" t="s">
        <v>161</v>
      </c>
      <c r="B122" s="149"/>
      <c r="C122" s="149"/>
      <c r="D122" s="149"/>
      <c r="E122" s="149"/>
      <c r="F122" s="149"/>
      <c r="G122" s="86" t="s">
        <v>75</v>
      </c>
      <c r="H122" s="38"/>
      <c r="I122" s="82">
        <v>0</v>
      </c>
      <c r="J122" s="102">
        <f t="shared" si="10"/>
        <v>1</v>
      </c>
      <c r="K122" s="102">
        <v>1</v>
      </c>
      <c r="L122" s="39"/>
    </row>
    <row r="123" spans="1:23" ht="15" thickBot="1" x14ac:dyDescent="0.35">
      <c r="A123" s="149" t="s">
        <v>162</v>
      </c>
      <c r="B123" s="149"/>
      <c r="C123" s="149"/>
      <c r="D123" s="149"/>
      <c r="E123" s="149"/>
      <c r="F123" s="149"/>
      <c r="G123" s="86" t="s">
        <v>75</v>
      </c>
      <c r="H123" s="38"/>
      <c r="I123" s="82">
        <v>0</v>
      </c>
      <c r="J123" s="102">
        <f>K123-I123*K123</f>
        <v>1</v>
      </c>
      <c r="K123" s="102">
        <v>1</v>
      </c>
      <c r="L123" s="39"/>
    </row>
    <row r="124" spans="1:23" ht="15" thickBot="1" x14ac:dyDescent="0.35">
      <c r="A124" s="149" t="s">
        <v>163</v>
      </c>
      <c r="B124" s="149"/>
      <c r="C124" s="149"/>
      <c r="D124" s="149"/>
      <c r="E124" s="149"/>
      <c r="F124" s="149"/>
      <c r="G124" s="86" t="s">
        <v>164</v>
      </c>
      <c r="H124" s="38"/>
      <c r="I124" s="82">
        <v>0</v>
      </c>
      <c r="J124" s="102">
        <f>K124-I124*K124</f>
        <v>1</v>
      </c>
      <c r="K124" s="102">
        <v>1</v>
      </c>
      <c r="L124" s="39"/>
    </row>
    <row r="125" spans="1:23" ht="15" thickBot="1" x14ac:dyDescent="0.35">
      <c r="A125" s="149" t="s">
        <v>165</v>
      </c>
      <c r="B125" s="149"/>
      <c r="C125" s="149"/>
      <c r="D125" s="149"/>
      <c r="E125" s="149"/>
      <c r="F125" s="149"/>
      <c r="G125" s="86" t="s">
        <v>75</v>
      </c>
      <c r="H125" s="38"/>
      <c r="I125" s="82">
        <v>0</v>
      </c>
      <c r="J125" s="102">
        <f>K125-I125*K125</f>
        <v>1</v>
      </c>
      <c r="K125" s="102">
        <v>1</v>
      </c>
      <c r="L125" s="39"/>
    </row>
    <row r="126" spans="1:23" x14ac:dyDescent="0.3">
      <c r="A126" s="148"/>
      <c r="B126" s="148"/>
      <c r="C126" s="148"/>
      <c r="D126" s="148"/>
      <c r="E126" s="148"/>
      <c r="F126" s="148"/>
      <c r="G126" s="86"/>
      <c r="H126" s="38"/>
      <c r="I126" s="44"/>
      <c r="J126" s="44"/>
      <c r="K126" s="44"/>
      <c r="L126" s="39"/>
    </row>
    <row r="127" spans="1:23" ht="15" thickBot="1" x14ac:dyDescent="0.35">
      <c r="A127" s="149" t="s">
        <v>157</v>
      </c>
      <c r="B127" s="149"/>
      <c r="C127" s="149"/>
      <c r="D127" s="149"/>
      <c r="E127" s="149"/>
      <c r="F127" s="149"/>
      <c r="G127" s="86" t="s">
        <v>127</v>
      </c>
      <c r="H127" s="38"/>
      <c r="I127" s="82">
        <v>0</v>
      </c>
      <c r="J127" s="102">
        <f t="shared" ref="J127:J128" si="11">K127-I127*K127</f>
        <v>1</v>
      </c>
      <c r="K127" s="102">
        <v>1</v>
      </c>
      <c r="L127" s="39"/>
    </row>
    <row r="128" spans="1:23" ht="15" thickBot="1" x14ac:dyDescent="0.35">
      <c r="A128" s="149" t="s">
        <v>158</v>
      </c>
      <c r="B128" s="149"/>
      <c r="C128" s="149"/>
      <c r="D128" s="149"/>
      <c r="E128" s="149"/>
      <c r="F128" s="149"/>
      <c r="G128" s="86" t="s">
        <v>159</v>
      </c>
      <c r="H128" s="38"/>
      <c r="I128" s="82">
        <v>0</v>
      </c>
      <c r="J128" s="102">
        <f t="shared" si="11"/>
        <v>1</v>
      </c>
      <c r="K128" s="102">
        <v>1</v>
      </c>
      <c r="L128" s="39"/>
    </row>
    <row r="129" spans="1:23" ht="15" thickBot="1" x14ac:dyDescent="0.35">
      <c r="A129" s="148"/>
      <c r="B129" s="148"/>
      <c r="C129" s="148"/>
      <c r="D129" s="148"/>
      <c r="E129" s="148"/>
      <c r="F129" s="148"/>
      <c r="H129" s="38"/>
      <c r="I129" s="48"/>
      <c r="J129" s="39"/>
      <c r="K129" s="63"/>
      <c r="L129" s="39"/>
    </row>
    <row r="130" spans="1:23" x14ac:dyDescent="0.3">
      <c r="A130" s="20" t="s">
        <v>166</v>
      </c>
      <c r="B130" s="77"/>
      <c r="C130" s="77"/>
      <c r="D130" s="77"/>
      <c r="E130" s="77"/>
      <c r="F130" s="77"/>
      <c r="G130" s="20"/>
      <c r="H130" s="36"/>
      <c r="I130" s="78">
        <f>(K130-J130)/K130*100%</f>
        <v>0</v>
      </c>
      <c r="J130" s="79">
        <f>SUM(J131:J137)</f>
        <v>5</v>
      </c>
      <c r="K130" s="80">
        <f>SUM(K131:K137)</f>
        <v>5</v>
      </c>
      <c r="L130" s="37"/>
      <c r="M130" s="36"/>
      <c r="N130" s="36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 ht="15" thickBot="1" x14ac:dyDescent="0.35">
      <c r="A131" s="146" t="s">
        <v>167</v>
      </c>
      <c r="B131" s="146"/>
      <c r="C131" s="146"/>
      <c r="D131" s="146"/>
      <c r="E131" s="146"/>
      <c r="F131" s="146"/>
      <c r="G131" s="86" t="s">
        <v>75</v>
      </c>
      <c r="H131" s="38"/>
      <c r="I131" s="82">
        <v>0</v>
      </c>
      <c r="J131" s="107">
        <v>1</v>
      </c>
      <c r="K131" s="65">
        <v>1</v>
      </c>
      <c r="L131" s="39"/>
    </row>
    <row r="132" spans="1:23" ht="15" thickBot="1" x14ac:dyDescent="0.35">
      <c r="A132" s="147" t="s">
        <v>168</v>
      </c>
      <c r="B132" s="147"/>
      <c r="C132" s="147"/>
      <c r="D132" s="147"/>
      <c r="E132" s="147"/>
      <c r="F132" s="147"/>
      <c r="G132" t="s">
        <v>169</v>
      </c>
      <c r="H132" s="38"/>
      <c r="I132" s="82">
        <v>0</v>
      </c>
      <c r="J132" s="107">
        <v>1</v>
      </c>
      <c r="K132" s="65">
        <v>1</v>
      </c>
      <c r="L132" s="39"/>
    </row>
    <row r="133" spans="1:23" ht="15" thickBot="1" x14ac:dyDescent="0.35">
      <c r="A133" s="146" t="s">
        <v>170</v>
      </c>
      <c r="B133" s="146"/>
      <c r="C133" s="146"/>
      <c r="D133" s="146"/>
      <c r="E133" s="146"/>
      <c r="F133" s="146"/>
      <c r="G133" s="86" t="s">
        <v>75</v>
      </c>
      <c r="H133" s="38"/>
      <c r="I133" s="82">
        <v>0</v>
      </c>
      <c r="J133" s="107">
        <v>1</v>
      </c>
      <c r="K133" s="65">
        <v>1</v>
      </c>
      <c r="L133" s="39"/>
    </row>
    <row r="134" spans="1:23" ht="15" thickBot="1" x14ac:dyDescent="0.35">
      <c r="A134" s="146" t="s">
        <v>171</v>
      </c>
      <c r="B134" s="146"/>
      <c r="C134" s="146"/>
      <c r="D134" s="146"/>
      <c r="E134" s="146"/>
      <c r="F134" s="146"/>
      <c r="G134" s="86" t="s">
        <v>75</v>
      </c>
      <c r="H134" s="38"/>
      <c r="I134" s="82">
        <v>0</v>
      </c>
      <c r="J134" s="107">
        <v>1</v>
      </c>
      <c r="K134" s="65">
        <v>1</v>
      </c>
      <c r="L134" s="39"/>
    </row>
    <row r="135" spans="1:23" ht="15" thickBot="1" x14ac:dyDescent="0.35">
      <c r="A135" s="115" t="s">
        <v>172</v>
      </c>
      <c r="B135" s="115"/>
      <c r="C135" s="115"/>
      <c r="D135" s="115"/>
      <c r="E135" s="115"/>
      <c r="F135" s="115"/>
      <c r="G135" s="86"/>
      <c r="H135" s="38"/>
      <c r="I135" s="82">
        <v>0</v>
      </c>
      <c r="J135" s="107">
        <v>1</v>
      </c>
      <c r="K135" s="65">
        <v>1</v>
      </c>
      <c r="L135" s="39"/>
    </row>
    <row r="136" spans="1:23" ht="15" thickBot="1" x14ac:dyDescent="0.35">
      <c r="A136" s="115" t="s">
        <v>173</v>
      </c>
      <c r="B136" s="115"/>
      <c r="C136" s="115"/>
      <c r="D136" s="115"/>
      <c r="E136" s="115"/>
      <c r="F136" s="115"/>
      <c r="G136" s="86"/>
      <c r="H136" s="38"/>
      <c r="I136" s="112"/>
      <c r="J136" s="107"/>
      <c r="K136" s="65"/>
      <c r="L136" s="39"/>
    </row>
    <row r="137" spans="1:23" ht="15" thickBot="1" x14ac:dyDescent="0.35">
      <c r="H137" s="38"/>
      <c r="I137" s="48"/>
      <c r="J137" s="39"/>
      <c r="K137" s="63"/>
      <c r="L137" s="39"/>
    </row>
    <row r="138" spans="1:23" x14ac:dyDescent="0.3">
      <c r="A138" s="20" t="s">
        <v>174</v>
      </c>
      <c r="B138" s="77"/>
      <c r="C138" s="77"/>
      <c r="D138" s="77"/>
      <c r="E138" s="77"/>
      <c r="F138" s="77"/>
      <c r="G138" s="20"/>
      <c r="H138" s="36"/>
      <c r="I138" s="78">
        <f>(K138-J138)/K138*100%</f>
        <v>0</v>
      </c>
      <c r="J138" s="79">
        <f>SUM(J139:J143)</f>
        <v>5</v>
      </c>
      <c r="K138" s="80">
        <f>SUM(K139:K143)</f>
        <v>5</v>
      </c>
      <c r="L138" s="37"/>
      <c r="M138" s="36"/>
      <c r="N138" s="36"/>
      <c r="O138" s="20"/>
      <c r="P138" s="20"/>
      <c r="Q138" s="20"/>
      <c r="R138" s="20"/>
      <c r="S138" s="20"/>
      <c r="T138" s="20"/>
      <c r="U138" s="20"/>
      <c r="V138" s="20"/>
      <c r="W138" s="20"/>
    </row>
    <row r="139" spans="1:23" ht="15" thickBot="1" x14ac:dyDescent="0.35">
      <c r="A139" s="145" t="s">
        <v>175</v>
      </c>
      <c r="B139" s="145"/>
      <c r="C139" s="145"/>
      <c r="D139" s="145"/>
      <c r="E139" s="145"/>
      <c r="F139" s="145"/>
      <c r="G139" s="86" t="s">
        <v>174</v>
      </c>
      <c r="H139" s="38"/>
      <c r="I139" s="82">
        <v>0</v>
      </c>
      <c r="J139" s="107">
        <v>1</v>
      </c>
      <c r="K139" s="65">
        <v>1</v>
      </c>
      <c r="L139" s="39"/>
    </row>
    <row r="140" spans="1:23" ht="15" thickBot="1" x14ac:dyDescent="0.35">
      <c r="A140" s="145" t="s">
        <v>176</v>
      </c>
      <c r="B140" s="145"/>
      <c r="C140" s="145"/>
      <c r="D140" s="145"/>
      <c r="E140" s="145"/>
      <c r="F140" s="145"/>
      <c r="G140" s="86" t="s">
        <v>174</v>
      </c>
      <c r="H140" s="38"/>
      <c r="I140" s="82">
        <v>0</v>
      </c>
      <c r="J140" s="107">
        <v>1</v>
      </c>
      <c r="K140" s="65">
        <v>1</v>
      </c>
      <c r="L140" s="39"/>
    </row>
    <row r="141" spans="1:23" ht="15" thickBot="1" x14ac:dyDescent="0.35">
      <c r="A141" s="145" t="s">
        <v>177</v>
      </c>
      <c r="B141" s="145"/>
      <c r="C141" s="145"/>
      <c r="D141" s="145"/>
      <c r="E141" s="145"/>
      <c r="F141" s="145"/>
      <c r="G141" s="86" t="s">
        <v>174</v>
      </c>
      <c r="H141" s="38"/>
      <c r="I141" s="82">
        <v>0</v>
      </c>
      <c r="J141" s="107">
        <v>1</v>
      </c>
      <c r="K141" s="65">
        <v>1</v>
      </c>
      <c r="L141" s="39"/>
    </row>
    <row r="142" spans="1:23" ht="15" thickBot="1" x14ac:dyDescent="0.35">
      <c r="A142" s="145" t="s">
        <v>178</v>
      </c>
      <c r="B142" s="145"/>
      <c r="C142" s="145"/>
      <c r="D142" s="145"/>
      <c r="E142" s="145"/>
      <c r="F142" s="145"/>
      <c r="G142" s="86" t="s">
        <v>174</v>
      </c>
      <c r="H142" s="38"/>
      <c r="I142" s="82">
        <v>0</v>
      </c>
      <c r="J142" s="107">
        <v>1</v>
      </c>
      <c r="K142" s="65">
        <v>1</v>
      </c>
      <c r="L142" s="39"/>
    </row>
    <row r="143" spans="1:23" ht="15" thickBot="1" x14ac:dyDescent="0.35">
      <c r="A143" s="145" t="s">
        <v>179</v>
      </c>
      <c r="B143" s="145"/>
      <c r="C143" s="145"/>
      <c r="D143" s="145"/>
      <c r="E143" s="145"/>
      <c r="F143" s="145"/>
      <c r="G143" s="86" t="s">
        <v>174</v>
      </c>
      <c r="H143" s="38"/>
      <c r="I143" s="82">
        <v>0</v>
      </c>
      <c r="J143" s="107">
        <v>1</v>
      </c>
      <c r="K143" s="65">
        <v>1</v>
      </c>
      <c r="L143" s="39"/>
    </row>
    <row r="145" spans="1:1" x14ac:dyDescent="0.3">
      <c r="A145" s="116"/>
    </row>
  </sheetData>
  <mergeCells count="94">
    <mergeCell ref="A20:F20"/>
    <mergeCell ref="P3:Q3"/>
    <mergeCell ref="R3:S3"/>
    <mergeCell ref="T3:U3"/>
    <mergeCell ref="V3:W3"/>
    <mergeCell ref="L4:N9"/>
    <mergeCell ref="A14:F14"/>
    <mergeCell ref="A15:F15"/>
    <mergeCell ref="A16:F16"/>
    <mergeCell ref="A17:F17"/>
    <mergeCell ref="A18:F18"/>
    <mergeCell ref="A19:F19"/>
    <mergeCell ref="A41:F41"/>
    <mergeCell ref="A21:F21"/>
    <mergeCell ref="A22:F22"/>
    <mergeCell ref="A23:F23"/>
    <mergeCell ref="A27:F27"/>
    <mergeCell ref="A28:F28"/>
    <mergeCell ref="A29:F29"/>
    <mergeCell ref="A30:F30"/>
    <mergeCell ref="A31:F31"/>
    <mergeCell ref="A36:F36"/>
    <mergeCell ref="A39:F39"/>
    <mergeCell ref="A40:F40"/>
    <mergeCell ref="A61:F61"/>
    <mergeCell ref="A42:F42"/>
    <mergeCell ref="A43:F43"/>
    <mergeCell ref="A44:F44"/>
    <mergeCell ref="A45:F45"/>
    <mergeCell ref="A48:F48"/>
    <mergeCell ref="A51:F51"/>
    <mergeCell ref="A54:F54"/>
    <mergeCell ref="A55:F55"/>
    <mergeCell ref="A58:F58"/>
    <mergeCell ref="A59:F59"/>
    <mergeCell ref="A60:F60"/>
    <mergeCell ref="A79:F79"/>
    <mergeCell ref="A62:F62"/>
    <mergeCell ref="A65:F65"/>
    <mergeCell ref="A66:F66"/>
    <mergeCell ref="A67:F67"/>
    <mergeCell ref="A68:F68"/>
    <mergeCell ref="A69:F69"/>
    <mergeCell ref="A70:F70"/>
    <mergeCell ref="A73:F73"/>
    <mergeCell ref="A74:F74"/>
    <mergeCell ref="A77:F77"/>
    <mergeCell ref="A78:F78"/>
    <mergeCell ref="A97:F97"/>
    <mergeCell ref="A80:F80"/>
    <mergeCell ref="A83:F83"/>
    <mergeCell ref="A84:F84"/>
    <mergeCell ref="A85:F85"/>
    <mergeCell ref="A88:F88"/>
    <mergeCell ref="A89:F89"/>
    <mergeCell ref="A90:F90"/>
    <mergeCell ref="A91:F91"/>
    <mergeCell ref="A94:F94"/>
    <mergeCell ref="A95:F95"/>
    <mergeCell ref="A96:F96"/>
    <mergeCell ref="A115:F115"/>
    <mergeCell ref="A100:F100"/>
    <mergeCell ref="A101:F101"/>
    <mergeCell ref="A102:F102"/>
    <mergeCell ref="A103:F103"/>
    <mergeCell ref="A104:F104"/>
    <mergeCell ref="A106:F106"/>
    <mergeCell ref="A110:F110"/>
    <mergeCell ref="A111:F111"/>
    <mergeCell ref="A112:F112"/>
    <mergeCell ref="A113:F113"/>
    <mergeCell ref="A114:F114"/>
    <mergeCell ref="A128:F128"/>
    <mergeCell ref="A116:F116"/>
    <mergeCell ref="A117:F117"/>
    <mergeCell ref="A118:F118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40:F140"/>
    <mergeCell ref="A141:F141"/>
    <mergeCell ref="A142:F142"/>
    <mergeCell ref="A143:F143"/>
    <mergeCell ref="A129:F129"/>
    <mergeCell ref="A131:F131"/>
    <mergeCell ref="A132:F132"/>
    <mergeCell ref="A133:F133"/>
    <mergeCell ref="A134:F134"/>
    <mergeCell ref="A139:F139"/>
  </mergeCells>
  <conditionalFormatting sqref="A35:H35 L35:Q35 I83:I86 I27:I31 I73:I74">
    <cfRule type="dataBar" priority="3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{762FEF2D-A47F-475B-B098-C20DA2A068A5}</x14:id>
        </ext>
      </extLst>
    </cfRule>
  </conditionalFormatting>
  <conditionalFormatting sqref="B34:H34">
    <cfRule type="dataBar" priority="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{91739E6C-3F32-4582-B36B-D6913506D27F}</x14:id>
        </ext>
      </extLst>
    </cfRule>
  </conditionalFormatting>
  <conditionalFormatting sqref="I13">
    <cfRule type="dataBar" priority="3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{D2A65E0B-E1B0-44E8-8C5F-1D8416E4C4C2}</x14:id>
        </ext>
      </extLst>
    </cfRule>
  </conditionalFormatting>
  <conditionalFormatting sqref="I14:I24">
    <cfRule type="dataBar" priority="3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{96F8A38F-19B2-468B-AD13-3E6A2CE2B49F}</x14:id>
        </ext>
      </extLst>
    </cfRule>
  </conditionalFormatting>
  <conditionalFormatting sqref="I26">
    <cfRule type="dataBar" priority="3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{520DA03D-C82C-4427-BCAC-572538C27A43}</x14:id>
        </ext>
      </extLst>
    </cfRule>
  </conditionalFormatting>
  <conditionalFormatting sqref="I34">
    <cfRule type="dataBar" priority="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{3C13F245-B352-43C3-9144-88970AD9B45C}</x14:id>
        </ext>
      </extLst>
    </cfRule>
  </conditionalFormatting>
  <conditionalFormatting sqref="I36">
    <cfRule type="dataBar" priority="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{A43ECF0F-4C96-4C70-9D39-69B767C7A6D4}</x14:id>
        </ext>
      </extLst>
    </cfRule>
  </conditionalFormatting>
  <conditionalFormatting sqref="I38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{C1979A3A-395C-4E0C-93F7-0263B1CF458F}</x14:id>
        </ext>
      </extLst>
    </cfRule>
  </conditionalFormatting>
  <conditionalFormatting sqref="I39:I46 I48">
    <cfRule type="dataBar" priority="3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{40C318E2-2C02-453A-B3EA-1BF78434958F}</x14:id>
        </ext>
      </extLst>
    </cfRule>
  </conditionalFormatting>
  <conditionalFormatting sqref="I47">
    <cfRule type="dataBar" priority="2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{8F14632D-03A8-4CCD-8FF1-673762D357CA}</x14:id>
        </ext>
      </extLst>
    </cfRule>
  </conditionalFormatting>
  <conditionalFormatting sqref="I50">
    <cfRule type="dataBar" priority="2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{484B462A-B3B1-4E3E-A204-2758DA46BE9E}</x14:id>
        </ext>
      </extLst>
    </cfRule>
  </conditionalFormatting>
  <conditionalFormatting sqref="I51">
    <cfRule type="dataBar" priority="2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{8DC73151-4DED-4113-9A31-F9EA35D163A3}</x14:id>
        </ext>
      </extLst>
    </cfRule>
  </conditionalFormatting>
  <conditionalFormatting sqref="I53">
    <cfRule type="dataBar" priority="2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{A10BB6EA-98FE-49C4-8C0D-E70710017926}</x14:id>
        </ext>
      </extLst>
    </cfRule>
  </conditionalFormatting>
  <conditionalFormatting sqref="I54:I55">
    <cfRule type="dataBar" priority="2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{902C49B9-7CC5-49B0-A5E3-4811BE8E8B5E}</x14:id>
        </ext>
      </extLst>
    </cfRule>
  </conditionalFormatting>
  <conditionalFormatting sqref="I57">
    <cfRule type="dataBar" priority="1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{5DA28845-E1F9-4689-A171-CC42FC2E69BE}</x14:id>
        </ext>
      </extLst>
    </cfRule>
  </conditionalFormatting>
  <conditionalFormatting sqref="I58:I59">
    <cfRule type="dataBar" priority="2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{EE0643D7-1D45-435A-98AF-586884861DB8}</x14:id>
        </ext>
      </extLst>
    </cfRule>
  </conditionalFormatting>
  <conditionalFormatting sqref="I60:I62">
    <cfRule type="dataBar" priority="2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{03BF868B-3AA1-49AA-A151-EC06A318A20C}</x14:id>
        </ext>
      </extLst>
    </cfRule>
  </conditionalFormatting>
  <conditionalFormatting sqref="I64">
    <cfRule type="dataBar" priority="1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{52935274-1F87-4025-8D09-B07FF7DCFA46}</x14:id>
        </ext>
      </extLst>
    </cfRule>
  </conditionalFormatting>
  <conditionalFormatting sqref="I65:I70">
    <cfRule type="dataBar" priority="2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{863B24D2-BD51-43CE-93A4-15EC986E0868}</x14:id>
        </ext>
      </extLst>
    </cfRule>
  </conditionalFormatting>
  <conditionalFormatting sqref="I72">
    <cfRule type="dataBar" priority="1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{3984AF79-2696-4F56-8F04-DCADE31A2514}</x14:id>
        </ext>
      </extLst>
    </cfRule>
  </conditionalFormatting>
  <conditionalFormatting sqref="I76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{BBFCDD1B-FD43-45C7-83DF-08C11263D021}</x14:id>
        </ext>
      </extLst>
    </cfRule>
  </conditionalFormatting>
  <conditionalFormatting sqref="I77:I80">
    <cfRule type="dataBar" priority="2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{87B2800C-865E-46AD-B947-F1C04EBD73FF}</x14:id>
        </ext>
      </extLst>
    </cfRule>
  </conditionalFormatting>
  <conditionalFormatting sqref="I81">
    <cfRule type="dataBar" priority="3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{A49095B1-A5B7-4333-B0B0-7A2E573AE6C6}</x14:id>
        </ext>
      </extLst>
    </cfRule>
  </conditionalFormatting>
  <conditionalFormatting sqref="I82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{8FA42C69-6EF3-42D8-9215-86D2B97DDE20}</x14:id>
        </ext>
      </extLst>
    </cfRule>
  </conditionalFormatting>
  <conditionalFormatting sqref="I87">
    <cfRule type="dataBar" priority="1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{DD8E5FDE-EF55-40F9-ADA9-490BB6AE306C}</x14:id>
        </ext>
      </extLst>
    </cfRule>
  </conditionalFormatting>
  <conditionalFormatting sqref="I88:I91 I110:I118 I139:I143 I106 I94:I97 I100:I104 I120:I125 I127:I129 I131:I137">
    <cfRule type="dataBar" priority="3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{729665EA-19A6-4D4E-9B6C-F33F1D5BCC83}</x14:id>
        </ext>
      </extLst>
    </cfRule>
  </conditionalFormatting>
  <conditionalFormatting sqref="I93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{6994BB48-DC4C-4FE1-BCEE-27F48FB4B912}</x14:id>
        </ext>
      </extLst>
    </cfRule>
  </conditionalFormatting>
  <conditionalFormatting sqref="I99">
    <cfRule type="dataBar" priority="1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{49E5CC6E-FF56-4C29-B4A0-246AAD37BFDD}</x14:id>
        </ext>
      </extLst>
    </cfRule>
  </conditionalFormatting>
  <conditionalFormatting sqref="I108">
    <cfRule type="dataBar" priority="3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{78FCE65A-C414-4773-BBAD-44C0BF84059E}</x14:id>
        </ext>
      </extLst>
    </cfRule>
  </conditionalFormatting>
  <conditionalFormatting sqref="I109">
    <cfRule type="dataBar" priority="1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{7ED19D06-5F26-4D30-A8A5-79E2F3592FAA}</x14:id>
        </ext>
      </extLst>
    </cfRule>
  </conditionalFormatting>
  <conditionalFormatting sqref="I119">
    <cfRule type="dataBar" priority="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{12E34D64-C647-4B4E-8745-F6D9A8AFF6C3}</x14:id>
        </ext>
      </extLst>
    </cfRule>
  </conditionalFormatting>
  <conditionalFormatting sqref="I130">
    <cfRule type="dataBar" priority="1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{58B960D8-F73C-4BD1-A11C-FF20723BC471}</x14:id>
        </ext>
      </extLst>
    </cfRule>
  </conditionalFormatting>
  <conditionalFormatting sqref="I138">
    <cfRule type="dataBar" priority="1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{835503D6-2FDE-45D4-99AF-B6B1388741BE}</x14:id>
        </ext>
      </extLst>
    </cfRule>
  </conditionalFormatting>
  <conditionalFormatting sqref="I33:K33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{861312A0-94D8-4076-A9D4-74EEAC0FA0DD}</x14:id>
        </ext>
      </extLst>
    </cfRule>
  </conditionalFormatting>
  <conditionalFormatting sqref="I35:K35">
    <cfRule type="dataBar" priority="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{02A6434C-D71C-4117-BB79-C1AA70E7537B}</x14:id>
        </ext>
      </extLst>
    </cfRule>
  </conditionalFormatting>
  <conditionalFormatting sqref="L34:W34">
    <cfRule type="dataBar" priority="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{01F714C8-6920-4F54-B441-121C894A7AFA}</x14:id>
        </ext>
      </extLst>
    </cfRule>
  </conditionalFormatting>
  <conditionalFormatting sqref="R35:W35">
    <cfRule type="dataBar" priority="2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{3FFA906C-BD5F-4F59-8BEB-85ED0C970610}</x14:id>
        </ext>
      </extLst>
    </cfRule>
  </conditionalFormatting>
  <hyperlinks>
    <hyperlink ref="P2" location="GENERAL!A1" display="HOME" xr:uid="{9458A3B5-4958-49C2-A202-044F3C7A95CF}"/>
    <hyperlink ref="H5" r:id="rId1" display="https://sdworxgroup.lightning.force.com/lightning/r/ServiceContract/810Ty00000By0d7IAB/related/AttachedContentDocuments/view?ws=%2Flightning%2Fr%2FTask%2F00TTy00000gshChMAI%2Fview" xr:uid="{DCC89151-C554-459D-A1E4-A1F5EE3EE92F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2FEF2D-A47F-475B-B098-C20DA2A068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A35:H35 L35:Q35 I83:I86 I27:I31 I73:I74</xm:sqref>
        </x14:conditionalFormatting>
        <x14:conditionalFormatting xmlns:xm="http://schemas.microsoft.com/office/excel/2006/main">
          <x14:cfRule type="dataBar" id="{91739E6C-3F32-4582-B36B-D6913506D2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B34:H34</xm:sqref>
        </x14:conditionalFormatting>
        <x14:conditionalFormatting xmlns:xm="http://schemas.microsoft.com/office/excel/2006/main">
          <x14:cfRule type="dataBar" id="{D2A65E0B-E1B0-44E8-8C5F-1D8416E4C4C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</xm:sqref>
        </x14:conditionalFormatting>
        <x14:conditionalFormatting xmlns:xm="http://schemas.microsoft.com/office/excel/2006/main">
          <x14:cfRule type="dataBar" id="{96F8A38F-19B2-468B-AD13-3E6A2CE2B4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I14:I24</xm:sqref>
        </x14:conditionalFormatting>
        <x14:conditionalFormatting xmlns:xm="http://schemas.microsoft.com/office/excel/2006/main">
          <x14:cfRule type="dataBar" id="{520DA03D-C82C-4427-BCAC-572538C27A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3C13F245-B352-43C3-9144-88970AD9B4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I34</xm:sqref>
        </x14:conditionalFormatting>
        <x14:conditionalFormatting xmlns:xm="http://schemas.microsoft.com/office/excel/2006/main">
          <x14:cfRule type="dataBar" id="{A43ECF0F-4C96-4C70-9D39-69B767C7A6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I36</xm:sqref>
        </x14:conditionalFormatting>
        <x14:conditionalFormatting xmlns:xm="http://schemas.microsoft.com/office/excel/2006/main">
          <x14:cfRule type="dataBar" id="{C1979A3A-395C-4E0C-93F7-0263B1CF45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40C318E2-2C02-453A-B3EA-1BF7843495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I39:I46 I48</xm:sqref>
        </x14:conditionalFormatting>
        <x14:conditionalFormatting xmlns:xm="http://schemas.microsoft.com/office/excel/2006/main">
          <x14:cfRule type="dataBar" id="{8F14632D-03A8-4CCD-8FF1-673762D357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I47</xm:sqref>
        </x14:conditionalFormatting>
        <x14:conditionalFormatting xmlns:xm="http://schemas.microsoft.com/office/excel/2006/main">
          <x14:cfRule type="dataBar" id="{484B462A-B3B1-4E3E-A204-2758DA46BE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I50</xm:sqref>
        </x14:conditionalFormatting>
        <x14:conditionalFormatting xmlns:xm="http://schemas.microsoft.com/office/excel/2006/main">
          <x14:cfRule type="dataBar" id="{8DC73151-4DED-4113-9A31-F9EA35D163A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I51</xm:sqref>
        </x14:conditionalFormatting>
        <x14:conditionalFormatting xmlns:xm="http://schemas.microsoft.com/office/excel/2006/main">
          <x14:cfRule type="dataBar" id="{A10BB6EA-98FE-49C4-8C0D-E7071001792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I53</xm:sqref>
        </x14:conditionalFormatting>
        <x14:conditionalFormatting xmlns:xm="http://schemas.microsoft.com/office/excel/2006/main">
          <x14:cfRule type="dataBar" id="{902C49B9-7CC5-49B0-A5E3-4811BE8E8B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I54:I55</xm:sqref>
        </x14:conditionalFormatting>
        <x14:conditionalFormatting xmlns:xm="http://schemas.microsoft.com/office/excel/2006/main">
          <x14:cfRule type="dataBar" id="{5DA28845-E1F9-4689-A171-CC42FC2E69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I57</xm:sqref>
        </x14:conditionalFormatting>
        <x14:conditionalFormatting xmlns:xm="http://schemas.microsoft.com/office/excel/2006/main">
          <x14:cfRule type="dataBar" id="{EE0643D7-1D45-435A-98AF-586884861D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I58:I59</xm:sqref>
        </x14:conditionalFormatting>
        <x14:conditionalFormatting xmlns:xm="http://schemas.microsoft.com/office/excel/2006/main">
          <x14:cfRule type="dataBar" id="{03BF868B-3AA1-49AA-A151-EC06A318A2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I60:I62</xm:sqref>
        </x14:conditionalFormatting>
        <x14:conditionalFormatting xmlns:xm="http://schemas.microsoft.com/office/excel/2006/main">
          <x14:cfRule type="dataBar" id="{52935274-1F87-4025-8D09-B07FF7DCFA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I64</xm:sqref>
        </x14:conditionalFormatting>
        <x14:conditionalFormatting xmlns:xm="http://schemas.microsoft.com/office/excel/2006/main">
          <x14:cfRule type="dataBar" id="{863B24D2-BD51-43CE-93A4-15EC986E08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I65:I70</xm:sqref>
        </x14:conditionalFormatting>
        <x14:conditionalFormatting xmlns:xm="http://schemas.microsoft.com/office/excel/2006/main">
          <x14:cfRule type="dataBar" id="{3984AF79-2696-4F56-8F04-DCADE31A25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I72</xm:sqref>
        </x14:conditionalFormatting>
        <x14:conditionalFormatting xmlns:xm="http://schemas.microsoft.com/office/excel/2006/main">
          <x14:cfRule type="dataBar" id="{BBFCDD1B-FD43-45C7-83DF-08C11263D02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I76</xm:sqref>
        </x14:conditionalFormatting>
        <x14:conditionalFormatting xmlns:xm="http://schemas.microsoft.com/office/excel/2006/main">
          <x14:cfRule type="dataBar" id="{87B2800C-865E-46AD-B947-F1C04EBD73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I77:I80</xm:sqref>
        </x14:conditionalFormatting>
        <x14:conditionalFormatting xmlns:xm="http://schemas.microsoft.com/office/excel/2006/main">
          <x14:cfRule type="dataBar" id="{A49095B1-A5B7-4333-B0B0-7A2E573AE6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I81</xm:sqref>
        </x14:conditionalFormatting>
        <x14:conditionalFormatting xmlns:xm="http://schemas.microsoft.com/office/excel/2006/main">
          <x14:cfRule type="dataBar" id="{8FA42C69-6EF3-42D8-9215-86D2B97DDE2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I82</xm:sqref>
        </x14:conditionalFormatting>
        <x14:conditionalFormatting xmlns:xm="http://schemas.microsoft.com/office/excel/2006/main">
          <x14:cfRule type="dataBar" id="{DD8E5FDE-EF55-40F9-ADA9-490BB6AE30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I87</xm:sqref>
        </x14:conditionalFormatting>
        <x14:conditionalFormatting xmlns:xm="http://schemas.microsoft.com/office/excel/2006/main">
          <x14:cfRule type="dataBar" id="{729665EA-19A6-4D4E-9B6C-F33F1D5BCC8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I88:I91 I110:I118 I139:I143 I106 I94:I97 I100:I104 I120:I125 I127:I129 I131:I137</xm:sqref>
        </x14:conditionalFormatting>
        <x14:conditionalFormatting xmlns:xm="http://schemas.microsoft.com/office/excel/2006/main">
          <x14:cfRule type="dataBar" id="{6994BB48-DC4C-4FE1-BCEE-27F48FB4B9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I93</xm:sqref>
        </x14:conditionalFormatting>
        <x14:conditionalFormatting xmlns:xm="http://schemas.microsoft.com/office/excel/2006/main">
          <x14:cfRule type="dataBar" id="{49E5CC6E-FF56-4C29-B4A0-246AAD37BF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I99</xm:sqref>
        </x14:conditionalFormatting>
        <x14:conditionalFormatting xmlns:xm="http://schemas.microsoft.com/office/excel/2006/main">
          <x14:cfRule type="dataBar" id="{78FCE65A-C414-4773-BBAD-44C0BF8405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I108</xm:sqref>
        </x14:conditionalFormatting>
        <x14:conditionalFormatting xmlns:xm="http://schemas.microsoft.com/office/excel/2006/main">
          <x14:cfRule type="dataBar" id="{7ED19D06-5F26-4D30-A8A5-79E2F3592F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I109</xm:sqref>
        </x14:conditionalFormatting>
        <x14:conditionalFormatting xmlns:xm="http://schemas.microsoft.com/office/excel/2006/main">
          <x14:cfRule type="dataBar" id="{12E34D64-C647-4B4E-8745-F6D9A8AFF6C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I119</xm:sqref>
        </x14:conditionalFormatting>
        <x14:conditionalFormatting xmlns:xm="http://schemas.microsoft.com/office/excel/2006/main">
          <x14:cfRule type="dataBar" id="{58B960D8-F73C-4BD1-A11C-FF20723BC47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I130</xm:sqref>
        </x14:conditionalFormatting>
        <x14:conditionalFormatting xmlns:xm="http://schemas.microsoft.com/office/excel/2006/main">
          <x14:cfRule type="dataBar" id="{835503D6-2FDE-45D4-99AF-B6B1388741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I138</xm:sqref>
        </x14:conditionalFormatting>
        <x14:conditionalFormatting xmlns:xm="http://schemas.microsoft.com/office/excel/2006/main">
          <x14:cfRule type="dataBar" id="{861312A0-94D8-4076-A9D4-74EEAC0FA0D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I33:K33</xm:sqref>
        </x14:conditionalFormatting>
        <x14:conditionalFormatting xmlns:xm="http://schemas.microsoft.com/office/excel/2006/main">
          <x14:cfRule type="dataBar" id="{02A6434C-D71C-4117-BB79-C1AA70E753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I35:K35</xm:sqref>
        </x14:conditionalFormatting>
        <x14:conditionalFormatting xmlns:xm="http://schemas.microsoft.com/office/excel/2006/main">
          <x14:cfRule type="dataBar" id="{01F714C8-6920-4F54-B441-121C894A7A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L34:W34</xm:sqref>
        </x14:conditionalFormatting>
        <x14:conditionalFormatting xmlns:xm="http://schemas.microsoft.com/office/excel/2006/main">
          <x14:cfRule type="dataBar" id="{3FFA906C-BD5F-4F59-8BEB-85ED0C9706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R35:W35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CA12-EEE0-48B1-B2F4-AB224B6C2DB3}">
  <dimension ref="A1:W145"/>
  <sheetViews>
    <sheetView zoomScale="90" zoomScaleNormal="90" workbookViewId="0">
      <selection activeCell="A3" sqref="A3"/>
    </sheetView>
  </sheetViews>
  <sheetFormatPr defaultRowHeight="14.4" x14ac:dyDescent="0.3"/>
  <cols>
    <col min="1" max="1" width="46.5546875" bestFit="1" customWidth="1"/>
    <col min="2" max="2" width="18.33203125" bestFit="1" customWidth="1"/>
    <col min="3" max="3" width="12.6640625" bestFit="1" customWidth="1"/>
    <col min="5" max="5" width="8.88671875" bestFit="1" customWidth="1"/>
    <col min="6" max="6" width="20.33203125" customWidth="1"/>
    <col min="9" max="9" width="18.88671875" bestFit="1" customWidth="1"/>
    <col min="13" max="14" width="9.109375" style="38"/>
    <col min="17" max="17" width="16.5546875" customWidth="1"/>
    <col min="19" max="19" width="10.109375" customWidth="1"/>
    <col min="20" max="20" width="12.33203125" customWidth="1"/>
    <col min="21" max="21" width="9.33203125" customWidth="1"/>
  </cols>
  <sheetData>
    <row r="1" spans="1:23" ht="23.4" x14ac:dyDescent="0.3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128"/>
      <c r="N1" s="128"/>
      <c r="O1" s="61"/>
      <c r="P1" s="61"/>
      <c r="Q1" s="21"/>
      <c r="R1" s="19"/>
      <c r="S1" s="19"/>
      <c r="T1" s="19"/>
      <c r="U1" s="19"/>
      <c r="V1" s="19"/>
      <c r="W1" s="19"/>
    </row>
    <row r="2" spans="1:23" ht="24" thickBot="1" x14ac:dyDescent="0.5">
      <c r="A2" s="87" t="s">
        <v>229</v>
      </c>
      <c r="B2" s="87"/>
      <c r="C2" s="87"/>
      <c r="D2" s="87"/>
      <c r="E2" s="87"/>
      <c r="F2" s="87"/>
      <c r="G2" s="62" t="s">
        <v>26</v>
      </c>
      <c r="H2" s="22"/>
      <c r="I2" s="22"/>
      <c r="J2" s="23"/>
      <c r="K2" s="22"/>
      <c r="L2" s="22"/>
      <c r="M2" s="129"/>
      <c r="N2" s="129"/>
      <c r="O2" s="22"/>
      <c r="P2" s="24" t="s">
        <v>27</v>
      </c>
      <c r="Q2" s="24"/>
      <c r="R2" s="34"/>
      <c r="S2" s="34"/>
      <c r="T2" s="34"/>
      <c r="U2" s="34"/>
      <c r="V2" s="34"/>
      <c r="W2" s="34"/>
    </row>
    <row r="3" spans="1:23" ht="24" thickBot="1" x14ac:dyDescent="0.5">
      <c r="A3" s="88"/>
      <c r="B3" s="88"/>
      <c r="C3" s="88"/>
      <c r="D3" s="88"/>
      <c r="E3" s="88"/>
      <c r="F3" s="88"/>
      <c r="G3" s="88"/>
      <c r="H3" s="22"/>
      <c r="I3" s="22"/>
      <c r="J3" s="23"/>
      <c r="K3" s="22"/>
      <c r="L3" s="22" t="s">
        <v>28</v>
      </c>
      <c r="M3" s="129"/>
      <c r="N3" s="129"/>
      <c r="O3" s="22"/>
      <c r="P3" s="156" t="s">
        <v>29</v>
      </c>
      <c r="Q3" s="157"/>
      <c r="R3" s="154" t="s">
        <v>30</v>
      </c>
      <c r="S3" s="155"/>
      <c r="T3" s="154" t="s">
        <v>31</v>
      </c>
      <c r="U3" s="155"/>
      <c r="V3" s="154" t="s">
        <v>32</v>
      </c>
      <c r="W3" s="155"/>
    </row>
    <row r="4" spans="1:23" x14ac:dyDescent="0.3">
      <c r="A4" s="45" t="s">
        <v>33</v>
      </c>
      <c r="B4" s="69" t="s">
        <v>204</v>
      </c>
      <c r="C4" s="123" t="s">
        <v>34</v>
      </c>
      <c r="D4" s="46">
        <v>46388</v>
      </c>
      <c r="E4" s="26" t="s">
        <v>35</v>
      </c>
      <c r="F4" s="72"/>
      <c r="G4" s="124" t="s">
        <v>36</v>
      </c>
      <c r="H4" s="22"/>
      <c r="I4" s="22"/>
      <c r="J4" s="23"/>
      <c r="K4" s="26"/>
      <c r="L4" s="158"/>
      <c r="M4" s="158"/>
      <c r="N4" s="158"/>
      <c r="O4" s="26"/>
      <c r="P4" s="89"/>
      <c r="Q4" s="90"/>
      <c r="R4" s="91"/>
      <c r="S4" s="92"/>
      <c r="T4" s="91"/>
      <c r="U4" s="92"/>
      <c r="V4" s="91"/>
      <c r="W4" s="92"/>
    </row>
    <row r="5" spans="1:23" ht="23.25" customHeight="1" x14ac:dyDescent="0.45">
      <c r="A5" s="27" t="s">
        <v>38</v>
      </c>
      <c r="B5" s="69" t="s">
        <v>204</v>
      </c>
      <c r="C5" s="123" t="s">
        <v>39</v>
      </c>
      <c r="D5" s="60"/>
      <c r="E5" s="26" t="s">
        <v>40</v>
      </c>
      <c r="F5" s="59"/>
      <c r="G5" s="125"/>
      <c r="H5" s="22"/>
      <c r="I5" s="22"/>
      <c r="J5" s="23"/>
      <c r="K5" s="26"/>
      <c r="L5" s="158"/>
      <c r="M5" s="158"/>
      <c r="N5" s="158"/>
      <c r="O5" s="26"/>
      <c r="P5" s="93" t="s">
        <v>42</v>
      </c>
      <c r="Q5" s="94">
        <f>I13</f>
        <v>0</v>
      </c>
      <c r="R5" s="95" t="s">
        <v>43</v>
      </c>
      <c r="S5" s="96">
        <f>I34</f>
        <v>0</v>
      </c>
      <c r="T5" s="95" t="s">
        <v>44</v>
      </c>
      <c r="U5" s="96">
        <f>I82</f>
        <v>0</v>
      </c>
      <c r="V5" s="95" t="s">
        <v>45</v>
      </c>
      <c r="W5" s="96">
        <f>I72</f>
        <v>0</v>
      </c>
    </row>
    <row r="6" spans="1:23" ht="23.25" customHeight="1" x14ac:dyDescent="0.45">
      <c r="A6" s="30" t="s">
        <v>46</v>
      </c>
      <c r="B6" s="69" t="s">
        <v>204</v>
      </c>
      <c r="C6" s="30" t="s">
        <v>47</v>
      </c>
      <c r="D6" s="71"/>
      <c r="E6" s="26" t="s">
        <v>48</v>
      </c>
      <c r="F6" s="59"/>
      <c r="G6" s="125"/>
      <c r="H6" s="22"/>
      <c r="I6" s="28"/>
      <c r="J6" s="29"/>
      <c r="K6" s="26"/>
      <c r="L6" s="158"/>
      <c r="M6" s="158"/>
      <c r="N6" s="158"/>
      <c r="O6" s="25"/>
      <c r="P6" s="93" t="s">
        <v>49</v>
      </c>
      <c r="Q6" s="94">
        <f>I26</f>
        <v>0</v>
      </c>
      <c r="R6" s="97" t="str">
        <f>A38</f>
        <v>Salarisadministratie</v>
      </c>
      <c r="S6" s="96">
        <f>I38</f>
        <v>0</v>
      </c>
      <c r="T6" s="97" t="s">
        <v>50</v>
      </c>
      <c r="U6" s="96">
        <f>I87</f>
        <v>0</v>
      </c>
      <c r="V6" s="97"/>
      <c r="W6" s="96"/>
    </row>
    <row r="7" spans="1:23" ht="23.25" customHeight="1" x14ac:dyDescent="0.45">
      <c r="A7" s="25" t="s">
        <v>51</v>
      </c>
      <c r="B7" s="69" t="s">
        <v>204</v>
      </c>
      <c r="C7" s="30" t="s">
        <v>52</v>
      </c>
      <c r="D7" s="59"/>
      <c r="E7" s="25"/>
      <c r="F7" s="119"/>
      <c r="G7" s="125"/>
      <c r="H7" s="22"/>
      <c r="I7" s="31"/>
      <c r="J7" s="32"/>
      <c r="K7" s="26"/>
      <c r="L7" s="158"/>
      <c r="M7" s="158"/>
      <c r="N7" s="158"/>
      <c r="O7" s="25"/>
      <c r="P7" s="93" t="s">
        <v>53</v>
      </c>
      <c r="Q7" s="94">
        <f>AVERAGE(S5:S11)</f>
        <v>0</v>
      </c>
      <c r="R7" s="97" t="str">
        <f>A47</f>
        <v>Loonheffingen en fonds</v>
      </c>
      <c r="S7" s="96">
        <f>I47</f>
        <v>0</v>
      </c>
      <c r="T7" s="97" t="s">
        <v>54</v>
      </c>
      <c r="U7" s="96">
        <f>I93</f>
        <v>0</v>
      </c>
      <c r="V7" s="97"/>
      <c r="W7" s="96"/>
    </row>
    <row r="8" spans="1:23" x14ac:dyDescent="0.3">
      <c r="A8" s="25"/>
      <c r="B8" s="69"/>
      <c r="C8" s="30" t="s">
        <v>55</v>
      </c>
      <c r="D8" s="59" t="s">
        <v>56</v>
      </c>
      <c r="E8" s="25"/>
      <c r="F8" s="71"/>
      <c r="G8" s="126"/>
      <c r="H8" s="71"/>
      <c r="I8" s="31"/>
      <c r="J8" s="32"/>
      <c r="K8" s="26"/>
      <c r="L8" s="158"/>
      <c r="M8" s="158"/>
      <c r="N8" s="158"/>
      <c r="O8" s="25"/>
      <c r="P8" s="93" t="s">
        <v>57</v>
      </c>
      <c r="Q8" s="94">
        <f>AVERAGE(U5:U11)</f>
        <v>0</v>
      </c>
      <c r="R8" s="97" t="str">
        <f>A50</f>
        <v>Instellingen</v>
      </c>
      <c r="S8" s="96">
        <f>I50</f>
        <v>0</v>
      </c>
      <c r="T8" s="97" t="s">
        <v>58</v>
      </c>
      <c r="U8" s="96">
        <f>I99</f>
        <v>0</v>
      </c>
      <c r="V8" s="97"/>
      <c r="W8" s="96"/>
    </row>
    <row r="9" spans="1:23" ht="15" thickBot="1" x14ac:dyDescent="0.35">
      <c r="A9" s="25" t="s">
        <v>59</v>
      </c>
      <c r="B9" s="69" t="s">
        <v>204</v>
      </c>
      <c r="C9" s="30" t="s">
        <v>60</v>
      </c>
      <c r="D9" s="59" t="s">
        <v>222</v>
      </c>
      <c r="E9" s="25"/>
      <c r="F9" s="71"/>
      <c r="G9" s="126"/>
      <c r="H9" s="71"/>
      <c r="I9" s="31"/>
      <c r="J9" s="32"/>
      <c r="K9" s="26"/>
      <c r="L9" s="158"/>
      <c r="M9" s="158"/>
      <c r="N9" s="158"/>
      <c r="O9" s="25"/>
      <c r="P9" s="98" t="s">
        <v>61</v>
      </c>
      <c r="Q9" s="99">
        <f>I109</f>
        <v>0</v>
      </c>
      <c r="R9" s="97" t="str">
        <f>A53</f>
        <v>Loonstroken en Jaaropgave</v>
      </c>
      <c r="S9" s="96">
        <f>I53</f>
        <v>0</v>
      </c>
      <c r="T9" s="97"/>
      <c r="U9" s="96"/>
      <c r="V9" s="97"/>
      <c r="W9" s="96"/>
    </row>
    <row r="10" spans="1:23" ht="15" thickBot="1" x14ac:dyDescent="0.35">
      <c r="A10" s="25"/>
      <c r="B10" s="59"/>
      <c r="C10" s="25"/>
      <c r="D10" s="59"/>
      <c r="E10" s="25"/>
      <c r="F10" s="71"/>
      <c r="G10" s="31"/>
      <c r="H10" s="31"/>
      <c r="I10" s="31"/>
      <c r="J10" s="32"/>
      <c r="K10" s="31"/>
      <c r="L10" s="31"/>
      <c r="M10" s="130"/>
      <c r="N10" s="130"/>
      <c r="O10" s="28"/>
      <c r="P10" s="98" t="s">
        <v>62</v>
      </c>
      <c r="Q10" s="99">
        <f>AVERAGE(Q5:Q9)</f>
        <v>0</v>
      </c>
      <c r="R10" s="97" t="str">
        <f>A57</f>
        <v>Import medewerkers</v>
      </c>
      <c r="S10" s="96">
        <f>I57</f>
        <v>0</v>
      </c>
      <c r="T10" s="97"/>
      <c r="U10" s="96"/>
      <c r="V10" s="97"/>
      <c r="W10" s="96"/>
    </row>
    <row r="11" spans="1:23" ht="15" thickBot="1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33"/>
      <c r="K11" s="19"/>
      <c r="L11" s="34"/>
      <c r="M11" s="131" t="s">
        <v>63</v>
      </c>
      <c r="N11" s="131"/>
      <c r="O11" s="42"/>
      <c r="P11" s="19"/>
      <c r="Q11" s="19"/>
      <c r="R11" s="83" t="str">
        <f>A64</f>
        <v>Diversen</v>
      </c>
      <c r="S11" s="84">
        <f>I64</f>
        <v>0</v>
      </c>
      <c r="T11" s="83"/>
      <c r="U11" s="84"/>
      <c r="V11" s="83"/>
      <c r="W11" s="84"/>
    </row>
    <row r="12" spans="1:23" ht="15" thickBot="1" x14ac:dyDescent="0.35">
      <c r="A12" s="34" t="s">
        <v>64</v>
      </c>
      <c r="B12" s="34"/>
      <c r="C12" s="34"/>
      <c r="D12" s="34"/>
      <c r="E12" s="34"/>
      <c r="F12" s="34"/>
      <c r="G12" s="34" t="s">
        <v>65</v>
      </c>
      <c r="H12" s="34" t="s">
        <v>66</v>
      </c>
      <c r="I12" s="34" t="s">
        <v>67</v>
      </c>
      <c r="J12" s="35" t="s">
        <v>68</v>
      </c>
      <c r="K12" s="34" t="s">
        <v>69</v>
      </c>
      <c r="L12" s="34" t="s">
        <v>70</v>
      </c>
      <c r="M12" s="132" t="s">
        <v>71</v>
      </c>
      <c r="N12" s="132" t="s">
        <v>72</v>
      </c>
      <c r="O12" s="34"/>
      <c r="P12" s="34"/>
      <c r="Q12" s="34"/>
      <c r="R12" s="34"/>
      <c r="S12" s="34"/>
      <c r="T12" s="34"/>
      <c r="U12" s="34"/>
      <c r="V12" s="34"/>
      <c r="W12" s="34"/>
    </row>
    <row r="13" spans="1:23" x14ac:dyDescent="0.3">
      <c r="A13" s="20" t="s">
        <v>73</v>
      </c>
      <c r="B13" s="20"/>
      <c r="C13" s="20"/>
      <c r="D13" s="20"/>
      <c r="E13" s="20"/>
      <c r="F13" s="20"/>
      <c r="G13" s="20"/>
      <c r="H13" s="36"/>
      <c r="I13" s="78">
        <f>(K13-J13)/K13*100%</f>
        <v>0</v>
      </c>
      <c r="J13" s="79">
        <f>SUM(J14:J25)</f>
        <v>10</v>
      </c>
      <c r="K13" s="80">
        <f>SUM(K14:K25)</f>
        <v>10</v>
      </c>
      <c r="L13" s="20"/>
      <c r="M13" s="36"/>
      <c r="N13" s="36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15" thickBot="1" x14ac:dyDescent="0.35">
      <c r="A14" s="149" t="s">
        <v>74</v>
      </c>
      <c r="B14" s="149"/>
      <c r="C14" s="149"/>
      <c r="D14" s="149"/>
      <c r="E14" s="149"/>
      <c r="F14" s="149"/>
      <c r="G14" s="86" t="s">
        <v>75</v>
      </c>
      <c r="H14" s="38"/>
      <c r="I14" s="101">
        <v>0</v>
      </c>
      <c r="J14" s="102">
        <f>K14-I14*K14</f>
        <v>1</v>
      </c>
      <c r="K14" s="102">
        <v>1</v>
      </c>
      <c r="O14" s="10"/>
      <c r="P14" s="3"/>
    </row>
    <row r="15" spans="1:23" ht="15" thickBot="1" x14ac:dyDescent="0.35">
      <c r="A15" s="149" t="s">
        <v>76</v>
      </c>
      <c r="B15" s="149"/>
      <c r="C15" s="149"/>
      <c r="D15" s="149"/>
      <c r="E15" s="149"/>
      <c r="F15" s="149"/>
      <c r="G15" s="86" t="s">
        <v>75</v>
      </c>
      <c r="H15" s="38"/>
      <c r="I15" s="101">
        <v>0</v>
      </c>
      <c r="J15" s="102">
        <f t="shared" ref="J15:J23" si="0">K15-I15*K15</f>
        <v>1</v>
      </c>
      <c r="K15" s="102">
        <v>1</v>
      </c>
      <c r="O15" s="10"/>
    </row>
    <row r="16" spans="1:23" ht="15" thickBot="1" x14ac:dyDescent="0.35">
      <c r="A16" s="149" t="s">
        <v>77</v>
      </c>
      <c r="B16" s="149"/>
      <c r="C16" s="149"/>
      <c r="D16" s="149"/>
      <c r="E16" s="149"/>
      <c r="F16" s="149"/>
      <c r="G16" s="86" t="s">
        <v>75</v>
      </c>
      <c r="H16" s="38"/>
      <c r="I16" s="101">
        <v>0</v>
      </c>
      <c r="J16" s="102">
        <f t="shared" si="0"/>
        <v>1</v>
      </c>
      <c r="K16" s="102">
        <v>1</v>
      </c>
      <c r="O16" s="10"/>
    </row>
    <row r="17" spans="1:23" ht="15" thickBot="1" x14ac:dyDescent="0.35">
      <c r="A17" s="159" t="s">
        <v>78</v>
      </c>
      <c r="B17" s="159"/>
      <c r="C17" s="159"/>
      <c r="D17" s="159"/>
      <c r="E17" s="159"/>
      <c r="F17" s="159"/>
      <c r="G17" s="86" t="s">
        <v>75</v>
      </c>
      <c r="H17" s="38"/>
      <c r="I17" s="101">
        <v>0</v>
      </c>
      <c r="J17" s="102">
        <f t="shared" si="0"/>
        <v>1</v>
      </c>
      <c r="K17" s="102">
        <v>1</v>
      </c>
      <c r="O17" s="10"/>
    </row>
    <row r="18" spans="1:23" ht="15" thickBot="1" x14ac:dyDescent="0.35">
      <c r="A18" s="149" t="s">
        <v>79</v>
      </c>
      <c r="B18" s="149"/>
      <c r="C18" s="149"/>
      <c r="D18" s="149"/>
      <c r="E18" s="149"/>
      <c r="F18" s="149"/>
      <c r="G18" s="86" t="s">
        <v>75</v>
      </c>
      <c r="H18" s="38"/>
      <c r="I18" s="101">
        <v>0</v>
      </c>
      <c r="J18" s="102">
        <f t="shared" si="0"/>
        <v>1</v>
      </c>
      <c r="K18" s="102">
        <v>1</v>
      </c>
      <c r="O18" s="10"/>
    </row>
    <row r="19" spans="1:23" ht="15" thickBot="1" x14ac:dyDescent="0.35">
      <c r="A19" s="149" t="s">
        <v>80</v>
      </c>
      <c r="B19" s="149"/>
      <c r="C19" s="149"/>
      <c r="D19" s="149"/>
      <c r="E19" s="149"/>
      <c r="F19" s="149"/>
      <c r="G19" s="86" t="s">
        <v>75</v>
      </c>
      <c r="H19" s="38"/>
      <c r="I19" s="101">
        <v>0</v>
      </c>
      <c r="J19" s="102">
        <f t="shared" si="0"/>
        <v>1</v>
      </c>
      <c r="K19" s="102">
        <v>1</v>
      </c>
      <c r="O19" s="10"/>
    </row>
    <row r="20" spans="1:23" ht="15" thickBot="1" x14ac:dyDescent="0.35">
      <c r="A20" s="149" t="s">
        <v>81</v>
      </c>
      <c r="B20" s="149"/>
      <c r="C20" s="149"/>
      <c r="D20" s="149"/>
      <c r="E20" s="149"/>
      <c r="F20" s="149"/>
      <c r="G20" s="86" t="s">
        <v>75</v>
      </c>
      <c r="H20" s="38"/>
      <c r="I20" s="101">
        <v>0</v>
      </c>
      <c r="J20" s="102">
        <f t="shared" si="0"/>
        <v>1</v>
      </c>
      <c r="K20" s="102">
        <v>1</v>
      </c>
      <c r="O20" s="10" t="s">
        <v>56</v>
      </c>
    </row>
    <row r="21" spans="1:23" ht="15" thickBot="1" x14ac:dyDescent="0.35">
      <c r="A21" s="149" t="s">
        <v>82</v>
      </c>
      <c r="B21" s="149"/>
      <c r="C21" s="149"/>
      <c r="D21" s="149"/>
      <c r="E21" s="149"/>
      <c r="F21" s="149"/>
      <c r="G21" s="86" t="s">
        <v>75</v>
      </c>
      <c r="H21" s="38"/>
      <c r="I21" s="101">
        <v>0</v>
      </c>
      <c r="J21" s="102">
        <v>1</v>
      </c>
      <c r="K21" s="102">
        <v>1</v>
      </c>
      <c r="O21" s="10" t="s">
        <v>56</v>
      </c>
    </row>
    <row r="22" spans="1:23" ht="15" thickBot="1" x14ac:dyDescent="0.35">
      <c r="A22" s="149" t="s">
        <v>83</v>
      </c>
      <c r="B22" s="149"/>
      <c r="C22" s="149"/>
      <c r="D22" s="149"/>
      <c r="E22" s="149"/>
      <c r="F22" s="149"/>
      <c r="G22" s="86" t="s">
        <v>75</v>
      </c>
      <c r="H22" s="38"/>
      <c r="I22" s="101">
        <v>0</v>
      </c>
      <c r="J22" s="102">
        <f t="shared" si="0"/>
        <v>1</v>
      </c>
      <c r="K22" s="102">
        <v>1</v>
      </c>
      <c r="O22" s="10"/>
    </row>
    <row r="23" spans="1:23" ht="15" thickBot="1" x14ac:dyDescent="0.35">
      <c r="A23" s="153" t="s">
        <v>84</v>
      </c>
      <c r="B23" s="153"/>
      <c r="C23" s="153"/>
      <c r="D23" s="153"/>
      <c r="E23" s="153"/>
      <c r="F23" s="153"/>
      <c r="G23" s="86" t="s">
        <v>75</v>
      </c>
      <c r="H23" s="38"/>
      <c r="I23" s="101">
        <v>0</v>
      </c>
      <c r="J23" s="102">
        <f t="shared" si="0"/>
        <v>1</v>
      </c>
      <c r="K23" s="102">
        <v>1</v>
      </c>
      <c r="O23" s="10"/>
    </row>
    <row r="24" spans="1:23" x14ac:dyDescent="0.3">
      <c r="A24" s="138"/>
      <c r="B24" s="138"/>
      <c r="C24" s="138"/>
      <c r="D24" s="138"/>
      <c r="E24" s="138"/>
      <c r="F24" s="138"/>
      <c r="G24" s="86"/>
      <c r="H24" s="38"/>
      <c r="I24" s="139"/>
      <c r="J24" s="102"/>
      <c r="K24" s="102"/>
      <c r="O24" s="10"/>
    </row>
    <row r="25" spans="1:23" ht="15" thickBot="1" x14ac:dyDescent="0.35">
      <c r="A25" s="100"/>
      <c r="B25" s="100"/>
      <c r="C25" s="100"/>
      <c r="D25" s="100"/>
      <c r="E25" s="100"/>
      <c r="F25" s="100"/>
      <c r="H25" s="38"/>
      <c r="I25" s="10"/>
      <c r="J25" s="39"/>
      <c r="K25" s="63"/>
      <c r="L25" s="39"/>
    </row>
    <row r="26" spans="1:23" x14ac:dyDescent="0.3">
      <c r="A26" s="20" t="s">
        <v>85</v>
      </c>
      <c r="B26" s="77"/>
      <c r="C26" s="77"/>
      <c r="D26" s="77"/>
      <c r="E26" s="77"/>
      <c r="F26" s="77"/>
      <c r="G26" s="20"/>
      <c r="H26" s="36"/>
      <c r="I26" s="78">
        <f>(K26-J26)/K26*100%</f>
        <v>0</v>
      </c>
      <c r="J26" s="79">
        <f>SUM(J27:J32)</f>
        <v>5</v>
      </c>
      <c r="K26" s="80">
        <f>SUM(K27:K32)</f>
        <v>5</v>
      </c>
      <c r="L26" s="37"/>
      <c r="M26" s="36"/>
      <c r="N26" s="36"/>
      <c r="O26" s="20"/>
      <c r="P26" s="20"/>
      <c r="Q26" s="20"/>
      <c r="R26" s="20"/>
      <c r="S26" s="20"/>
      <c r="T26" s="20"/>
      <c r="U26" s="20"/>
      <c r="V26" s="20"/>
      <c r="W26" s="20"/>
    </row>
    <row r="27" spans="1:23" ht="15" thickBot="1" x14ac:dyDescent="0.35">
      <c r="A27" s="149" t="s">
        <v>86</v>
      </c>
      <c r="B27" s="149"/>
      <c r="C27" s="149"/>
      <c r="D27" s="149"/>
      <c r="E27" s="149"/>
      <c r="F27" s="149"/>
      <c r="G27" s="86" t="s">
        <v>87</v>
      </c>
      <c r="H27" s="44"/>
      <c r="I27" s="101">
        <v>0</v>
      </c>
      <c r="J27" s="102">
        <f>K27-I27*K27</f>
        <v>1</v>
      </c>
      <c r="K27" s="102">
        <v>1</v>
      </c>
      <c r="L27" s="41"/>
      <c r="M27" s="44"/>
      <c r="N27" s="44" t="s">
        <v>88</v>
      </c>
      <c r="O27" s="11"/>
      <c r="Q27" s="11"/>
      <c r="R27" s="11"/>
      <c r="S27" s="11"/>
      <c r="T27" s="11"/>
      <c r="U27" s="11"/>
      <c r="V27" s="11"/>
      <c r="W27" s="11"/>
    </row>
    <row r="28" spans="1:23" ht="15" thickBot="1" x14ac:dyDescent="0.35">
      <c r="A28" s="149" t="s">
        <v>89</v>
      </c>
      <c r="B28" s="149"/>
      <c r="C28" s="149"/>
      <c r="D28" s="149"/>
      <c r="E28" s="149"/>
      <c r="F28" s="149"/>
      <c r="G28" s="86" t="s">
        <v>87</v>
      </c>
      <c r="H28" s="44"/>
      <c r="I28" s="101">
        <v>0</v>
      </c>
      <c r="J28" s="102">
        <f t="shared" ref="J28:J31" si="1">K28-I28*K28</f>
        <v>1</v>
      </c>
      <c r="K28" s="102">
        <v>1</v>
      </c>
      <c r="L28" s="41"/>
      <c r="M28" s="44"/>
      <c r="N28" s="137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15" thickBot="1" x14ac:dyDescent="0.35">
      <c r="A29" s="149" t="s">
        <v>90</v>
      </c>
      <c r="B29" s="149"/>
      <c r="C29" s="149"/>
      <c r="D29" s="149"/>
      <c r="E29" s="149"/>
      <c r="F29" s="149"/>
      <c r="G29" s="86" t="s">
        <v>87</v>
      </c>
      <c r="H29" s="44"/>
      <c r="I29" s="101">
        <v>0</v>
      </c>
      <c r="J29" s="102">
        <f t="shared" si="1"/>
        <v>1</v>
      </c>
      <c r="K29" s="102">
        <v>1</v>
      </c>
      <c r="L29" s="41"/>
      <c r="M29" s="44"/>
      <c r="N29" s="44"/>
      <c r="O29" s="11"/>
      <c r="P29" s="11"/>
      <c r="Q29" s="11"/>
      <c r="R29" s="11"/>
      <c r="S29" s="11"/>
      <c r="T29" s="11"/>
      <c r="U29" s="11"/>
      <c r="V29" s="11"/>
      <c r="W29" s="11"/>
    </row>
    <row r="30" spans="1:23" ht="15" thickBot="1" x14ac:dyDescent="0.35">
      <c r="A30" s="149" t="s">
        <v>91</v>
      </c>
      <c r="B30" s="149"/>
      <c r="C30" s="149"/>
      <c r="D30" s="149"/>
      <c r="E30" s="149"/>
      <c r="F30" s="149"/>
      <c r="G30" s="86" t="s">
        <v>87</v>
      </c>
      <c r="H30" s="44"/>
      <c r="I30" s="101">
        <v>0</v>
      </c>
      <c r="J30" s="102">
        <f t="shared" si="1"/>
        <v>1</v>
      </c>
      <c r="K30" s="102">
        <v>1</v>
      </c>
      <c r="L30" s="39"/>
      <c r="M30" s="44"/>
      <c r="N30" s="44"/>
      <c r="O30" s="11"/>
      <c r="P30" s="11"/>
      <c r="Q30" s="11"/>
      <c r="R30" s="11"/>
      <c r="S30" s="11"/>
      <c r="T30" s="11"/>
      <c r="U30" s="11"/>
      <c r="V30" s="11"/>
      <c r="W30" s="11"/>
    </row>
    <row r="31" spans="1:23" ht="15" thickBot="1" x14ac:dyDescent="0.35">
      <c r="A31" s="149" t="s">
        <v>92</v>
      </c>
      <c r="B31" s="149"/>
      <c r="C31" s="149"/>
      <c r="D31" s="149"/>
      <c r="E31" s="149"/>
      <c r="F31" s="149"/>
      <c r="G31" s="86" t="s">
        <v>75</v>
      </c>
      <c r="H31" s="44"/>
      <c r="I31" s="101">
        <v>0</v>
      </c>
      <c r="J31" s="102">
        <f t="shared" si="1"/>
        <v>1</v>
      </c>
      <c r="K31" s="102">
        <v>1</v>
      </c>
      <c r="L31" s="39"/>
      <c r="M31" s="44"/>
      <c r="N31" s="44"/>
      <c r="O31" s="11"/>
      <c r="P31" s="11"/>
      <c r="Q31" s="11"/>
      <c r="R31" s="11"/>
      <c r="S31" s="11"/>
      <c r="T31" s="11"/>
      <c r="U31" s="11"/>
      <c r="V31" s="11"/>
      <c r="W31" s="11"/>
    </row>
    <row r="32" spans="1:23" ht="15" thickBot="1" x14ac:dyDescent="0.35">
      <c r="A32" s="81"/>
      <c r="B32" s="81"/>
      <c r="C32" s="81"/>
      <c r="D32" s="81"/>
      <c r="E32" s="81"/>
      <c r="F32" s="81"/>
      <c r="G32" s="11"/>
      <c r="H32" s="44"/>
      <c r="I32" s="44"/>
      <c r="J32" s="44"/>
      <c r="K32" s="44"/>
      <c r="L32" s="44"/>
      <c r="M32" s="44"/>
      <c r="N32" s="44"/>
      <c r="O32" s="11"/>
      <c r="P32" s="11"/>
      <c r="Q32" s="11"/>
      <c r="R32" s="11"/>
      <c r="S32" s="11"/>
      <c r="T32" s="11"/>
      <c r="U32" s="11"/>
      <c r="V32" s="11"/>
      <c r="W32" s="11"/>
    </row>
    <row r="33" spans="1:23" ht="15" thickBot="1" x14ac:dyDescent="0.35">
      <c r="A33" s="20" t="s">
        <v>93</v>
      </c>
      <c r="B33" s="77"/>
      <c r="C33" s="77"/>
      <c r="D33" s="77"/>
      <c r="E33" s="77"/>
      <c r="F33" s="77"/>
      <c r="G33" s="20"/>
      <c r="H33" s="36"/>
      <c r="I33" s="78"/>
      <c r="J33" s="111"/>
      <c r="K33" s="111"/>
      <c r="L33" s="37"/>
      <c r="M33" s="36"/>
      <c r="N33" s="36"/>
      <c r="O33" s="20"/>
      <c r="P33" s="20"/>
      <c r="Q33" s="20"/>
      <c r="R33" s="20"/>
      <c r="S33" s="20"/>
      <c r="T33" s="20"/>
      <c r="U33" s="20"/>
      <c r="V33" s="20"/>
      <c r="W33" s="20"/>
    </row>
    <row r="34" spans="1:23" x14ac:dyDescent="0.3">
      <c r="A34" s="103" t="s">
        <v>94</v>
      </c>
      <c r="B34" s="106"/>
      <c r="C34" s="106"/>
      <c r="D34" s="106"/>
      <c r="E34" s="106"/>
      <c r="F34" s="106"/>
      <c r="G34" s="106"/>
      <c r="H34" s="106"/>
      <c r="I34" s="104">
        <f>(K34-J34)/K34*100%</f>
        <v>0</v>
      </c>
      <c r="J34" s="105">
        <f>(J35+J36)</f>
        <v>1</v>
      </c>
      <c r="K34" s="105">
        <f>(K35+K36)</f>
        <v>1</v>
      </c>
      <c r="L34" s="106"/>
      <c r="M34" s="133"/>
      <c r="N34" s="133"/>
      <c r="O34" s="106"/>
      <c r="P34" s="106"/>
      <c r="Q34" s="106"/>
      <c r="R34" s="106"/>
      <c r="S34" s="106"/>
      <c r="T34" s="106"/>
      <c r="U34" s="106"/>
      <c r="V34" s="106"/>
      <c r="W34" s="106"/>
    </row>
    <row r="35" spans="1:23" x14ac:dyDescent="0.3">
      <c r="A35" s="106" t="s">
        <v>95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33"/>
      <c r="N35" s="133"/>
      <c r="O35" s="106"/>
      <c r="P35" s="106"/>
      <c r="Q35" s="106"/>
      <c r="R35" s="106"/>
      <c r="S35" s="106"/>
      <c r="T35" s="106"/>
      <c r="U35" s="106"/>
      <c r="V35" s="106"/>
      <c r="W35" s="106"/>
    </row>
    <row r="36" spans="1:23" ht="15" thickBot="1" x14ac:dyDescent="0.35">
      <c r="A36" s="149" t="s">
        <v>96</v>
      </c>
      <c r="B36" s="149"/>
      <c r="C36" s="149"/>
      <c r="D36" s="149"/>
      <c r="E36" s="149"/>
      <c r="F36" s="149"/>
      <c r="G36" s="86" t="s">
        <v>75</v>
      </c>
      <c r="H36" s="44"/>
      <c r="I36" s="82">
        <v>0</v>
      </c>
      <c r="J36" s="102">
        <f>K36-I36*K36</f>
        <v>1</v>
      </c>
      <c r="K36" s="102">
        <v>1</v>
      </c>
      <c r="L36" s="41"/>
      <c r="M36" s="44"/>
      <c r="N36" s="44"/>
      <c r="O36" s="11"/>
      <c r="P36" s="11"/>
      <c r="Q36" s="11"/>
      <c r="R36" s="11"/>
      <c r="S36" s="11"/>
      <c r="T36" s="11"/>
      <c r="U36" s="11"/>
      <c r="V36" s="11"/>
      <c r="W36" s="11"/>
    </row>
    <row r="37" spans="1:23" ht="15" thickBot="1" x14ac:dyDescent="0.35">
      <c r="A37" s="100"/>
      <c r="B37" s="100"/>
      <c r="C37" s="100"/>
      <c r="D37" s="100"/>
      <c r="E37" s="100"/>
      <c r="F37" s="100"/>
      <c r="G37" s="11"/>
      <c r="H37" s="44"/>
      <c r="I37" s="44"/>
      <c r="J37" s="44"/>
      <c r="K37" s="65"/>
      <c r="L37" s="41"/>
      <c r="M37" s="44"/>
      <c r="N37" s="44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3">
      <c r="A38" s="103" t="s">
        <v>97</v>
      </c>
      <c r="B38" s="103"/>
      <c r="C38" s="103"/>
      <c r="D38" s="103"/>
      <c r="E38" s="103"/>
      <c r="F38" s="103"/>
      <c r="G38" s="50"/>
      <c r="H38" s="51"/>
      <c r="I38" s="78">
        <f>(K38-J38)/K38*100%</f>
        <v>0</v>
      </c>
      <c r="J38" s="105">
        <f>SUM(J39:J46)</f>
        <v>7</v>
      </c>
      <c r="K38" s="105">
        <f>SUM(K39:K46)</f>
        <v>7</v>
      </c>
      <c r="L38" s="103"/>
      <c r="M38" s="134"/>
      <c r="N38" s="51"/>
      <c r="O38" s="51"/>
      <c r="P38" s="103"/>
      <c r="Q38" s="103"/>
      <c r="R38" s="103"/>
      <c r="S38" s="103"/>
      <c r="T38" s="103"/>
      <c r="U38" s="103"/>
      <c r="V38" s="103"/>
      <c r="W38" s="103"/>
    </row>
    <row r="39" spans="1:23" ht="15" thickBot="1" x14ac:dyDescent="0.35">
      <c r="A39" s="149" t="s">
        <v>98</v>
      </c>
      <c r="B39" s="149"/>
      <c r="C39" s="149"/>
      <c r="D39" s="149"/>
      <c r="E39" s="149"/>
      <c r="F39" s="149"/>
      <c r="G39" s="86" t="s">
        <v>75</v>
      </c>
      <c r="H39" s="44"/>
      <c r="I39" s="82">
        <v>0</v>
      </c>
      <c r="J39" s="102">
        <f>K39-I39*K39</f>
        <v>1</v>
      </c>
      <c r="K39" s="102">
        <v>1</v>
      </c>
      <c r="L39" s="41"/>
      <c r="M39" s="44"/>
      <c r="N39" s="44"/>
      <c r="O39" s="11"/>
      <c r="P39" s="11"/>
      <c r="Q39" s="11"/>
      <c r="R39" s="11"/>
      <c r="S39" s="11"/>
      <c r="T39" s="11"/>
      <c r="U39" s="11"/>
      <c r="V39" s="11"/>
      <c r="W39" s="11"/>
    </row>
    <row r="40" spans="1:23" ht="15" thickBot="1" x14ac:dyDescent="0.35">
      <c r="A40" s="149" t="s">
        <v>99</v>
      </c>
      <c r="B40" s="149"/>
      <c r="C40" s="149"/>
      <c r="D40" s="149"/>
      <c r="E40" s="149"/>
      <c r="F40" s="149"/>
      <c r="G40" s="86" t="s">
        <v>75</v>
      </c>
      <c r="H40" s="44"/>
      <c r="I40" s="82">
        <v>0</v>
      </c>
      <c r="J40" s="102">
        <f t="shared" ref="J40:J44" si="2">K40-I40*K40</f>
        <v>1</v>
      </c>
      <c r="K40" s="102">
        <v>1</v>
      </c>
      <c r="L40" s="41"/>
      <c r="M40" s="44"/>
      <c r="N40" s="44"/>
      <c r="O40" s="11"/>
      <c r="P40" s="11"/>
      <c r="Q40" s="11"/>
      <c r="R40" s="11"/>
      <c r="S40" s="11"/>
      <c r="T40" s="11"/>
      <c r="U40" s="11"/>
      <c r="V40" s="11"/>
      <c r="W40" s="11"/>
    </row>
    <row r="41" spans="1:23" ht="15" thickBot="1" x14ac:dyDescent="0.35">
      <c r="A41" s="149" t="s">
        <v>100</v>
      </c>
      <c r="B41" s="149"/>
      <c r="C41" s="149"/>
      <c r="D41" s="149"/>
      <c r="E41" s="149"/>
      <c r="F41" s="149"/>
      <c r="G41" s="86" t="s">
        <v>75</v>
      </c>
      <c r="H41" s="44"/>
      <c r="I41" s="82">
        <v>0</v>
      </c>
      <c r="J41" s="102">
        <f t="shared" si="2"/>
        <v>1</v>
      </c>
      <c r="K41" s="102">
        <v>1</v>
      </c>
      <c r="L41" s="41"/>
      <c r="M41" s="44"/>
      <c r="N41" s="44"/>
      <c r="O41" s="11"/>
      <c r="P41" s="11"/>
      <c r="Q41" s="11"/>
      <c r="R41" s="11"/>
      <c r="S41" s="11"/>
      <c r="T41" s="11"/>
      <c r="U41" s="11"/>
      <c r="V41" s="11"/>
      <c r="W41" s="11"/>
    </row>
    <row r="42" spans="1:23" ht="15" thickBot="1" x14ac:dyDescent="0.35">
      <c r="A42" s="149" t="s">
        <v>101</v>
      </c>
      <c r="B42" s="149"/>
      <c r="C42" s="149"/>
      <c r="D42" s="149"/>
      <c r="E42" s="149"/>
      <c r="F42" s="149"/>
      <c r="G42" s="86" t="s">
        <v>75</v>
      </c>
      <c r="H42" s="44"/>
      <c r="I42" s="82">
        <v>0</v>
      </c>
      <c r="J42" s="102">
        <f t="shared" si="2"/>
        <v>1</v>
      </c>
      <c r="K42" s="102">
        <v>1</v>
      </c>
      <c r="L42" s="41"/>
      <c r="M42" s="44"/>
      <c r="N42" s="137"/>
      <c r="O42" s="11"/>
      <c r="P42" s="11"/>
      <c r="Q42" s="11"/>
      <c r="R42" s="11"/>
      <c r="S42" s="11"/>
      <c r="T42" s="11"/>
      <c r="U42" s="11"/>
      <c r="V42" s="11"/>
      <c r="W42" s="11"/>
    </row>
    <row r="43" spans="1:23" ht="15" thickBot="1" x14ac:dyDescent="0.35">
      <c r="A43" s="149" t="s">
        <v>102</v>
      </c>
      <c r="B43" s="149"/>
      <c r="C43" s="149"/>
      <c r="D43" s="149"/>
      <c r="E43" s="149"/>
      <c r="F43" s="149"/>
      <c r="G43" s="86" t="s">
        <v>75</v>
      </c>
      <c r="H43" s="44"/>
      <c r="I43" s="82">
        <v>0</v>
      </c>
      <c r="J43" s="102">
        <f>K43-I43*K43</f>
        <v>1</v>
      </c>
      <c r="K43" s="102">
        <v>1</v>
      </c>
      <c r="L43" s="41"/>
      <c r="M43" s="44"/>
      <c r="N43" s="44"/>
      <c r="O43" s="11"/>
      <c r="P43" s="11"/>
      <c r="Q43" s="11"/>
      <c r="R43" s="11"/>
      <c r="S43" s="11"/>
      <c r="T43" s="11"/>
      <c r="U43" s="11"/>
      <c r="V43" s="11"/>
      <c r="W43" s="11"/>
    </row>
    <row r="44" spans="1:23" ht="15" thickBot="1" x14ac:dyDescent="0.35">
      <c r="A44" s="149" t="s">
        <v>103</v>
      </c>
      <c r="B44" s="149"/>
      <c r="C44" s="149"/>
      <c r="D44" s="149"/>
      <c r="E44" s="149"/>
      <c r="F44" s="149"/>
      <c r="G44" s="86" t="s">
        <v>75</v>
      </c>
      <c r="H44" s="44"/>
      <c r="I44" s="82">
        <v>0</v>
      </c>
      <c r="J44" s="102">
        <f t="shared" si="2"/>
        <v>1</v>
      </c>
      <c r="K44" s="102">
        <v>1</v>
      </c>
      <c r="L44" s="41"/>
      <c r="M44" s="44"/>
      <c r="N44" s="44"/>
      <c r="O44" s="11"/>
      <c r="P44" s="11"/>
      <c r="Q44" s="11"/>
      <c r="R44" s="11"/>
      <c r="S44" s="11"/>
      <c r="T44" s="11"/>
      <c r="U44" s="11"/>
      <c r="V44" s="11"/>
      <c r="W44" s="11"/>
    </row>
    <row r="45" spans="1:23" ht="15" thickBot="1" x14ac:dyDescent="0.35">
      <c r="A45" s="149" t="s">
        <v>104</v>
      </c>
      <c r="B45" s="149"/>
      <c r="C45" s="149"/>
      <c r="D45" s="149"/>
      <c r="E45" s="149"/>
      <c r="F45" s="149"/>
      <c r="G45" s="86" t="s">
        <v>75</v>
      </c>
      <c r="H45" s="44"/>
      <c r="I45" s="82">
        <v>0</v>
      </c>
      <c r="J45" s="102">
        <v>1</v>
      </c>
      <c r="K45" s="102">
        <v>1</v>
      </c>
      <c r="L45" s="41"/>
      <c r="M45" s="44"/>
      <c r="N45" s="44"/>
      <c r="O45" s="11"/>
      <c r="P45" s="11"/>
      <c r="Q45" s="11"/>
      <c r="R45" s="11"/>
      <c r="S45" s="11"/>
      <c r="T45" s="11"/>
      <c r="U45" s="11"/>
      <c r="V45" s="11"/>
      <c r="W45" s="11"/>
    </row>
    <row r="46" spans="1:23" ht="15" thickBot="1" x14ac:dyDescent="0.35">
      <c r="A46" s="100"/>
      <c r="B46" s="100"/>
      <c r="C46" s="100"/>
      <c r="D46" s="100"/>
      <c r="E46" s="100"/>
      <c r="F46" s="100"/>
      <c r="G46" s="86"/>
      <c r="H46" s="44"/>
      <c r="I46" s="141"/>
      <c r="J46" s="142"/>
      <c r="K46" s="142"/>
      <c r="L46" s="41"/>
      <c r="M46" s="44"/>
      <c r="N46" s="44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3">
      <c r="A47" s="103" t="s">
        <v>105</v>
      </c>
      <c r="B47" s="103"/>
      <c r="C47" s="103"/>
      <c r="D47" s="103"/>
      <c r="E47" s="103"/>
      <c r="F47" s="103"/>
      <c r="G47" s="50"/>
      <c r="H47" s="51"/>
      <c r="I47" s="104">
        <f>(K47-J47)/K47*100%</f>
        <v>0</v>
      </c>
      <c r="J47" s="105">
        <f>SUM(J48:J49)</f>
        <v>1</v>
      </c>
      <c r="K47" s="105">
        <f>SUM(K48:K49)</f>
        <v>1</v>
      </c>
      <c r="L47" s="103"/>
      <c r="M47" s="134"/>
      <c r="N47" s="51"/>
      <c r="O47" s="51"/>
      <c r="P47" s="103"/>
      <c r="Q47" s="103"/>
      <c r="R47" s="103"/>
      <c r="S47" s="103"/>
      <c r="T47" s="103"/>
      <c r="U47" s="103"/>
      <c r="V47" s="103"/>
      <c r="W47" s="103"/>
    </row>
    <row r="48" spans="1:23" ht="15" thickBot="1" x14ac:dyDescent="0.35">
      <c r="A48" s="149" t="s">
        <v>106</v>
      </c>
      <c r="B48" s="149"/>
      <c r="C48" s="149"/>
      <c r="D48" s="149"/>
      <c r="E48" s="149"/>
      <c r="F48" s="149"/>
      <c r="G48" s="86" t="s">
        <v>75</v>
      </c>
      <c r="H48" s="100"/>
      <c r="I48" s="82">
        <v>0</v>
      </c>
      <c r="J48" s="102">
        <f>K48-I48*K48</f>
        <v>1</v>
      </c>
      <c r="K48" s="102">
        <v>1</v>
      </c>
      <c r="L48" s="100"/>
      <c r="M48" s="135"/>
      <c r="N48" s="135"/>
      <c r="O48" s="100"/>
      <c r="P48" s="100"/>
      <c r="Q48" s="100"/>
      <c r="R48" s="100"/>
      <c r="S48" s="100"/>
      <c r="T48" s="100"/>
      <c r="U48" s="100"/>
      <c r="V48" s="100"/>
      <c r="W48" s="100"/>
    </row>
    <row r="49" spans="1:23" ht="15" thickBot="1" x14ac:dyDescent="0.35">
      <c r="A49" s="100"/>
      <c r="B49" s="100"/>
      <c r="C49" s="100"/>
      <c r="D49" s="100"/>
      <c r="E49" s="100"/>
      <c r="F49" s="100"/>
      <c r="G49" s="100"/>
      <c r="H49" s="100"/>
      <c r="I49" s="66"/>
      <c r="J49" s="67"/>
      <c r="K49" s="68"/>
      <c r="L49" s="100"/>
      <c r="M49" s="135"/>
      <c r="N49" s="135"/>
      <c r="O49" s="100"/>
      <c r="P49" s="100"/>
      <c r="Q49" s="100"/>
      <c r="R49" s="100"/>
      <c r="S49" s="100"/>
      <c r="T49" s="100"/>
      <c r="U49" s="100"/>
      <c r="V49" s="100"/>
      <c r="W49" s="100"/>
    </row>
    <row r="50" spans="1:23" x14ac:dyDescent="0.3">
      <c r="A50" s="103" t="s">
        <v>107</v>
      </c>
      <c r="B50" s="103"/>
      <c r="C50" s="103"/>
      <c r="D50" s="103"/>
      <c r="E50" s="103"/>
      <c r="F50" s="103"/>
      <c r="G50" s="50"/>
      <c r="H50" s="51"/>
      <c r="I50" s="104">
        <f>(K50-J50)/K50*100%</f>
        <v>0</v>
      </c>
      <c r="J50" s="105">
        <f>SUM(J51:J52)</f>
        <v>1</v>
      </c>
      <c r="K50" s="105">
        <f>SUM(K51:K52)</f>
        <v>1</v>
      </c>
      <c r="L50" s="103"/>
      <c r="M50" s="134"/>
      <c r="N50" s="51"/>
      <c r="O50" s="51"/>
      <c r="P50" s="103"/>
      <c r="Q50" s="103"/>
      <c r="R50" s="103"/>
      <c r="S50" s="103"/>
      <c r="T50" s="103"/>
      <c r="U50" s="103"/>
      <c r="V50" s="103"/>
      <c r="W50" s="103"/>
    </row>
    <row r="51" spans="1:23" ht="15" thickBot="1" x14ac:dyDescent="0.35">
      <c r="A51" s="149" t="s">
        <v>108</v>
      </c>
      <c r="B51" s="149"/>
      <c r="C51" s="149"/>
      <c r="D51" s="149"/>
      <c r="E51" s="149"/>
      <c r="F51" s="149"/>
      <c r="G51" s="86" t="s">
        <v>75</v>
      </c>
      <c r="H51" s="44"/>
      <c r="I51" s="82">
        <v>0</v>
      </c>
      <c r="J51" s="102">
        <f>K51-I51*K51</f>
        <v>1</v>
      </c>
      <c r="K51" s="102">
        <v>1</v>
      </c>
      <c r="L51" s="41"/>
      <c r="M51" s="44"/>
      <c r="N51" s="44"/>
      <c r="O51" s="11"/>
      <c r="P51" s="11"/>
      <c r="Q51" s="11"/>
      <c r="R51" s="11"/>
      <c r="S51" s="11"/>
      <c r="T51" s="11"/>
      <c r="U51" s="11"/>
      <c r="V51" s="11"/>
      <c r="W51" s="11"/>
    </row>
    <row r="52" spans="1:23" ht="15" thickBot="1" x14ac:dyDescent="0.35">
      <c r="A52" s="100"/>
      <c r="B52" s="100"/>
      <c r="C52" s="100"/>
      <c r="D52" s="100"/>
      <c r="E52" s="100"/>
      <c r="F52" s="100"/>
      <c r="G52" s="11"/>
      <c r="H52" s="44"/>
      <c r="I52" s="66"/>
      <c r="J52" s="67"/>
      <c r="K52" s="68"/>
      <c r="L52" s="41"/>
      <c r="M52" s="44"/>
      <c r="N52" s="44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3">
      <c r="A53" s="103" t="s">
        <v>109</v>
      </c>
      <c r="B53" s="103"/>
      <c r="C53" s="103"/>
      <c r="D53" s="103"/>
      <c r="E53" s="103"/>
      <c r="F53" s="103"/>
      <c r="G53" s="50"/>
      <c r="H53" s="51"/>
      <c r="I53" s="104">
        <f>(K53-J53)/K53*100%</f>
        <v>0</v>
      </c>
      <c r="J53" s="105">
        <f>SUM(J54:J56)</f>
        <v>2</v>
      </c>
      <c r="K53" s="105">
        <f>SUM(K54:K56)</f>
        <v>2</v>
      </c>
      <c r="L53" s="103"/>
      <c r="M53" s="134"/>
      <c r="N53" s="51"/>
      <c r="O53" s="51"/>
      <c r="P53" s="103"/>
      <c r="Q53" s="103"/>
      <c r="R53" s="103"/>
      <c r="S53" s="103"/>
      <c r="T53" s="103"/>
      <c r="U53" s="103"/>
      <c r="V53" s="103"/>
      <c r="W53" s="103"/>
    </row>
    <row r="54" spans="1:23" ht="15" thickBot="1" x14ac:dyDescent="0.35">
      <c r="A54" s="149" t="s">
        <v>110</v>
      </c>
      <c r="B54" s="149"/>
      <c r="C54" s="149"/>
      <c r="D54" s="149"/>
      <c r="E54" s="149"/>
      <c r="F54" s="149"/>
      <c r="G54" s="86" t="s">
        <v>75</v>
      </c>
      <c r="H54" s="100"/>
      <c r="I54" s="82">
        <v>0</v>
      </c>
      <c r="J54" s="102">
        <f>K54-I54*K54</f>
        <v>1</v>
      </c>
      <c r="K54" s="102">
        <v>1</v>
      </c>
      <c r="L54" s="41"/>
      <c r="M54" s="44"/>
      <c r="N54" s="44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5" thickBot="1" x14ac:dyDescent="0.35">
      <c r="A55" s="149" t="s">
        <v>111</v>
      </c>
      <c r="B55" s="149"/>
      <c r="C55" s="149"/>
      <c r="D55" s="149"/>
      <c r="E55" s="149"/>
      <c r="F55" s="149"/>
      <c r="G55" s="86" t="s">
        <v>75</v>
      </c>
      <c r="H55" s="100"/>
      <c r="I55" s="82">
        <v>0</v>
      </c>
      <c r="J55" s="102">
        <f>K55-I55*K55</f>
        <v>1</v>
      </c>
      <c r="K55" s="102">
        <v>1</v>
      </c>
      <c r="L55" s="41"/>
      <c r="M55" s="44"/>
      <c r="N55" s="44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5" thickBot="1" x14ac:dyDescent="0.35">
      <c r="A56" s="100"/>
      <c r="B56" s="100"/>
      <c r="C56" s="100"/>
      <c r="D56" s="100"/>
      <c r="E56" s="100"/>
      <c r="F56" s="100"/>
      <c r="G56" s="100"/>
      <c r="H56" s="100"/>
      <c r="I56" s="66"/>
      <c r="J56" s="67"/>
      <c r="K56" s="68"/>
      <c r="L56" s="41"/>
      <c r="M56" s="44"/>
      <c r="N56" s="44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3">
      <c r="A57" s="103" t="s">
        <v>112</v>
      </c>
      <c r="B57" s="103"/>
      <c r="C57" s="103"/>
      <c r="D57" s="103"/>
      <c r="E57" s="103"/>
      <c r="F57" s="103"/>
      <c r="G57" s="50"/>
      <c r="H57" s="51"/>
      <c r="I57" s="104">
        <f>(K57-J57)/K57*100%</f>
        <v>0</v>
      </c>
      <c r="J57" s="105">
        <f>SUM(J58:J63)</f>
        <v>5</v>
      </c>
      <c r="K57" s="105">
        <f>SUM(K58:K63)</f>
        <v>5</v>
      </c>
      <c r="L57" s="103"/>
      <c r="M57" s="134"/>
      <c r="N57" s="51"/>
      <c r="O57" s="51"/>
      <c r="P57" s="103"/>
      <c r="Q57" s="103"/>
      <c r="R57" s="103"/>
      <c r="S57" s="103"/>
      <c r="T57" s="103"/>
      <c r="U57" s="103"/>
      <c r="V57" s="103"/>
      <c r="W57" s="103"/>
    </row>
    <row r="58" spans="1:23" ht="15" thickBot="1" x14ac:dyDescent="0.35">
      <c r="A58" s="149" t="s">
        <v>113</v>
      </c>
      <c r="B58" s="149"/>
      <c r="C58" s="149"/>
      <c r="D58" s="149"/>
      <c r="E58" s="149"/>
      <c r="F58" s="149"/>
      <c r="G58" s="86" t="s">
        <v>75</v>
      </c>
      <c r="H58" s="100"/>
      <c r="I58" s="82">
        <v>0</v>
      </c>
      <c r="J58" s="102">
        <f>K58-I58*K58</f>
        <v>1</v>
      </c>
      <c r="K58" s="102">
        <v>1</v>
      </c>
      <c r="L58" s="100"/>
      <c r="M58" s="135"/>
      <c r="N58" s="135"/>
      <c r="O58" s="100"/>
      <c r="P58" s="100"/>
      <c r="Q58" s="100"/>
      <c r="R58" s="100"/>
      <c r="S58" s="100"/>
      <c r="T58" s="100"/>
      <c r="U58" s="100"/>
      <c r="V58" s="100"/>
      <c r="W58" s="100"/>
    </row>
    <row r="59" spans="1:23" ht="15" thickBot="1" x14ac:dyDescent="0.35">
      <c r="A59" s="149" t="s">
        <v>114</v>
      </c>
      <c r="B59" s="149"/>
      <c r="C59" s="149"/>
      <c r="D59" s="149"/>
      <c r="E59" s="149"/>
      <c r="F59" s="149"/>
      <c r="G59" s="86" t="s">
        <v>75</v>
      </c>
      <c r="H59" s="81"/>
      <c r="I59" s="82">
        <v>0</v>
      </c>
      <c r="J59" s="102">
        <f t="shared" ref="J59:J60" si="3">K59-I59*K59</f>
        <v>1</v>
      </c>
      <c r="K59" s="102">
        <v>1</v>
      </c>
      <c r="L59" s="81"/>
      <c r="M59" s="136"/>
      <c r="N59" s="136"/>
      <c r="O59" s="81"/>
      <c r="P59" s="81"/>
      <c r="Q59" s="81"/>
      <c r="R59" s="81"/>
      <c r="S59" s="81"/>
      <c r="T59" s="81"/>
      <c r="U59" s="81"/>
      <c r="V59" s="81"/>
      <c r="W59" s="81"/>
    </row>
    <row r="60" spans="1:23" ht="15" thickBot="1" x14ac:dyDescent="0.35">
      <c r="A60" s="149" t="s">
        <v>115</v>
      </c>
      <c r="B60" s="149"/>
      <c r="C60" s="149"/>
      <c r="D60" s="149"/>
      <c r="E60" s="149"/>
      <c r="F60" s="149"/>
      <c r="G60" s="86" t="s">
        <v>75</v>
      </c>
      <c r="H60" s="100"/>
      <c r="I60" s="82">
        <v>0</v>
      </c>
      <c r="J60" s="102">
        <f t="shared" si="3"/>
        <v>1</v>
      </c>
      <c r="K60" s="102">
        <v>1</v>
      </c>
      <c r="L60" s="100"/>
      <c r="M60" s="135"/>
      <c r="N60" s="135"/>
      <c r="O60" s="100"/>
      <c r="P60" s="100"/>
      <c r="Q60" s="100"/>
      <c r="R60" s="100"/>
      <c r="S60" s="100"/>
      <c r="T60" s="100"/>
      <c r="U60" s="100"/>
      <c r="V60" s="100"/>
      <c r="W60" s="100"/>
    </row>
    <row r="61" spans="1:23" ht="15" thickBot="1" x14ac:dyDescent="0.35">
      <c r="A61" s="149" t="s">
        <v>116</v>
      </c>
      <c r="B61" s="149"/>
      <c r="C61" s="149"/>
      <c r="D61" s="149"/>
      <c r="E61" s="149"/>
      <c r="F61" s="149"/>
      <c r="G61" s="86" t="s">
        <v>75</v>
      </c>
      <c r="H61" s="100"/>
      <c r="I61" s="82">
        <v>0</v>
      </c>
      <c r="J61" s="102">
        <f>K61-I61*K61</f>
        <v>1</v>
      </c>
      <c r="K61" s="102">
        <v>1</v>
      </c>
      <c r="L61" s="100"/>
      <c r="M61" s="135"/>
      <c r="N61" s="135"/>
      <c r="O61" s="100"/>
      <c r="P61" s="100"/>
      <c r="Q61" s="100"/>
      <c r="R61" s="100"/>
      <c r="S61" s="100"/>
      <c r="T61" s="100"/>
      <c r="U61" s="100"/>
      <c r="V61" s="100"/>
      <c r="W61" s="100"/>
    </row>
    <row r="62" spans="1:23" ht="15" thickBot="1" x14ac:dyDescent="0.35">
      <c r="A62" s="149" t="s">
        <v>117</v>
      </c>
      <c r="B62" s="149"/>
      <c r="C62" s="149"/>
      <c r="D62" s="149"/>
      <c r="E62" s="149"/>
      <c r="F62" s="149"/>
      <c r="G62" s="86" t="s">
        <v>75</v>
      </c>
      <c r="H62" s="100"/>
      <c r="I62" s="82">
        <v>0</v>
      </c>
      <c r="J62" s="102">
        <f>K62-I62*K62</f>
        <v>1</v>
      </c>
      <c r="K62" s="102">
        <v>1</v>
      </c>
      <c r="L62" s="100"/>
      <c r="M62" s="135"/>
      <c r="N62" s="135"/>
      <c r="O62" s="100"/>
      <c r="P62" s="100"/>
      <c r="Q62" s="100"/>
      <c r="R62" s="100"/>
      <c r="S62" s="100"/>
      <c r="T62" s="100"/>
      <c r="U62" s="100"/>
      <c r="V62" s="100"/>
      <c r="W62" s="100"/>
    </row>
    <row r="63" spans="1:23" ht="15" thickBot="1" x14ac:dyDescent="0.35">
      <c r="A63" s="100"/>
      <c r="B63" s="100"/>
      <c r="C63" s="100"/>
      <c r="D63" s="100"/>
      <c r="E63" s="100"/>
      <c r="F63" s="100"/>
      <c r="G63" s="100"/>
      <c r="H63" s="100"/>
      <c r="I63" s="108"/>
      <c r="J63" s="108"/>
      <c r="K63" s="108"/>
      <c r="L63" s="100"/>
      <c r="M63" s="135"/>
      <c r="N63" s="135"/>
      <c r="O63" s="100"/>
      <c r="P63" s="100"/>
      <c r="Q63" s="100"/>
      <c r="R63" s="100"/>
      <c r="S63" s="100"/>
      <c r="T63" s="100"/>
      <c r="U63" s="100"/>
      <c r="V63" s="100"/>
      <c r="W63" s="100"/>
    </row>
    <row r="64" spans="1:23" x14ac:dyDescent="0.3">
      <c r="A64" s="103" t="s">
        <v>118</v>
      </c>
      <c r="B64" s="103"/>
      <c r="C64" s="103"/>
      <c r="D64" s="103"/>
      <c r="E64" s="103"/>
      <c r="F64" s="103"/>
      <c r="G64" s="50"/>
      <c r="H64" s="51"/>
      <c r="I64" s="104">
        <f>(K64-J64)/K64*100%</f>
        <v>0</v>
      </c>
      <c r="J64" s="105">
        <f>SUM(J65:J71)</f>
        <v>6</v>
      </c>
      <c r="K64" s="105">
        <f>SUM(K65:K71)</f>
        <v>6</v>
      </c>
      <c r="L64" s="103"/>
      <c r="M64" s="134"/>
      <c r="N64" s="51"/>
      <c r="O64" s="51"/>
      <c r="P64" s="103"/>
      <c r="Q64" s="103"/>
      <c r="R64" s="103"/>
      <c r="S64" s="103"/>
      <c r="T64" s="103"/>
      <c r="U64" s="103"/>
      <c r="V64" s="103"/>
      <c r="W64" s="103"/>
    </row>
    <row r="65" spans="1:23" ht="15" thickBot="1" x14ac:dyDescent="0.35">
      <c r="A65" s="149" t="s">
        <v>119</v>
      </c>
      <c r="B65" s="149"/>
      <c r="C65" s="149"/>
      <c r="D65" s="149"/>
      <c r="E65" s="149"/>
      <c r="F65" s="149"/>
      <c r="G65" s="86" t="s">
        <v>75</v>
      </c>
      <c r="H65" s="44"/>
      <c r="I65" s="82">
        <v>0</v>
      </c>
      <c r="J65" s="102">
        <f>K65-I65*K65</f>
        <v>1</v>
      </c>
      <c r="K65" s="102">
        <v>1</v>
      </c>
      <c r="L65" s="41"/>
      <c r="M65" s="44"/>
      <c r="N65" s="44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5" thickBot="1" x14ac:dyDescent="0.35">
      <c r="A66" s="149" t="s">
        <v>120</v>
      </c>
      <c r="B66" s="149"/>
      <c r="C66" s="149"/>
      <c r="D66" s="149"/>
      <c r="E66" s="149"/>
      <c r="F66" s="149"/>
      <c r="G66" s="86" t="s">
        <v>75</v>
      </c>
      <c r="H66" s="44"/>
      <c r="I66" s="82">
        <v>0</v>
      </c>
      <c r="J66" s="102">
        <f t="shared" ref="J66:J67" si="4">K66-I66*K66</f>
        <v>1</v>
      </c>
      <c r="K66" s="102">
        <v>1</v>
      </c>
      <c r="L66" s="41"/>
      <c r="M66" s="44"/>
      <c r="N66" s="44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15" thickBot="1" x14ac:dyDescent="0.35">
      <c r="A67" s="149" t="s">
        <v>121</v>
      </c>
      <c r="B67" s="149"/>
      <c r="C67" s="149"/>
      <c r="D67" s="149"/>
      <c r="E67" s="149"/>
      <c r="F67" s="149"/>
      <c r="G67" s="86" t="s">
        <v>75</v>
      </c>
      <c r="H67" s="44"/>
      <c r="I67" s="82">
        <v>0</v>
      </c>
      <c r="J67" s="102">
        <f t="shared" si="4"/>
        <v>1</v>
      </c>
      <c r="K67" s="102">
        <v>1</v>
      </c>
      <c r="L67" s="41"/>
      <c r="M67" s="44"/>
      <c r="N67" s="44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5" thickBot="1" x14ac:dyDescent="0.35">
      <c r="A68" s="149" t="s">
        <v>122</v>
      </c>
      <c r="B68" s="149"/>
      <c r="C68" s="149"/>
      <c r="D68" s="149"/>
      <c r="E68" s="149"/>
      <c r="F68" s="149"/>
      <c r="G68" s="86" t="s">
        <v>75</v>
      </c>
      <c r="H68" s="44"/>
      <c r="I68" s="82">
        <v>0</v>
      </c>
      <c r="J68" s="102">
        <v>1</v>
      </c>
      <c r="K68" s="102">
        <v>1</v>
      </c>
      <c r="L68" s="41"/>
      <c r="M68" s="44"/>
      <c r="N68" s="44"/>
      <c r="O68" s="11"/>
      <c r="P68" s="11"/>
      <c r="Q68" s="11"/>
      <c r="R68" s="11"/>
      <c r="S68" s="11"/>
      <c r="T68" s="11"/>
      <c r="U68" s="11"/>
      <c r="V68" s="11"/>
      <c r="W68" s="11"/>
    </row>
    <row r="69" spans="1:23" ht="15" thickBot="1" x14ac:dyDescent="0.35">
      <c r="A69" s="149" t="s">
        <v>123</v>
      </c>
      <c r="B69" s="149"/>
      <c r="C69" s="149"/>
      <c r="D69" s="149"/>
      <c r="E69" s="149"/>
      <c r="F69" s="149"/>
      <c r="G69" s="86" t="s">
        <v>75</v>
      </c>
      <c r="H69" s="44"/>
      <c r="I69" s="82">
        <v>0</v>
      </c>
      <c r="J69" s="102">
        <f>K69-I69*K69</f>
        <v>1</v>
      </c>
      <c r="K69" s="102">
        <v>1</v>
      </c>
      <c r="L69" s="41"/>
      <c r="M69" s="44"/>
      <c r="N69" s="44"/>
      <c r="O69" s="11"/>
      <c r="P69" s="11"/>
      <c r="Q69" s="11"/>
      <c r="R69" s="11"/>
      <c r="S69" s="11"/>
      <c r="T69" s="11"/>
      <c r="U69" s="11"/>
      <c r="V69" s="11"/>
      <c r="W69" s="11"/>
    </row>
    <row r="70" spans="1:23" ht="15" thickBot="1" x14ac:dyDescent="0.35">
      <c r="A70" s="149" t="s">
        <v>124</v>
      </c>
      <c r="B70" s="149"/>
      <c r="C70" s="149"/>
      <c r="D70" s="149"/>
      <c r="E70" s="149"/>
      <c r="F70" s="149"/>
      <c r="G70" s="86" t="s">
        <v>75</v>
      </c>
      <c r="H70" s="44"/>
      <c r="I70" s="82">
        <v>0</v>
      </c>
      <c r="J70" s="102">
        <v>1</v>
      </c>
      <c r="K70" s="102">
        <v>1</v>
      </c>
      <c r="L70" s="41"/>
      <c r="M70" s="44"/>
      <c r="N70" s="44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5" thickBot="1" x14ac:dyDescent="0.35">
      <c r="A71" s="100"/>
      <c r="B71" s="100"/>
      <c r="C71" s="100"/>
      <c r="D71" s="100"/>
      <c r="E71" s="100"/>
      <c r="F71" s="100"/>
      <c r="H71" s="44"/>
      <c r="I71" s="11"/>
      <c r="J71" s="41"/>
      <c r="K71" s="64"/>
      <c r="L71" s="41"/>
      <c r="M71" s="44"/>
      <c r="N71" s="44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3">
      <c r="A72" s="103" t="s">
        <v>125</v>
      </c>
      <c r="B72" s="103"/>
      <c r="C72" s="103"/>
      <c r="D72" s="103"/>
      <c r="E72" s="103"/>
      <c r="F72" s="103"/>
      <c r="G72" s="50"/>
      <c r="H72" s="51"/>
      <c r="I72" s="104">
        <f>(K72-J72)/K72*100%</f>
        <v>0</v>
      </c>
      <c r="J72" s="105">
        <f>SUM(J73:J75)</f>
        <v>2</v>
      </c>
      <c r="K72" s="105">
        <f>SUM(K73:K75)</f>
        <v>2</v>
      </c>
      <c r="L72" s="49"/>
      <c r="M72" s="51"/>
      <c r="N72" s="51"/>
      <c r="O72" s="51"/>
      <c r="P72" s="50"/>
      <c r="Q72" s="51"/>
      <c r="R72" s="51"/>
      <c r="S72" s="51"/>
      <c r="T72" s="51"/>
      <c r="U72" s="51"/>
      <c r="V72" s="51"/>
      <c r="W72" s="51"/>
    </row>
    <row r="73" spans="1:23" ht="15" thickBot="1" x14ac:dyDescent="0.35">
      <c r="A73" s="149" t="s">
        <v>126</v>
      </c>
      <c r="B73" s="149"/>
      <c r="C73" s="149"/>
      <c r="D73" s="149"/>
      <c r="E73" s="149"/>
      <c r="F73" s="149"/>
      <c r="G73" s="86" t="s">
        <v>127</v>
      </c>
      <c r="H73" s="44"/>
      <c r="I73" s="82">
        <v>0</v>
      </c>
      <c r="J73" s="102">
        <f>K73-I73*K73</f>
        <v>1</v>
      </c>
      <c r="K73" s="102">
        <v>1</v>
      </c>
      <c r="L73" s="41"/>
      <c r="M73" s="44"/>
      <c r="N73" s="44"/>
      <c r="O73" s="11"/>
      <c r="P73" s="11"/>
      <c r="Q73" s="11"/>
      <c r="R73" s="11"/>
      <c r="S73" s="11"/>
      <c r="T73" s="11"/>
      <c r="U73" s="11"/>
      <c r="V73" s="11"/>
      <c r="W73" s="11"/>
    </row>
    <row r="74" spans="1:23" ht="15" thickBot="1" x14ac:dyDescent="0.35">
      <c r="A74" s="149" t="s">
        <v>128</v>
      </c>
      <c r="B74" s="149"/>
      <c r="C74" s="149"/>
      <c r="D74" s="149"/>
      <c r="E74" s="149"/>
      <c r="F74" s="149"/>
      <c r="G74" s="86" t="s">
        <v>127</v>
      </c>
      <c r="H74" s="44"/>
      <c r="I74" s="82">
        <v>0</v>
      </c>
      <c r="J74" s="102">
        <f>K74-I74*K74</f>
        <v>1</v>
      </c>
      <c r="K74" s="102">
        <v>1</v>
      </c>
      <c r="L74" s="41"/>
      <c r="M74" s="44"/>
      <c r="N74" s="44"/>
      <c r="O74" s="11"/>
      <c r="P74" s="11"/>
      <c r="Q74" s="11"/>
      <c r="R74" s="11"/>
      <c r="S74" s="11"/>
      <c r="T74" s="11"/>
      <c r="U74" s="11"/>
      <c r="V74" s="11"/>
      <c r="W74" s="11"/>
    </row>
    <row r="75" spans="1:23" ht="15" thickBot="1" x14ac:dyDescent="0.35">
      <c r="A75" s="76"/>
      <c r="B75" s="76"/>
      <c r="C75" s="76"/>
      <c r="D75" s="76"/>
      <c r="E75" s="76"/>
      <c r="F75" s="76"/>
      <c r="G75" s="11"/>
      <c r="H75" s="44"/>
      <c r="I75" s="11"/>
      <c r="J75" s="41"/>
      <c r="K75" s="64"/>
      <c r="L75" s="41"/>
      <c r="M75" s="44"/>
      <c r="N75" s="44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3">
      <c r="A76" s="103" t="s">
        <v>129</v>
      </c>
      <c r="B76" s="103"/>
      <c r="C76" s="103"/>
      <c r="D76" s="103"/>
      <c r="E76" s="103"/>
      <c r="F76" s="103"/>
      <c r="G76" s="50"/>
      <c r="H76" s="51"/>
      <c r="I76" s="104">
        <f>(K76-J76)/K76*100%</f>
        <v>1</v>
      </c>
      <c r="J76" s="105">
        <f>SUM(J77:J81)</f>
        <v>0</v>
      </c>
      <c r="K76" s="105">
        <f>SUM(K77:K81)</f>
        <v>1</v>
      </c>
      <c r="L76" s="50"/>
      <c r="M76" s="51"/>
      <c r="N76" s="51"/>
      <c r="O76" s="51"/>
      <c r="P76" s="50"/>
      <c r="Q76" s="51"/>
      <c r="R76" s="51"/>
      <c r="S76" s="51"/>
      <c r="T76" s="51"/>
      <c r="U76" s="51"/>
      <c r="V76" s="51"/>
      <c r="W76" s="51"/>
    </row>
    <row r="77" spans="1:23" ht="15" thickBot="1" x14ac:dyDescent="0.35">
      <c r="A77" s="149" t="s">
        <v>130</v>
      </c>
      <c r="B77" s="149"/>
      <c r="C77" s="149"/>
      <c r="D77" s="149"/>
      <c r="E77" s="149"/>
      <c r="F77" s="149"/>
      <c r="G77" s="86" t="s">
        <v>127</v>
      </c>
      <c r="H77" s="44" t="s">
        <v>131</v>
      </c>
      <c r="I77" s="82">
        <v>1</v>
      </c>
      <c r="J77" s="102">
        <f>K77-I77*K77</f>
        <v>0</v>
      </c>
      <c r="K77" s="102">
        <v>1</v>
      </c>
      <c r="L77" s="41"/>
      <c r="M77" s="44"/>
      <c r="N77" s="44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5" thickBot="1" x14ac:dyDescent="0.35">
      <c r="A78" s="149"/>
      <c r="B78" s="149"/>
      <c r="C78" s="149"/>
      <c r="D78" s="149"/>
      <c r="E78" s="149"/>
      <c r="F78" s="149"/>
      <c r="G78" s="86"/>
      <c r="H78" s="44"/>
      <c r="I78" s="82"/>
      <c r="J78" s="102"/>
      <c r="K78" s="102"/>
      <c r="L78" s="41"/>
      <c r="M78" s="44"/>
      <c r="N78" s="44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15" thickBot="1" x14ac:dyDescent="0.35">
      <c r="A79" s="149"/>
      <c r="B79" s="149"/>
      <c r="C79" s="149"/>
      <c r="D79" s="149"/>
      <c r="E79" s="149"/>
      <c r="F79" s="149"/>
      <c r="G79" s="86"/>
      <c r="H79" s="44"/>
      <c r="I79" s="82"/>
      <c r="J79" s="102"/>
      <c r="K79" s="102"/>
      <c r="L79" s="41"/>
      <c r="M79" s="44"/>
      <c r="N79" s="44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15" thickBot="1" x14ac:dyDescent="0.35">
      <c r="A80" s="149"/>
      <c r="B80" s="149"/>
      <c r="C80" s="149"/>
      <c r="D80" s="149"/>
      <c r="E80" s="149"/>
      <c r="F80" s="149"/>
      <c r="G80" s="86"/>
      <c r="H80" s="44"/>
      <c r="I80" s="82"/>
      <c r="J80" s="102"/>
      <c r="K80" s="102"/>
      <c r="L80" s="39"/>
    </row>
    <row r="81" spans="1:23" ht="15" thickBot="1" x14ac:dyDescent="0.35">
      <c r="A81" s="81"/>
      <c r="B81" s="81"/>
      <c r="C81" s="81"/>
      <c r="D81" s="81"/>
      <c r="E81" s="81"/>
      <c r="F81" s="81"/>
      <c r="H81" s="38"/>
      <c r="I81" s="40"/>
      <c r="J81" s="47"/>
      <c r="K81" s="63"/>
      <c r="L81" s="39"/>
    </row>
    <row r="82" spans="1:23" x14ac:dyDescent="0.3">
      <c r="A82" s="85" t="s">
        <v>132</v>
      </c>
      <c r="B82" s="77"/>
      <c r="C82" s="77"/>
      <c r="D82" s="77"/>
      <c r="E82" s="77"/>
      <c r="F82" s="77"/>
      <c r="G82" s="20"/>
      <c r="H82" s="36"/>
      <c r="I82" s="104">
        <f>(K82-J82)/K82*100%</f>
        <v>0</v>
      </c>
      <c r="J82" s="79">
        <f>SUM(J83:J86)</f>
        <v>3</v>
      </c>
      <c r="K82" s="80">
        <f>SUM(K83:K86)</f>
        <v>3</v>
      </c>
      <c r="L82" s="39"/>
    </row>
    <row r="83" spans="1:23" ht="15" thickBot="1" x14ac:dyDescent="0.35">
      <c r="A83" s="149" t="s">
        <v>133</v>
      </c>
      <c r="B83" s="149"/>
      <c r="C83" s="149"/>
      <c r="D83" s="149"/>
      <c r="E83" s="149"/>
      <c r="F83" s="149"/>
      <c r="G83" s="86" t="s">
        <v>87</v>
      </c>
      <c r="H83" s="44"/>
      <c r="I83" s="82">
        <v>0</v>
      </c>
      <c r="J83" s="102">
        <f>K83-I83*K83</f>
        <v>1</v>
      </c>
      <c r="K83" s="102">
        <v>1</v>
      </c>
      <c r="L83" s="39"/>
    </row>
    <row r="84" spans="1:23" ht="15" thickBot="1" x14ac:dyDescent="0.35">
      <c r="A84" s="149" t="s">
        <v>134</v>
      </c>
      <c r="B84" s="149"/>
      <c r="C84" s="149"/>
      <c r="D84" s="149"/>
      <c r="E84" s="149"/>
      <c r="F84" s="149"/>
      <c r="G84" s="86" t="s">
        <v>87</v>
      </c>
      <c r="H84" s="38"/>
      <c r="I84" s="82">
        <v>0</v>
      </c>
      <c r="J84" s="102">
        <f>K84-I84*K84</f>
        <v>1</v>
      </c>
      <c r="K84" s="102">
        <v>1</v>
      </c>
      <c r="L84" s="39"/>
    </row>
    <row r="85" spans="1:23" ht="15" thickBot="1" x14ac:dyDescent="0.35">
      <c r="A85" s="149" t="s">
        <v>135</v>
      </c>
      <c r="B85" s="149"/>
      <c r="C85" s="149"/>
      <c r="D85" s="149"/>
      <c r="E85" s="149"/>
      <c r="F85" s="149"/>
      <c r="G85" s="86" t="s">
        <v>87</v>
      </c>
      <c r="H85" s="38"/>
      <c r="I85" s="82">
        <v>0</v>
      </c>
      <c r="J85" s="102">
        <f>K85-I85*K85</f>
        <v>1</v>
      </c>
      <c r="K85" s="102">
        <v>1</v>
      </c>
      <c r="L85" s="39"/>
    </row>
    <row r="86" spans="1:23" ht="15" thickBot="1" x14ac:dyDescent="0.35">
      <c r="A86" s="100"/>
      <c r="B86" s="100"/>
      <c r="C86" s="100"/>
      <c r="D86" s="100"/>
      <c r="E86" s="100"/>
      <c r="F86" s="100"/>
      <c r="G86" s="86"/>
      <c r="H86" s="38"/>
      <c r="I86" s="112"/>
      <c r="J86" s="102"/>
      <c r="K86" s="102"/>
      <c r="L86" s="39"/>
    </row>
    <row r="87" spans="1:23" x14ac:dyDescent="0.3">
      <c r="A87" s="85" t="s">
        <v>136</v>
      </c>
      <c r="B87" s="77"/>
      <c r="C87" s="77"/>
      <c r="D87" s="77"/>
      <c r="E87" s="77"/>
      <c r="F87" s="77"/>
      <c r="G87" s="20"/>
      <c r="H87" s="36"/>
      <c r="I87" s="104">
        <f>(K87-J87)/K87*100%</f>
        <v>0</v>
      </c>
      <c r="J87" s="79">
        <f>SUM(J88:J92)</f>
        <v>4</v>
      </c>
      <c r="K87" s="80">
        <f>SUM(K88:K92)</f>
        <v>4</v>
      </c>
      <c r="L87" s="37"/>
      <c r="M87" s="36"/>
      <c r="N87" s="36"/>
      <c r="O87" s="20"/>
      <c r="P87" s="20"/>
      <c r="Q87" s="20"/>
      <c r="R87" s="20"/>
      <c r="S87" s="20"/>
      <c r="T87" s="20"/>
      <c r="U87" s="20"/>
      <c r="V87" s="20"/>
      <c r="W87" s="20"/>
    </row>
    <row r="88" spans="1:23" ht="15" thickBot="1" x14ac:dyDescent="0.35">
      <c r="A88" s="149" t="s">
        <v>137</v>
      </c>
      <c r="B88" s="149"/>
      <c r="C88" s="149"/>
      <c r="D88" s="149"/>
      <c r="E88" s="149"/>
      <c r="F88" s="149"/>
      <c r="G88" s="86" t="s">
        <v>87</v>
      </c>
      <c r="H88" s="44"/>
      <c r="I88" s="82">
        <v>0</v>
      </c>
      <c r="J88" s="102">
        <f>K88-I88*K88</f>
        <v>1</v>
      </c>
      <c r="K88" s="102">
        <v>1</v>
      </c>
      <c r="L88" s="41"/>
      <c r="M88" s="44"/>
      <c r="N88" s="44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5" thickBot="1" x14ac:dyDescent="0.35">
      <c r="A89" s="149" t="s">
        <v>138</v>
      </c>
      <c r="B89" s="149"/>
      <c r="C89" s="149"/>
      <c r="D89" s="149"/>
      <c r="E89" s="149"/>
      <c r="F89" s="149"/>
      <c r="G89" s="86" t="s">
        <v>75</v>
      </c>
      <c r="H89" s="38"/>
      <c r="I89" s="82">
        <v>0</v>
      </c>
      <c r="J89" s="102">
        <f t="shared" ref="J89:J90" si="5">K89-I89*K89</f>
        <v>1</v>
      </c>
      <c r="K89" s="102">
        <v>1</v>
      </c>
      <c r="L89" s="39"/>
    </row>
    <row r="90" spans="1:23" ht="15" thickBot="1" x14ac:dyDescent="0.35">
      <c r="A90" s="149" t="s">
        <v>139</v>
      </c>
      <c r="B90" s="149"/>
      <c r="C90" s="149"/>
      <c r="D90" s="149"/>
      <c r="E90" s="149"/>
      <c r="F90" s="149"/>
      <c r="G90" s="86" t="s">
        <v>75</v>
      </c>
      <c r="H90" s="38"/>
      <c r="I90" s="82">
        <v>0</v>
      </c>
      <c r="J90" s="102">
        <f t="shared" si="5"/>
        <v>1</v>
      </c>
      <c r="K90" s="102">
        <v>1</v>
      </c>
      <c r="L90" s="39"/>
    </row>
    <row r="91" spans="1:23" ht="15" thickBot="1" x14ac:dyDescent="0.35">
      <c r="A91" s="149" t="s">
        <v>140</v>
      </c>
      <c r="B91" s="149"/>
      <c r="C91" s="149"/>
      <c r="D91" s="149"/>
      <c r="E91" s="149"/>
      <c r="F91" s="149"/>
      <c r="G91" s="86" t="s">
        <v>141</v>
      </c>
      <c r="H91" s="38"/>
      <c r="I91" s="82">
        <v>0</v>
      </c>
      <c r="J91" s="102">
        <f>K91-I91*K91</f>
        <v>1</v>
      </c>
      <c r="K91" s="102">
        <v>1</v>
      </c>
      <c r="L91" s="39"/>
    </row>
    <row r="92" spans="1:23" ht="15" thickBot="1" x14ac:dyDescent="0.35">
      <c r="A92" s="100"/>
      <c r="B92" s="100"/>
      <c r="C92" s="100"/>
      <c r="D92" s="100"/>
      <c r="E92" s="100"/>
      <c r="F92" s="81"/>
      <c r="H92" s="38"/>
      <c r="I92" s="38"/>
      <c r="J92" s="38"/>
      <c r="K92" s="38"/>
      <c r="L92" s="39"/>
    </row>
    <row r="93" spans="1:23" x14ac:dyDescent="0.3">
      <c r="A93" s="85" t="s">
        <v>142</v>
      </c>
      <c r="B93" s="77"/>
      <c r="C93" s="77"/>
      <c r="D93" s="77"/>
      <c r="E93" s="77"/>
      <c r="F93" s="77"/>
      <c r="G93" s="20"/>
      <c r="H93" s="36"/>
      <c r="I93" s="104">
        <f>(K93-J93)/K93*100%</f>
        <v>0</v>
      </c>
      <c r="J93" s="79">
        <f>SUM(J94:J98)</f>
        <v>4</v>
      </c>
      <c r="K93" s="80">
        <f>SUM(K94:K98)</f>
        <v>4</v>
      </c>
      <c r="L93" s="37"/>
      <c r="M93" s="36"/>
      <c r="N93" s="36"/>
      <c r="O93" s="20"/>
      <c r="P93" s="20"/>
      <c r="Q93" s="20"/>
      <c r="R93" s="20"/>
      <c r="S93" s="20"/>
      <c r="T93" s="20"/>
      <c r="U93" s="20"/>
      <c r="V93" s="20"/>
      <c r="W93" s="20"/>
    </row>
    <row r="94" spans="1:23" ht="15" thickBot="1" x14ac:dyDescent="0.35">
      <c r="A94" s="149" t="s">
        <v>143</v>
      </c>
      <c r="B94" s="149"/>
      <c r="C94" s="149"/>
      <c r="D94" s="149"/>
      <c r="E94" s="149"/>
      <c r="F94" s="149"/>
      <c r="G94" s="86" t="s">
        <v>87</v>
      </c>
      <c r="H94" s="44"/>
      <c r="I94" s="82">
        <v>0</v>
      </c>
      <c r="J94" s="102">
        <f>K94-I94*K94</f>
        <v>1</v>
      </c>
      <c r="K94" s="102">
        <v>1</v>
      </c>
      <c r="L94" s="41"/>
      <c r="M94" s="44"/>
      <c r="N94" s="44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15" thickBot="1" x14ac:dyDescent="0.35">
      <c r="A95" s="149" t="s">
        <v>138</v>
      </c>
      <c r="B95" s="149"/>
      <c r="C95" s="149"/>
      <c r="D95" s="149"/>
      <c r="E95" s="149"/>
      <c r="F95" s="149"/>
      <c r="G95" s="86" t="s">
        <v>75</v>
      </c>
      <c r="H95" s="38"/>
      <c r="I95" s="82">
        <v>0</v>
      </c>
      <c r="J95" s="102">
        <f t="shared" ref="J95:J96" si="6">K95-I95*K95</f>
        <v>1</v>
      </c>
      <c r="K95" s="102">
        <v>1</v>
      </c>
      <c r="L95" s="39"/>
    </row>
    <row r="96" spans="1:23" ht="15" thickBot="1" x14ac:dyDescent="0.35">
      <c r="A96" s="149" t="s">
        <v>139</v>
      </c>
      <c r="B96" s="149"/>
      <c r="C96" s="149"/>
      <c r="D96" s="149"/>
      <c r="E96" s="149"/>
      <c r="F96" s="149"/>
      <c r="G96" s="86" t="s">
        <v>75</v>
      </c>
      <c r="H96" s="38"/>
      <c r="I96" s="82">
        <v>0</v>
      </c>
      <c r="J96" s="102">
        <f t="shared" si="6"/>
        <v>1</v>
      </c>
      <c r="K96" s="102">
        <v>1</v>
      </c>
      <c r="L96" s="39"/>
    </row>
    <row r="97" spans="1:23" ht="15" thickBot="1" x14ac:dyDescent="0.35">
      <c r="A97" s="149" t="s">
        <v>140</v>
      </c>
      <c r="B97" s="149"/>
      <c r="C97" s="149"/>
      <c r="D97" s="149"/>
      <c r="E97" s="149"/>
      <c r="F97" s="149"/>
      <c r="G97" s="86" t="s">
        <v>141</v>
      </c>
      <c r="H97" s="38"/>
      <c r="I97" s="82">
        <v>0</v>
      </c>
      <c r="J97" s="102">
        <f>K97-I97*K97</f>
        <v>1</v>
      </c>
      <c r="K97" s="102">
        <v>1</v>
      </c>
      <c r="L97" s="39"/>
    </row>
    <row r="98" spans="1:23" ht="15" thickBot="1" x14ac:dyDescent="0.35">
      <c r="A98" s="100"/>
      <c r="B98" s="100"/>
      <c r="C98" s="100"/>
      <c r="D98" s="100"/>
      <c r="E98" s="100"/>
      <c r="F98" s="81"/>
      <c r="H98" s="38"/>
      <c r="I98" s="38"/>
      <c r="J98" s="38"/>
      <c r="K98" s="38"/>
      <c r="L98" s="39"/>
    </row>
    <row r="99" spans="1:23" x14ac:dyDescent="0.3">
      <c r="A99" s="103" t="s">
        <v>58</v>
      </c>
      <c r="B99" s="103"/>
      <c r="C99" s="103"/>
      <c r="D99" s="103"/>
      <c r="E99" s="103"/>
      <c r="F99" s="103"/>
      <c r="G99" s="50"/>
      <c r="H99" s="51"/>
      <c r="I99" s="104">
        <f>(K99-J99)/K99*100%</f>
        <v>0</v>
      </c>
      <c r="J99" s="79">
        <f>SUM(J100:J108)</f>
        <v>6</v>
      </c>
      <c r="K99" s="80">
        <f>SUM(K100:K108)</f>
        <v>6</v>
      </c>
      <c r="L99" s="50"/>
      <c r="M99" s="51"/>
      <c r="N99" s="51"/>
      <c r="O99" s="51"/>
      <c r="P99" s="50"/>
      <c r="Q99" s="51"/>
      <c r="R99" s="51"/>
      <c r="S99" s="51"/>
      <c r="T99" s="51"/>
      <c r="U99" s="51"/>
      <c r="V99" s="51"/>
      <c r="W99" s="51"/>
    </row>
    <row r="100" spans="1:23" ht="15" thickBot="1" x14ac:dyDescent="0.35">
      <c r="A100" s="149" t="s">
        <v>144</v>
      </c>
      <c r="B100" s="149"/>
      <c r="C100" s="149"/>
      <c r="D100" s="149"/>
      <c r="E100" s="149"/>
      <c r="F100" s="149"/>
      <c r="G100" s="86" t="s">
        <v>75</v>
      </c>
      <c r="H100" s="38"/>
      <c r="I100" s="82">
        <v>0</v>
      </c>
      <c r="J100" s="102">
        <f>K100-I100*K100</f>
        <v>1</v>
      </c>
      <c r="K100" s="102">
        <v>1</v>
      </c>
      <c r="L100" s="39"/>
    </row>
    <row r="101" spans="1:23" ht="15" thickBot="1" x14ac:dyDescent="0.35">
      <c r="A101" s="149" t="s">
        <v>145</v>
      </c>
      <c r="B101" s="149"/>
      <c r="C101" s="149"/>
      <c r="D101" s="149"/>
      <c r="E101" s="149"/>
      <c r="F101" s="149"/>
      <c r="G101" s="86" t="s">
        <v>75</v>
      </c>
      <c r="H101" s="38"/>
      <c r="I101" s="82">
        <v>0</v>
      </c>
      <c r="J101" s="102">
        <f t="shared" ref="J101:J102" si="7">K101-I101*K101</f>
        <v>1</v>
      </c>
      <c r="K101" s="102">
        <v>1</v>
      </c>
      <c r="L101" s="39"/>
    </row>
    <row r="102" spans="1:23" ht="15" thickBot="1" x14ac:dyDescent="0.35">
      <c r="A102" s="149" t="s">
        <v>146</v>
      </c>
      <c r="B102" s="149"/>
      <c r="C102" s="149"/>
      <c r="D102" s="149"/>
      <c r="E102" s="149"/>
      <c r="F102" s="149"/>
      <c r="G102" s="86" t="s">
        <v>87</v>
      </c>
      <c r="H102" s="38"/>
      <c r="I102" s="82">
        <v>0</v>
      </c>
      <c r="J102" s="102">
        <f t="shared" si="7"/>
        <v>1</v>
      </c>
      <c r="K102" s="102">
        <v>1</v>
      </c>
      <c r="L102" s="39"/>
    </row>
    <row r="103" spans="1:23" ht="15" thickBot="1" x14ac:dyDescent="0.35">
      <c r="A103" s="149" t="s">
        <v>147</v>
      </c>
      <c r="B103" s="149"/>
      <c r="C103" s="149"/>
      <c r="D103" s="149"/>
      <c r="E103" s="149"/>
      <c r="F103" s="149"/>
      <c r="G103" s="86" t="s">
        <v>141</v>
      </c>
      <c r="H103" s="38"/>
      <c r="I103" s="82">
        <v>0</v>
      </c>
      <c r="J103" s="102">
        <f>K103-I103*K103</f>
        <v>1</v>
      </c>
      <c r="K103" s="102">
        <v>1</v>
      </c>
      <c r="L103" s="39"/>
    </row>
    <row r="104" spans="1:23" ht="15" thickBot="1" x14ac:dyDescent="0.35">
      <c r="A104" s="150" t="s">
        <v>148</v>
      </c>
      <c r="B104" s="150"/>
      <c r="C104" s="150"/>
      <c r="D104" s="150"/>
      <c r="E104" s="150"/>
      <c r="F104" s="150"/>
      <c r="G104" s="86" t="s">
        <v>141</v>
      </c>
      <c r="H104" s="38"/>
      <c r="I104" s="82">
        <v>0</v>
      </c>
      <c r="J104" s="102">
        <f>K104-I104*K104</f>
        <v>1</v>
      </c>
      <c r="K104" s="102">
        <v>1</v>
      </c>
      <c r="L104" s="39"/>
    </row>
    <row r="105" spans="1:23" x14ac:dyDescent="0.3">
      <c r="A105" s="109"/>
      <c r="B105" s="109"/>
      <c r="C105" s="109"/>
      <c r="D105" s="109"/>
      <c r="E105" s="109"/>
      <c r="F105" s="109"/>
      <c r="H105" s="38"/>
      <c r="I105" s="38"/>
      <c r="J105" s="38"/>
      <c r="K105" s="38"/>
      <c r="L105" s="38"/>
    </row>
    <row r="106" spans="1:23" ht="15" thickBot="1" x14ac:dyDescent="0.35">
      <c r="A106" s="151" t="s">
        <v>149</v>
      </c>
      <c r="B106" s="151"/>
      <c r="C106" s="151"/>
      <c r="D106" s="151"/>
      <c r="E106" s="151"/>
      <c r="F106" s="151"/>
      <c r="G106" s="86" t="s">
        <v>141</v>
      </c>
      <c r="H106" s="38"/>
      <c r="I106" s="82">
        <v>0</v>
      </c>
      <c r="J106" s="102">
        <f>K106-I106*K106</f>
        <v>1</v>
      </c>
      <c r="K106" s="102">
        <v>1</v>
      </c>
      <c r="L106" s="39"/>
    </row>
    <row r="107" spans="1:23" ht="15" thickBot="1" x14ac:dyDescent="0.35">
      <c r="A107" s="81"/>
      <c r="B107" s="81"/>
      <c r="C107" s="81"/>
      <c r="D107" s="81"/>
      <c r="E107" s="81"/>
      <c r="F107" s="81"/>
      <c r="J107" s="39"/>
      <c r="K107" s="63"/>
    </row>
    <row r="108" spans="1:23" ht="15" thickBot="1" x14ac:dyDescent="0.35">
      <c r="A108" s="110"/>
      <c r="B108" s="110"/>
      <c r="C108" s="110"/>
      <c r="D108" s="110"/>
      <c r="E108" s="81"/>
      <c r="F108" s="81"/>
      <c r="H108" s="38"/>
      <c r="I108" s="48"/>
      <c r="J108" s="39"/>
      <c r="K108" s="63"/>
      <c r="L108" s="39"/>
    </row>
    <row r="109" spans="1:23" x14ac:dyDescent="0.3">
      <c r="A109" s="20" t="s">
        <v>150</v>
      </c>
      <c r="B109" s="77"/>
      <c r="C109" s="77"/>
      <c r="D109" s="77"/>
      <c r="E109" s="77"/>
      <c r="F109" s="77"/>
      <c r="G109" s="20"/>
      <c r="H109" s="36"/>
      <c r="I109" s="104">
        <f>(K109-J109)/K109*100%</f>
        <v>0</v>
      </c>
      <c r="J109" s="79">
        <f>SUM(J110:J118)</f>
        <v>8</v>
      </c>
      <c r="K109" s="80">
        <f>SUM(K110:K118)</f>
        <v>8</v>
      </c>
      <c r="L109" s="37"/>
      <c r="M109" s="36"/>
      <c r="N109" s="36"/>
      <c r="O109" s="20"/>
      <c r="P109" s="20"/>
      <c r="Q109" s="20"/>
      <c r="R109" s="20"/>
      <c r="S109" s="20"/>
      <c r="T109" s="20"/>
      <c r="U109" s="20"/>
      <c r="V109" s="20"/>
      <c r="W109" s="20"/>
    </row>
    <row r="110" spans="1:23" ht="15" thickBot="1" x14ac:dyDescent="0.35">
      <c r="A110" s="152" t="s">
        <v>151</v>
      </c>
      <c r="B110" s="152"/>
      <c r="C110" s="152"/>
      <c r="D110" s="152"/>
      <c r="E110" s="152"/>
      <c r="F110" s="152"/>
      <c r="G110" s="86" t="s">
        <v>75</v>
      </c>
      <c r="H110" s="38"/>
      <c r="I110" s="82">
        <v>0</v>
      </c>
      <c r="J110" s="102">
        <f>K110-I110*K110</f>
        <v>1</v>
      </c>
      <c r="K110" s="102">
        <v>1</v>
      </c>
      <c r="L110" s="39"/>
    </row>
    <row r="111" spans="1:23" ht="15" thickBot="1" x14ac:dyDescent="0.35">
      <c r="A111" s="149" t="s">
        <v>152</v>
      </c>
      <c r="B111" s="149"/>
      <c r="C111" s="149"/>
      <c r="D111" s="149"/>
      <c r="E111" s="149"/>
      <c r="F111" s="149"/>
      <c r="G111" s="86" t="s">
        <v>75</v>
      </c>
      <c r="H111" s="38"/>
      <c r="I111" s="82">
        <v>0</v>
      </c>
      <c r="J111" s="102">
        <f t="shared" ref="J111:J112" si="8">K111-I111*K111</f>
        <v>1</v>
      </c>
      <c r="K111" s="102">
        <v>1</v>
      </c>
      <c r="L111" s="39"/>
    </row>
    <row r="112" spans="1:23" ht="15" thickBot="1" x14ac:dyDescent="0.35">
      <c r="A112" s="149" t="s">
        <v>153</v>
      </c>
      <c r="B112" s="149"/>
      <c r="C112" s="149"/>
      <c r="D112" s="149"/>
      <c r="E112" s="149"/>
      <c r="F112" s="149"/>
      <c r="G112" s="86" t="s">
        <v>75</v>
      </c>
      <c r="H112" s="38"/>
      <c r="I112" s="82">
        <v>0</v>
      </c>
      <c r="J112" s="102">
        <f t="shared" si="8"/>
        <v>1</v>
      </c>
      <c r="K112" s="102">
        <v>1</v>
      </c>
      <c r="L112" s="39"/>
    </row>
    <row r="113" spans="1:23" ht="15" thickBot="1" x14ac:dyDescent="0.35">
      <c r="A113" s="149" t="s">
        <v>154</v>
      </c>
      <c r="B113" s="149"/>
      <c r="C113" s="149"/>
      <c r="D113" s="149"/>
      <c r="E113" s="149"/>
      <c r="F113" s="149"/>
      <c r="G113" s="86" t="s">
        <v>87</v>
      </c>
      <c r="H113" s="38"/>
      <c r="I113" s="82">
        <v>0</v>
      </c>
      <c r="J113" s="102">
        <f>K113-I113*K113</f>
        <v>1</v>
      </c>
      <c r="K113" s="102">
        <v>1</v>
      </c>
      <c r="L113" s="39"/>
    </row>
    <row r="114" spans="1:23" ht="15" thickBot="1" x14ac:dyDescent="0.35">
      <c r="A114" s="149" t="s">
        <v>155</v>
      </c>
      <c r="B114" s="149"/>
      <c r="C114" s="149"/>
      <c r="D114" s="149"/>
      <c r="E114" s="149"/>
      <c r="F114" s="149"/>
      <c r="G114" s="86" t="s">
        <v>87</v>
      </c>
      <c r="H114" s="38"/>
      <c r="I114" s="82">
        <v>0</v>
      </c>
      <c r="J114" s="102">
        <f>K114-I114*K114</f>
        <v>1</v>
      </c>
      <c r="K114" s="102">
        <v>1</v>
      </c>
      <c r="L114" s="39"/>
    </row>
    <row r="115" spans="1:23" ht="15" thickBot="1" x14ac:dyDescent="0.35">
      <c r="A115" s="149" t="s">
        <v>156</v>
      </c>
      <c r="B115" s="149"/>
      <c r="C115" s="149"/>
      <c r="D115" s="149"/>
      <c r="E115" s="149"/>
      <c r="F115" s="149"/>
      <c r="G115" s="86" t="s">
        <v>87</v>
      </c>
      <c r="H115" s="38"/>
      <c r="I115" s="82">
        <v>0</v>
      </c>
      <c r="J115" s="102">
        <f>K115-I115*K115</f>
        <v>1</v>
      </c>
      <c r="K115" s="102">
        <v>1</v>
      </c>
      <c r="L115" s="39"/>
    </row>
    <row r="116" spans="1:23" ht="15" thickBot="1" x14ac:dyDescent="0.35">
      <c r="A116" s="149" t="s">
        <v>157</v>
      </c>
      <c r="B116" s="149"/>
      <c r="C116" s="149"/>
      <c r="D116" s="149"/>
      <c r="E116" s="149"/>
      <c r="F116" s="149"/>
      <c r="G116" s="86" t="s">
        <v>127</v>
      </c>
      <c r="H116" s="38"/>
      <c r="I116" s="82">
        <v>0</v>
      </c>
      <c r="J116" s="102">
        <f t="shared" ref="J116:J117" si="9">K116-I116*K116</f>
        <v>1</v>
      </c>
      <c r="K116" s="102">
        <v>1</v>
      </c>
      <c r="L116" s="39"/>
    </row>
    <row r="117" spans="1:23" ht="15" thickBot="1" x14ac:dyDescent="0.35">
      <c r="A117" s="149" t="s">
        <v>158</v>
      </c>
      <c r="B117" s="149"/>
      <c r="C117" s="149"/>
      <c r="D117" s="149"/>
      <c r="E117" s="149"/>
      <c r="F117" s="149"/>
      <c r="G117" s="86" t="s">
        <v>159</v>
      </c>
      <c r="H117" s="38"/>
      <c r="I117" s="82">
        <v>0</v>
      </c>
      <c r="J117" s="102">
        <f t="shared" si="9"/>
        <v>1</v>
      </c>
      <c r="K117" s="102">
        <v>1</v>
      </c>
      <c r="L117" s="39"/>
    </row>
    <row r="118" spans="1:23" ht="15" thickBot="1" x14ac:dyDescent="0.35">
      <c r="A118" s="148"/>
      <c r="B118" s="148"/>
      <c r="C118" s="148"/>
      <c r="D118" s="148"/>
      <c r="E118" s="148"/>
      <c r="F118" s="148"/>
      <c r="H118" s="38"/>
      <c r="I118" s="48"/>
      <c r="J118" s="39"/>
      <c r="K118" s="63"/>
      <c r="L118" s="39"/>
    </row>
    <row r="119" spans="1:23" x14ac:dyDescent="0.3">
      <c r="A119" s="20" t="s">
        <v>160</v>
      </c>
      <c r="B119" s="77"/>
      <c r="C119" s="77"/>
      <c r="D119" s="77"/>
      <c r="E119" s="77"/>
      <c r="F119" s="77"/>
      <c r="G119" s="20"/>
      <c r="H119" s="36"/>
      <c r="I119" s="104">
        <f>(K119-J119)/K119*100%</f>
        <v>0</v>
      </c>
      <c r="J119" s="79">
        <f>SUM(J120:J129)</f>
        <v>8</v>
      </c>
      <c r="K119" s="80">
        <f>SUM(K120:K129)</f>
        <v>8</v>
      </c>
      <c r="L119" s="37"/>
      <c r="M119" s="36"/>
      <c r="N119" s="36"/>
      <c r="O119" s="20"/>
      <c r="P119" s="20"/>
      <c r="Q119" s="20"/>
      <c r="R119" s="20"/>
      <c r="S119" s="20"/>
      <c r="T119" s="20"/>
      <c r="U119" s="20"/>
      <c r="V119" s="20"/>
      <c r="W119" s="20"/>
    </row>
    <row r="120" spans="1:23" ht="15" thickBot="1" x14ac:dyDescent="0.35">
      <c r="A120" s="149" t="s">
        <v>151</v>
      </c>
      <c r="B120" s="149"/>
      <c r="C120" s="149"/>
      <c r="D120" s="149"/>
      <c r="E120" s="149"/>
      <c r="F120" s="149"/>
      <c r="G120" s="86" t="s">
        <v>75</v>
      </c>
      <c r="H120" s="38"/>
      <c r="I120" s="82">
        <v>0</v>
      </c>
      <c r="J120" s="102">
        <f>K120-I120*K120</f>
        <v>1</v>
      </c>
      <c r="K120" s="102">
        <v>1</v>
      </c>
      <c r="L120" s="39"/>
    </row>
    <row r="121" spans="1:23" ht="15" thickBot="1" x14ac:dyDescent="0.35">
      <c r="A121" s="149" t="s">
        <v>153</v>
      </c>
      <c r="B121" s="149"/>
      <c r="C121" s="149"/>
      <c r="D121" s="149"/>
      <c r="E121" s="149"/>
      <c r="F121" s="149"/>
      <c r="G121" s="86" t="s">
        <v>75</v>
      </c>
      <c r="H121" s="38"/>
      <c r="I121" s="82">
        <v>0</v>
      </c>
      <c r="J121" s="102">
        <f t="shared" ref="J121:J122" si="10">K121-I121*K121</f>
        <v>1</v>
      </c>
      <c r="K121" s="102">
        <v>1</v>
      </c>
      <c r="L121" s="39"/>
    </row>
    <row r="122" spans="1:23" ht="15" thickBot="1" x14ac:dyDescent="0.35">
      <c r="A122" s="149" t="s">
        <v>161</v>
      </c>
      <c r="B122" s="149"/>
      <c r="C122" s="149"/>
      <c r="D122" s="149"/>
      <c r="E122" s="149"/>
      <c r="F122" s="149"/>
      <c r="G122" s="86" t="s">
        <v>75</v>
      </c>
      <c r="H122" s="38"/>
      <c r="I122" s="82">
        <v>0</v>
      </c>
      <c r="J122" s="102">
        <f t="shared" si="10"/>
        <v>1</v>
      </c>
      <c r="K122" s="102">
        <v>1</v>
      </c>
      <c r="L122" s="39"/>
    </row>
    <row r="123" spans="1:23" ht="15" thickBot="1" x14ac:dyDescent="0.35">
      <c r="A123" s="149" t="s">
        <v>162</v>
      </c>
      <c r="B123" s="149"/>
      <c r="C123" s="149"/>
      <c r="D123" s="149"/>
      <c r="E123" s="149"/>
      <c r="F123" s="149"/>
      <c r="G123" s="86" t="s">
        <v>75</v>
      </c>
      <c r="H123" s="38"/>
      <c r="I123" s="82">
        <v>0</v>
      </c>
      <c r="J123" s="102">
        <f>K123-I123*K123</f>
        <v>1</v>
      </c>
      <c r="K123" s="102">
        <v>1</v>
      </c>
      <c r="L123" s="39"/>
    </row>
    <row r="124" spans="1:23" ht="15" thickBot="1" x14ac:dyDescent="0.35">
      <c r="A124" s="149" t="s">
        <v>163</v>
      </c>
      <c r="B124" s="149"/>
      <c r="C124" s="149"/>
      <c r="D124" s="149"/>
      <c r="E124" s="149"/>
      <c r="F124" s="149"/>
      <c r="G124" s="86" t="s">
        <v>164</v>
      </c>
      <c r="H124" s="38"/>
      <c r="I124" s="82">
        <v>0</v>
      </c>
      <c r="J124" s="102">
        <f>K124-I124*K124</f>
        <v>1</v>
      </c>
      <c r="K124" s="102">
        <v>1</v>
      </c>
      <c r="L124" s="39"/>
    </row>
    <row r="125" spans="1:23" ht="15" thickBot="1" x14ac:dyDescent="0.35">
      <c r="A125" s="149" t="s">
        <v>165</v>
      </c>
      <c r="B125" s="149"/>
      <c r="C125" s="149"/>
      <c r="D125" s="149"/>
      <c r="E125" s="149"/>
      <c r="F125" s="149"/>
      <c r="G125" s="86" t="s">
        <v>75</v>
      </c>
      <c r="H125" s="38"/>
      <c r="I125" s="82">
        <v>0</v>
      </c>
      <c r="J125" s="102">
        <f>K125-I125*K125</f>
        <v>1</v>
      </c>
      <c r="K125" s="102">
        <v>1</v>
      </c>
      <c r="L125" s="39"/>
    </row>
    <row r="126" spans="1:23" x14ac:dyDescent="0.3">
      <c r="A126" s="148"/>
      <c r="B126" s="148"/>
      <c r="C126" s="148"/>
      <c r="D126" s="148"/>
      <c r="E126" s="148"/>
      <c r="F126" s="148"/>
      <c r="G126" s="86"/>
      <c r="H126" s="38"/>
      <c r="I126" s="44"/>
      <c r="J126" s="44"/>
      <c r="K126" s="44"/>
      <c r="L126" s="39"/>
    </row>
    <row r="127" spans="1:23" ht="15" thickBot="1" x14ac:dyDescent="0.35">
      <c r="A127" s="149" t="s">
        <v>157</v>
      </c>
      <c r="B127" s="149"/>
      <c r="C127" s="149"/>
      <c r="D127" s="149"/>
      <c r="E127" s="149"/>
      <c r="F127" s="149"/>
      <c r="G127" s="86" t="s">
        <v>127</v>
      </c>
      <c r="H127" s="38"/>
      <c r="I127" s="82">
        <v>0</v>
      </c>
      <c r="J127" s="102">
        <f t="shared" ref="J127:J128" si="11">K127-I127*K127</f>
        <v>1</v>
      </c>
      <c r="K127" s="102">
        <v>1</v>
      </c>
      <c r="L127" s="39"/>
    </row>
    <row r="128" spans="1:23" ht="15" thickBot="1" x14ac:dyDescent="0.35">
      <c r="A128" s="149" t="s">
        <v>158</v>
      </c>
      <c r="B128" s="149"/>
      <c r="C128" s="149"/>
      <c r="D128" s="149"/>
      <c r="E128" s="149"/>
      <c r="F128" s="149"/>
      <c r="G128" s="86" t="s">
        <v>159</v>
      </c>
      <c r="H128" s="38"/>
      <c r="I128" s="82">
        <v>0</v>
      </c>
      <c r="J128" s="102">
        <f t="shared" si="11"/>
        <v>1</v>
      </c>
      <c r="K128" s="102">
        <v>1</v>
      </c>
      <c r="L128" s="39"/>
    </row>
    <row r="129" spans="1:23" ht="15" thickBot="1" x14ac:dyDescent="0.35">
      <c r="A129" s="148"/>
      <c r="B129" s="148"/>
      <c r="C129" s="148"/>
      <c r="D129" s="148"/>
      <c r="E129" s="148"/>
      <c r="F129" s="148"/>
      <c r="H129" s="38"/>
      <c r="I129" s="48"/>
      <c r="J129" s="39"/>
      <c r="K129" s="63"/>
      <c r="L129" s="39"/>
    </row>
    <row r="130" spans="1:23" x14ac:dyDescent="0.3">
      <c r="A130" s="20" t="s">
        <v>166</v>
      </c>
      <c r="B130" s="77"/>
      <c r="C130" s="77"/>
      <c r="D130" s="77"/>
      <c r="E130" s="77"/>
      <c r="F130" s="77"/>
      <c r="G130" s="20"/>
      <c r="H130" s="36"/>
      <c r="I130" s="78">
        <f>(K130-J130)/K130*100%</f>
        <v>0</v>
      </c>
      <c r="J130" s="79">
        <f>SUM(J131:J137)</f>
        <v>5</v>
      </c>
      <c r="K130" s="80">
        <f>SUM(K131:K137)</f>
        <v>5</v>
      </c>
      <c r="L130" s="37"/>
      <c r="M130" s="36"/>
      <c r="N130" s="36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 ht="15" thickBot="1" x14ac:dyDescent="0.35">
      <c r="A131" s="146" t="s">
        <v>167</v>
      </c>
      <c r="B131" s="146"/>
      <c r="C131" s="146"/>
      <c r="D131" s="146"/>
      <c r="E131" s="146"/>
      <c r="F131" s="146"/>
      <c r="G131" s="86" t="s">
        <v>75</v>
      </c>
      <c r="H131" s="38"/>
      <c r="I131" s="82">
        <v>0</v>
      </c>
      <c r="J131" s="107">
        <v>1</v>
      </c>
      <c r="K131" s="65">
        <v>1</v>
      </c>
      <c r="L131" s="39"/>
    </row>
    <row r="132" spans="1:23" ht="15" thickBot="1" x14ac:dyDescent="0.35">
      <c r="A132" s="147" t="s">
        <v>168</v>
      </c>
      <c r="B132" s="147"/>
      <c r="C132" s="147"/>
      <c r="D132" s="147"/>
      <c r="E132" s="147"/>
      <c r="F132" s="147"/>
      <c r="G132" t="s">
        <v>169</v>
      </c>
      <c r="H132" s="38"/>
      <c r="I132" s="82">
        <v>0</v>
      </c>
      <c r="J132" s="107">
        <v>1</v>
      </c>
      <c r="K132" s="65">
        <v>1</v>
      </c>
      <c r="L132" s="39"/>
    </row>
    <row r="133" spans="1:23" ht="15" thickBot="1" x14ac:dyDescent="0.35">
      <c r="A133" s="146" t="s">
        <v>170</v>
      </c>
      <c r="B133" s="146"/>
      <c r="C133" s="146"/>
      <c r="D133" s="146"/>
      <c r="E133" s="146"/>
      <c r="F133" s="146"/>
      <c r="G133" s="86" t="s">
        <v>75</v>
      </c>
      <c r="H133" s="38"/>
      <c r="I133" s="82">
        <v>0</v>
      </c>
      <c r="J133" s="107">
        <v>1</v>
      </c>
      <c r="K133" s="65">
        <v>1</v>
      </c>
      <c r="L133" s="39"/>
    </row>
    <row r="134" spans="1:23" ht="15" thickBot="1" x14ac:dyDescent="0.35">
      <c r="A134" s="146" t="s">
        <v>171</v>
      </c>
      <c r="B134" s="146"/>
      <c r="C134" s="146"/>
      <c r="D134" s="146"/>
      <c r="E134" s="146"/>
      <c r="F134" s="146"/>
      <c r="G134" s="86" t="s">
        <v>75</v>
      </c>
      <c r="H134" s="38"/>
      <c r="I134" s="82">
        <v>0</v>
      </c>
      <c r="J134" s="107">
        <v>1</v>
      </c>
      <c r="K134" s="65">
        <v>1</v>
      </c>
      <c r="L134" s="39"/>
    </row>
    <row r="135" spans="1:23" ht="15" thickBot="1" x14ac:dyDescent="0.35">
      <c r="A135" s="115" t="s">
        <v>172</v>
      </c>
      <c r="B135" s="115"/>
      <c r="C135" s="115"/>
      <c r="D135" s="115"/>
      <c r="E135" s="115"/>
      <c r="F135" s="115"/>
      <c r="G135" s="86"/>
      <c r="H135" s="38"/>
      <c r="I135" s="82">
        <v>0</v>
      </c>
      <c r="J135" s="107">
        <v>1</v>
      </c>
      <c r="K135" s="65">
        <v>1</v>
      </c>
      <c r="L135" s="39"/>
    </row>
    <row r="136" spans="1:23" ht="15" thickBot="1" x14ac:dyDescent="0.35">
      <c r="A136" s="115" t="s">
        <v>173</v>
      </c>
      <c r="B136" s="115"/>
      <c r="C136" s="115"/>
      <c r="D136" s="115"/>
      <c r="E136" s="115"/>
      <c r="F136" s="115"/>
      <c r="G136" s="86"/>
      <c r="H136" s="38"/>
      <c r="I136" s="112"/>
      <c r="J136" s="107"/>
      <c r="K136" s="65"/>
      <c r="L136" s="39"/>
    </row>
    <row r="137" spans="1:23" ht="15" thickBot="1" x14ac:dyDescent="0.35">
      <c r="H137" s="38"/>
      <c r="I137" s="48"/>
      <c r="J137" s="39"/>
      <c r="K137" s="63"/>
      <c r="L137" s="39"/>
    </row>
    <row r="138" spans="1:23" x14ac:dyDescent="0.3">
      <c r="A138" s="20" t="s">
        <v>174</v>
      </c>
      <c r="B138" s="77"/>
      <c r="C138" s="77"/>
      <c r="D138" s="77"/>
      <c r="E138" s="77"/>
      <c r="F138" s="77"/>
      <c r="G138" s="20"/>
      <c r="H138" s="36"/>
      <c r="I138" s="78">
        <f>(K138-J138)/K138*100%</f>
        <v>0</v>
      </c>
      <c r="J138" s="79">
        <f>SUM(J139:J143)</f>
        <v>5</v>
      </c>
      <c r="K138" s="80">
        <f>SUM(K139:K143)</f>
        <v>5</v>
      </c>
      <c r="L138" s="37"/>
      <c r="M138" s="36"/>
      <c r="N138" s="36"/>
      <c r="O138" s="20"/>
      <c r="P138" s="20"/>
      <c r="Q138" s="20"/>
      <c r="R138" s="20"/>
      <c r="S138" s="20"/>
      <c r="T138" s="20"/>
      <c r="U138" s="20"/>
      <c r="V138" s="20"/>
      <c r="W138" s="20"/>
    </row>
    <row r="139" spans="1:23" ht="15" thickBot="1" x14ac:dyDescent="0.35">
      <c r="A139" s="145" t="s">
        <v>175</v>
      </c>
      <c r="B139" s="145"/>
      <c r="C139" s="145"/>
      <c r="D139" s="145"/>
      <c r="E139" s="145"/>
      <c r="F139" s="145"/>
      <c r="G139" s="86" t="s">
        <v>174</v>
      </c>
      <c r="H139" s="38"/>
      <c r="I139" s="82">
        <v>0</v>
      </c>
      <c r="J139" s="107">
        <v>1</v>
      </c>
      <c r="K139" s="65">
        <v>1</v>
      </c>
      <c r="L139" s="39"/>
    </row>
    <row r="140" spans="1:23" ht="15" thickBot="1" x14ac:dyDescent="0.35">
      <c r="A140" s="145" t="s">
        <v>176</v>
      </c>
      <c r="B140" s="145"/>
      <c r="C140" s="145"/>
      <c r="D140" s="145"/>
      <c r="E140" s="145"/>
      <c r="F140" s="145"/>
      <c r="G140" s="86" t="s">
        <v>174</v>
      </c>
      <c r="H140" s="38"/>
      <c r="I140" s="82">
        <v>0</v>
      </c>
      <c r="J140" s="107">
        <v>1</v>
      </c>
      <c r="K140" s="65">
        <v>1</v>
      </c>
      <c r="L140" s="39"/>
    </row>
    <row r="141" spans="1:23" ht="15" thickBot="1" x14ac:dyDescent="0.35">
      <c r="A141" s="145" t="s">
        <v>177</v>
      </c>
      <c r="B141" s="145"/>
      <c r="C141" s="145"/>
      <c r="D141" s="145"/>
      <c r="E141" s="145"/>
      <c r="F141" s="145"/>
      <c r="G141" s="86" t="s">
        <v>174</v>
      </c>
      <c r="H141" s="38"/>
      <c r="I141" s="82">
        <v>0</v>
      </c>
      <c r="J141" s="107">
        <v>1</v>
      </c>
      <c r="K141" s="65">
        <v>1</v>
      </c>
      <c r="L141" s="39"/>
    </row>
    <row r="142" spans="1:23" ht="15" thickBot="1" x14ac:dyDescent="0.35">
      <c r="A142" s="145" t="s">
        <v>178</v>
      </c>
      <c r="B142" s="145"/>
      <c r="C142" s="145"/>
      <c r="D142" s="145"/>
      <c r="E142" s="145"/>
      <c r="F142" s="145"/>
      <c r="G142" s="86" t="s">
        <v>174</v>
      </c>
      <c r="H142" s="38"/>
      <c r="I142" s="82">
        <v>0</v>
      </c>
      <c r="J142" s="107">
        <v>1</v>
      </c>
      <c r="K142" s="65">
        <v>1</v>
      </c>
      <c r="L142" s="39"/>
    </row>
    <row r="143" spans="1:23" ht="15" thickBot="1" x14ac:dyDescent="0.35">
      <c r="A143" s="145" t="s">
        <v>179</v>
      </c>
      <c r="B143" s="145"/>
      <c r="C143" s="145"/>
      <c r="D143" s="145"/>
      <c r="E143" s="145"/>
      <c r="F143" s="145"/>
      <c r="G143" s="86" t="s">
        <v>174</v>
      </c>
      <c r="H143" s="38"/>
      <c r="I143" s="82">
        <v>0</v>
      </c>
      <c r="J143" s="107">
        <v>1</v>
      </c>
      <c r="K143" s="65">
        <v>1</v>
      </c>
      <c r="L143" s="39"/>
    </row>
    <row r="145" spans="1:1" x14ac:dyDescent="0.3">
      <c r="A145" s="116"/>
    </row>
  </sheetData>
  <mergeCells count="94">
    <mergeCell ref="A140:F140"/>
    <mergeCell ref="A141:F141"/>
    <mergeCell ref="A142:F142"/>
    <mergeCell ref="A143:F143"/>
    <mergeCell ref="A129:F129"/>
    <mergeCell ref="A131:F131"/>
    <mergeCell ref="A132:F132"/>
    <mergeCell ref="A133:F133"/>
    <mergeCell ref="A134:F134"/>
    <mergeCell ref="A139:F139"/>
    <mergeCell ref="A128:F128"/>
    <mergeCell ref="A116:F116"/>
    <mergeCell ref="A117:F117"/>
    <mergeCell ref="A118:F118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15:F115"/>
    <mergeCell ref="A100:F100"/>
    <mergeCell ref="A101:F101"/>
    <mergeCell ref="A102:F102"/>
    <mergeCell ref="A103:F103"/>
    <mergeCell ref="A104:F104"/>
    <mergeCell ref="A106:F106"/>
    <mergeCell ref="A110:F110"/>
    <mergeCell ref="A111:F111"/>
    <mergeCell ref="A112:F112"/>
    <mergeCell ref="A113:F113"/>
    <mergeCell ref="A114:F114"/>
    <mergeCell ref="A97:F97"/>
    <mergeCell ref="A80:F80"/>
    <mergeCell ref="A83:F83"/>
    <mergeCell ref="A84:F84"/>
    <mergeCell ref="A85:F85"/>
    <mergeCell ref="A88:F88"/>
    <mergeCell ref="A89:F89"/>
    <mergeCell ref="A90:F90"/>
    <mergeCell ref="A91:F91"/>
    <mergeCell ref="A94:F94"/>
    <mergeCell ref="A95:F95"/>
    <mergeCell ref="A96:F96"/>
    <mergeCell ref="A79:F79"/>
    <mergeCell ref="A62:F62"/>
    <mergeCell ref="A65:F65"/>
    <mergeCell ref="A66:F66"/>
    <mergeCell ref="A67:F67"/>
    <mergeCell ref="A68:F68"/>
    <mergeCell ref="A69:F69"/>
    <mergeCell ref="A70:F70"/>
    <mergeCell ref="A73:F73"/>
    <mergeCell ref="A74:F74"/>
    <mergeCell ref="A77:F77"/>
    <mergeCell ref="A78:F78"/>
    <mergeCell ref="A61:F61"/>
    <mergeCell ref="A42:F42"/>
    <mergeCell ref="A43:F43"/>
    <mergeCell ref="A44:F44"/>
    <mergeCell ref="A45:F45"/>
    <mergeCell ref="A48:F48"/>
    <mergeCell ref="A51:F51"/>
    <mergeCell ref="A54:F54"/>
    <mergeCell ref="A55:F55"/>
    <mergeCell ref="A58:F58"/>
    <mergeCell ref="A59:F59"/>
    <mergeCell ref="A60:F60"/>
    <mergeCell ref="A41:F41"/>
    <mergeCell ref="A21:F21"/>
    <mergeCell ref="A22:F22"/>
    <mergeCell ref="A23:F23"/>
    <mergeCell ref="A27:F27"/>
    <mergeCell ref="A28:F28"/>
    <mergeCell ref="A29:F29"/>
    <mergeCell ref="A30:F30"/>
    <mergeCell ref="A31:F31"/>
    <mergeCell ref="A36:F36"/>
    <mergeCell ref="A39:F39"/>
    <mergeCell ref="A40:F40"/>
    <mergeCell ref="A20:F20"/>
    <mergeCell ref="P3:Q3"/>
    <mergeCell ref="R3:S3"/>
    <mergeCell ref="T3:U3"/>
    <mergeCell ref="V3:W3"/>
    <mergeCell ref="L4:N9"/>
    <mergeCell ref="A14:F14"/>
    <mergeCell ref="A15:F15"/>
    <mergeCell ref="A16:F16"/>
    <mergeCell ref="A17:F17"/>
    <mergeCell ref="A18:F18"/>
    <mergeCell ref="A19:F19"/>
  </mergeCells>
  <conditionalFormatting sqref="A35:H35 L35:Q35 I83:I86 I27:I31 I73:I74">
    <cfRule type="dataBar" priority="3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{D903D1FF-EF4C-4287-8349-6D82C45C42C6}</x14:id>
        </ext>
      </extLst>
    </cfRule>
  </conditionalFormatting>
  <conditionalFormatting sqref="B34:H34">
    <cfRule type="dataBar" priority="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{57AC5741-2C91-47C6-AD08-6D36ACCC2307}</x14:id>
        </ext>
      </extLst>
    </cfRule>
  </conditionalFormatting>
  <conditionalFormatting sqref="I13">
    <cfRule type="dataBar" priority="3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{35F09FFE-0149-42FE-BC5B-6AA71E762712}</x14:id>
        </ext>
      </extLst>
    </cfRule>
  </conditionalFormatting>
  <conditionalFormatting sqref="I14:I24">
    <cfRule type="dataBar" priority="3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{B345A20A-6C7B-4BD3-B278-B33A6BE57C4C}</x14:id>
        </ext>
      </extLst>
    </cfRule>
  </conditionalFormatting>
  <conditionalFormatting sqref="I26">
    <cfRule type="dataBar" priority="3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{C9150A89-E1ED-45A6-BD35-E9D530FB4594}</x14:id>
        </ext>
      </extLst>
    </cfRule>
  </conditionalFormatting>
  <conditionalFormatting sqref="I34">
    <cfRule type="dataBar" priority="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{15F33122-E61E-4B41-9D30-94767959F7AD}</x14:id>
        </ext>
      </extLst>
    </cfRule>
  </conditionalFormatting>
  <conditionalFormatting sqref="I36">
    <cfRule type="dataBar" priority="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{C6EC165C-DFB4-4F20-AE57-732684BD91BF}</x14:id>
        </ext>
      </extLst>
    </cfRule>
  </conditionalFormatting>
  <conditionalFormatting sqref="I38">
    <cfRule type="dataBar" priority="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{F96970C4-4CD5-4D44-A13A-CC13A5D7CD70}</x14:id>
        </ext>
      </extLst>
    </cfRule>
  </conditionalFormatting>
  <conditionalFormatting sqref="I39:I46 I48">
    <cfRule type="dataBar" priority="3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{E80AA860-E6C8-4743-8F1C-8A275FFDF698}</x14:id>
        </ext>
      </extLst>
    </cfRule>
  </conditionalFormatting>
  <conditionalFormatting sqref="I47">
    <cfRule type="dataBar" priority="2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{3AA2CDAB-F964-4113-9D79-1A9C97B9351E}</x14:id>
        </ext>
      </extLst>
    </cfRule>
  </conditionalFormatting>
  <conditionalFormatting sqref="I50">
    <cfRule type="dataBar" priority="2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{846F94C8-16D9-47B9-8B47-C21BDE461E5D}</x14:id>
        </ext>
      </extLst>
    </cfRule>
  </conditionalFormatting>
  <conditionalFormatting sqref="I51">
    <cfRule type="dataBar" priority="2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{23E56D5C-912E-4A2D-803B-91C564670D16}</x14:id>
        </ext>
      </extLst>
    </cfRule>
  </conditionalFormatting>
  <conditionalFormatting sqref="I53">
    <cfRule type="dataBar" priority="2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{BA15FAD6-A10F-49D5-8407-CCDCFA4507FA}</x14:id>
        </ext>
      </extLst>
    </cfRule>
  </conditionalFormatting>
  <conditionalFormatting sqref="I54:I55">
    <cfRule type="dataBar" priority="2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{3BDB4E75-9948-4F8C-AAA8-BDDEB5ECEFE6}</x14:id>
        </ext>
      </extLst>
    </cfRule>
  </conditionalFormatting>
  <conditionalFormatting sqref="I57">
    <cfRule type="dataBar" priority="1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{4F208151-11C6-4455-8F46-8B881316928F}</x14:id>
        </ext>
      </extLst>
    </cfRule>
  </conditionalFormatting>
  <conditionalFormatting sqref="I58:I59">
    <cfRule type="dataBar" priority="2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{B5341BA2-EF42-49D7-8E4A-D6D7DFFED816}</x14:id>
        </ext>
      </extLst>
    </cfRule>
  </conditionalFormatting>
  <conditionalFormatting sqref="I60:I62">
    <cfRule type="dataBar" priority="2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{EC19DF21-B794-4DC3-B742-866C52705140}</x14:id>
        </ext>
      </extLst>
    </cfRule>
  </conditionalFormatting>
  <conditionalFormatting sqref="I64">
    <cfRule type="dataBar" priority="1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{02AE070F-8EF5-4677-A5A3-DFBAE4362BFC}</x14:id>
        </ext>
      </extLst>
    </cfRule>
  </conditionalFormatting>
  <conditionalFormatting sqref="I65:I70">
    <cfRule type="dataBar" priority="2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{B4FB917B-2ABF-4A13-9E00-32EDC3D1BE90}</x14:id>
        </ext>
      </extLst>
    </cfRule>
  </conditionalFormatting>
  <conditionalFormatting sqref="I72">
    <cfRule type="dataBar" priority="1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{00F9A49B-C935-4DC3-AC29-094E383E19D0}</x14:id>
        </ext>
      </extLst>
    </cfRule>
  </conditionalFormatting>
  <conditionalFormatting sqref="I76">
    <cfRule type="dataBar" priority="1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{42B2781A-704B-4769-8CF9-EB760BA2CAE5}</x14:id>
        </ext>
      </extLst>
    </cfRule>
  </conditionalFormatting>
  <conditionalFormatting sqref="I77:I80">
    <cfRule type="dataBar" priority="2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{6C802A0C-E859-4DB9-989E-974A6D834460}</x14:id>
        </ext>
      </extLst>
    </cfRule>
  </conditionalFormatting>
  <conditionalFormatting sqref="I81">
    <cfRule type="dataBar" priority="3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{D4DA59ED-4C18-4E06-8A36-87730ADB54EF}</x14:id>
        </ext>
      </extLst>
    </cfRule>
  </conditionalFormatting>
  <conditionalFormatting sqref="I82">
    <cfRule type="dataBar" priority="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{887867BD-E7AC-45E4-AA53-69B42EC016A4}</x14:id>
        </ext>
      </extLst>
    </cfRule>
  </conditionalFormatting>
  <conditionalFormatting sqref="I87">
    <cfRule type="dataBar" priority="1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{D76BAF48-86EA-49D7-8DD2-7333066C780C}</x14:id>
        </ext>
      </extLst>
    </cfRule>
  </conditionalFormatting>
  <conditionalFormatting sqref="I88:I91 I110:I118 I139:I143 I106 I94:I97 I100:I104 I120:I125 I127:I129 I131:I137">
    <cfRule type="dataBar" priority="35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{7B113877-418F-4446-B0AB-7890D9859F05}</x14:id>
        </ext>
      </extLst>
    </cfRule>
  </conditionalFormatting>
  <conditionalFormatting sqref="I93">
    <cfRule type="dataBar" priority="12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{4FC973BF-51C3-4B1D-BE18-16F128F3F0BC}</x14:id>
        </ext>
      </extLst>
    </cfRule>
  </conditionalFormatting>
  <conditionalFormatting sqref="I99">
    <cfRule type="dataBar" priority="11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{D0C9581D-57B9-489F-819F-2023CE7A56F7}</x14:id>
        </ext>
      </extLst>
    </cfRule>
  </conditionalFormatting>
  <conditionalFormatting sqref="I108">
    <cfRule type="dataBar" priority="3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{C6741736-A2CF-46C9-85E0-93A04C861645}</x14:id>
        </ext>
      </extLst>
    </cfRule>
  </conditionalFormatting>
  <conditionalFormatting sqref="I109">
    <cfRule type="dataBar" priority="10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{41144471-254A-4F0B-994D-739AC4CFC20A}</x14:id>
        </ext>
      </extLst>
    </cfRule>
  </conditionalFormatting>
  <conditionalFormatting sqref="I119">
    <cfRule type="dataBar" priority="9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{58ED65C4-DF9A-4803-9B13-67B5D8FC7AA8}</x14:id>
        </ext>
      </extLst>
    </cfRule>
  </conditionalFormatting>
  <conditionalFormatting sqref="I130">
    <cfRule type="dataBar" priority="1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{229AB7EB-719B-4DE4-99A6-D33D3A93B73C}</x14:id>
        </ext>
      </extLst>
    </cfRule>
  </conditionalFormatting>
  <conditionalFormatting sqref="I138">
    <cfRule type="dataBar" priority="1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{6D490042-5253-4FC5-93F3-E19D3CA57CC4}</x14:id>
        </ext>
      </extLst>
    </cfRule>
  </conditionalFormatting>
  <conditionalFormatting sqref="I33:K33">
    <cfRule type="dataBar" priority="4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{1D108CD0-2096-4C3C-901E-BB01D4961DE3}</x14:id>
        </ext>
      </extLst>
    </cfRule>
  </conditionalFormatting>
  <conditionalFormatting sqref="I35:K35">
    <cfRule type="dataBar" priority="6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{7E9E22A1-E030-441A-870C-9E32EFAF51D6}</x14:id>
        </ext>
      </extLst>
    </cfRule>
  </conditionalFormatting>
  <conditionalFormatting sqref="L34:W34">
    <cfRule type="dataBar" priority="8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{09401A17-750F-4E48-BD94-93FE413DB0C7}</x14:id>
        </ext>
      </extLst>
    </cfRule>
  </conditionalFormatting>
  <conditionalFormatting sqref="R35:W35">
    <cfRule type="dataBar" priority="2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{3CE1A69A-AE5B-465E-8891-9DF070ECD6F3}</x14:id>
        </ext>
      </extLst>
    </cfRule>
  </conditionalFormatting>
  <hyperlinks>
    <hyperlink ref="P2" location="GENERAL!A1" display="HOME" xr:uid="{4CCA04D2-2B9B-48E3-A2A4-693B4BDCBCDA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03D1FF-EF4C-4287-8349-6D82C45C42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A35:H35 L35:Q35 I83:I86 I27:I31 I73:I74</xm:sqref>
        </x14:conditionalFormatting>
        <x14:conditionalFormatting xmlns:xm="http://schemas.microsoft.com/office/excel/2006/main">
          <x14:cfRule type="dataBar" id="{57AC5741-2C91-47C6-AD08-6D36ACCC23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B34:H34</xm:sqref>
        </x14:conditionalFormatting>
        <x14:conditionalFormatting xmlns:xm="http://schemas.microsoft.com/office/excel/2006/main">
          <x14:cfRule type="dataBar" id="{35F09FFE-0149-42FE-BC5B-6AA71E7627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</xm:sqref>
        </x14:conditionalFormatting>
        <x14:conditionalFormatting xmlns:xm="http://schemas.microsoft.com/office/excel/2006/main">
          <x14:cfRule type="dataBar" id="{B345A20A-6C7B-4BD3-B278-B33A6BE57C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I14:I24</xm:sqref>
        </x14:conditionalFormatting>
        <x14:conditionalFormatting xmlns:xm="http://schemas.microsoft.com/office/excel/2006/main">
          <x14:cfRule type="dataBar" id="{C9150A89-E1ED-45A6-BD35-E9D530FB45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15F33122-E61E-4B41-9D30-94767959F7A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I34</xm:sqref>
        </x14:conditionalFormatting>
        <x14:conditionalFormatting xmlns:xm="http://schemas.microsoft.com/office/excel/2006/main">
          <x14:cfRule type="dataBar" id="{C6EC165C-DFB4-4F20-AE57-732684BD91B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I36</xm:sqref>
        </x14:conditionalFormatting>
        <x14:conditionalFormatting xmlns:xm="http://schemas.microsoft.com/office/excel/2006/main">
          <x14:cfRule type="dataBar" id="{F96970C4-4CD5-4D44-A13A-CC13A5D7CD7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E80AA860-E6C8-4743-8F1C-8A275FFDF69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I39:I46 I48</xm:sqref>
        </x14:conditionalFormatting>
        <x14:conditionalFormatting xmlns:xm="http://schemas.microsoft.com/office/excel/2006/main">
          <x14:cfRule type="dataBar" id="{3AA2CDAB-F964-4113-9D79-1A9C97B935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I47</xm:sqref>
        </x14:conditionalFormatting>
        <x14:conditionalFormatting xmlns:xm="http://schemas.microsoft.com/office/excel/2006/main">
          <x14:cfRule type="dataBar" id="{846F94C8-16D9-47B9-8B47-C21BDE461E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I50</xm:sqref>
        </x14:conditionalFormatting>
        <x14:conditionalFormatting xmlns:xm="http://schemas.microsoft.com/office/excel/2006/main">
          <x14:cfRule type="dataBar" id="{23E56D5C-912E-4A2D-803B-91C564670D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I51</xm:sqref>
        </x14:conditionalFormatting>
        <x14:conditionalFormatting xmlns:xm="http://schemas.microsoft.com/office/excel/2006/main">
          <x14:cfRule type="dataBar" id="{BA15FAD6-A10F-49D5-8407-CCDCFA4507F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I53</xm:sqref>
        </x14:conditionalFormatting>
        <x14:conditionalFormatting xmlns:xm="http://schemas.microsoft.com/office/excel/2006/main">
          <x14:cfRule type="dataBar" id="{3BDB4E75-9948-4F8C-AAA8-BDDEB5ECEFE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I54:I55</xm:sqref>
        </x14:conditionalFormatting>
        <x14:conditionalFormatting xmlns:xm="http://schemas.microsoft.com/office/excel/2006/main">
          <x14:cfRule type="dataBar" id="{4F208151-11C6-4455-8F46-8B88131692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I57</xm:sqref>
        </x14:conditionalFormatting>
        <x14:conditionalFormatting xmlns:xm="http://schemas.microsoft.com/office/excel/2006/main">
          <x14:cfRule type="dataBar" id="{B5341BA2-EF42-49D7-8E4A-D6D7DFFED8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I58:I59</xm:sqref>
        </x14:conditionalFormatting>
        <x14:conditionalFormatting xmlns:xm="http://schemas.microsoft.com/office/excel/2006/main">
          <x14:cfRule type="dataBar" id="{EC19DF21-B794-4DC3-B742-866C5270514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I60:I62</xm:sqref>
        </x14:conditionalFormatting>
        <x14:conditionalFormatting xmlns:xm="http://schemas.microsoft.com/office/excel/2006/main">
          <x14:cfRule type="dataBar" id="{02AE070F-8EF5-4677-A5A3-DFBAE4362B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I64</xm:sqref>
        </x14:conditionalFormatting>
        <x14:conditionalFormatting xmlns:xm="http://schemas.microsoft.com/office/excel/2006/main">
          <x14:cfRule type="dataBar" id="{B4FB917B-2ABF-4A13-9E00-32EDC3D1BE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I65:I70</xm:sqref>
        </x14:conditionalFormatting>
        <x14:conditionalFormatting xmlns:xm="http://schemas.microsoft.com/office/excel/2006/main">
          <x14:cfRule type="dataBar" id="{00F9A49B-C935-4DC3-AC29-094E383E19D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I72</xm:sqref>
        </x14:conditionalFormatting>
        <x14:conditionalFormatting xmlns:xm="http://schemas.microsoft.com/office/excel/2006/main">
          <x14:cfRule type="dataBar" id="{42B2781A-704B-4769-8CF9-EB760BA2CAE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I76</xm:sqref>
        </x14:conditionalFormatting>
        <x14:conditionalFormatting xmlns:xm="http://schemas.microsoft.com/office/excel/2006/main">
          <x14:cfRule type="dataBar" id="{6C802A0C-E859-4DB9-989E-974A6D83446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I77:I80</xm:sqref>
        </x14:conditionalFormatting>
        <x14:conditionalFormatting xmlns:xm="http://schemas.microsoft.com/office/excel/2006/main">
          <x14:cfRule type="dataBar" id="{D4DA59ED-4C18-4E06-8A36-87730ADB54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I81</xm:sqref>
        </x14:conditionalFormatting>
        <x14:conditionalFormatting xmlns:xm="http://schemas.microsoft.com/office/excel/2006/main">
          <x14:cfRule type="dataBar" id="{887867BD-E7AC-45E4-AA53-69B42EC016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I82</xm:sqref>
        </x14:conditionalFormatting>
        <x14:conditionalFormatting xmlns:xm="http://schemas.microsoft.com/office/excel/2006/main">
          <x14:cfRule type="dataBar" id="{D76BAF48-86EA-49D7-8DD2-7333066C780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I87</xm:sqref>
        </x14:conditionalFormatting>
        <x14:conditionalFormatting xmlns:xm="http://schemas.microsoft.com/office/excel/2006/main">
          <x14:cfRule type="dataBar" id="{7B113877-418F-4446-B0AB-7890D9859F0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I88:I91 I110:I118 I139:I143 I106 I94:I97 I100:I104 I120:I125 I127:I129 I131:I137</xm:sqref>
        </x14:conditionalFormatting>
        <x14:conditionalFormatting xmlns:xm="http://schemas.microsoft.com/office/excel/2006/main">
          <x14:cfRule type="dataBar" id="{4FC973BF-51C3-4B1D-BE18-16F128F3F0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I93</xm:sqref>
        </x14:conditionalFormatting>
        <x14:conditionalFormatting xmlns:xm="http://schemas.microsoft.com/office/excel/2006/main">
          <x14:cfRule type="dataBar" id="{D0C9581D-57B9-489F-819F-2023CE7A56F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I99</xm:sqref>
        </x14:conditionalFormatting>
        <x14:conditionalFormatting xmlns:xm="http://schemas.microsoft.com/office/excel/2006/main">
          <x14:cfRule type="dataBar" id="{C6741736-A2CF-46C9-85E0-93A04C861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I108</xm:sqref>
        </x14:conditionalFormatting>
        <x14:conditionalFormatting xmlns:xm="http://schemas.microsoft.com/office/excel/2006/main">
          <x14:cfRule type="dataBar" id="{41144471-254A-4F0B-994D-739AC4CFC2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I109</xm:sqref>
        </x14:conditionalFormatting>
        <x14:conditionalFormatting xmlns:xm="http://schemas.microsoft.com/office/excel/2006/main">
          <x14:cfRule type="dataBar" id="{58ED65C4-DF9A-4803-9B13-67B5D8FC7AA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I119</xm:sqref>
        </x14:conditionalFormatting>
        <x14:conditionalFormatting xmlns:xm="http://schemas.microsoft.com/office/excel/2006/main">
          <x14:cfRule type="dataBar" id="{229AB7EB-719B-4DE4-99A6-D33D3A93B7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I130</xm:sqref>
        </x14:conditionalFormatting>
        <x14:conditionalFormatting xmlns:xm="http://schemas.microsoft.com/office/excel/2006/main">
          <x14:cfRule type="dataBar" id="{6D490042-5253-4FC5-93F3-E19D3CA57CC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I138</xm:sqref>
        </x14:conditionalFormatting>
        <x14:conditionalFormatting xmlns:xm="http://schemas.microsoft.com/office/excel/2006/main">
          <x14:cfRule type="dataBar" id="{1D108CD0-2096-4C3C-901E-BB01D4961DE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I33:K33</xm:sqref>
        </x14:conditionalFormatting>
        <x14:conditionalFormatting xmlns:xm="http://schemas.microsoft.com/office/excel/2006/main">
          <x14:cfRule type="dataBar" id="{7E9E22A1-E030-441A-870C-9E32EFAF51D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I35:K35</xm:sqref>
        </x14:conditionalFormatting>
        <x14:conditionalFormatting xmlns:xm="http://schemas.microsoft.com/office/excel/2006/main">
          <x14:cfRule type="dataBar" id="{09401A17-750F-4E48-BD94-93FE413DB0C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L34:W34</xm:sqref>
        </x14:conditionalFormatting>
        <x14:conditionalFormatting xmlns:xm="http://schemas.microsoft.com/office/excel/2006/main">
          <x14:cfRule type="dataBar" id="{3CE1A69A-AE5B-465E-8891-9DF070ECD6F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R35:W35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29F1751BCBC84CBCC6394A499EC029" ma:contentTypeVersion="13" ma:contentTypeDescription="Create a new document." ma:contentTypeScope="" ma:versionID="4968bddb75bcd42209954e1180477203">
  <xsd:schema xmlns:xsd="http://www.w3.org/2001/XMLSchema" xmlns:xs="http://www.w3.org/2001/XMLSchema" xmlns:p="http://schemas.microsoft.com/office/2006/metadata/properties" xmlns:ns2="b5be0915-69e6-4d4e-a1c6-945b3b01a39c" xmlns:ns3="b7d34528-3473-4742-944d-a3a5193154f6" targetNamespace="http://schemas.microsoft.com/office/2006/metadata/properties" ma:root="true" ma:fieldsID="f193f5a6604a13b29ba98ec2a27a6877" ns2:_="" ns3:_="">
    <xsd:import namespace="b5be0915-69e6-4d4e-a1c6-945b3b01a39c"/>
    <xsd:import namespace="b7d34528-3473-4742-944d-a3a5193154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be0915-69e6-4d4e-a1c6-945b3b01a3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628c487-51ca-44ed-a732-997012891b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34528-3473-4742-944d-a3a5193154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57ea119-9895-4086-a863-d8716f4469b5}" ma:internalName="TaxCatchAll" ma:showField="CatchAllData" ma:web="b7d34528-3473-4742-944d-a3a5193154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be0915-69e6-4d4e-a1c6-945b3b01a39c">
      <Terms xmlns="http://schemas.microsoft.com/office/infopath/2007/PartnerControls"/>
    </lcf76f155ced4ddcb4097134ff3c332f>
    <TaxCatchAll xmlns="b7d34528-3473-4742-944d-a3a5193154f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93EE44-C142-4656-B229-9C78653609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be0915-69e6-4d4e-a1c6-945b3b01a39c"/>
    <ds:schemaRef ds:uri="b7d34528-3473-4742-944d-a3a5193154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BDC891-494A-48FE-9111-BCFA6776768E}">
  <ds:schemaRefs>
    <ds:schemaRef ds:uri="http://schemas.microsoft.com/office/2006/metadata/properties"/>
    <ds:schemaRef ds:uri="http://schemas.microsoft.com/office/infopath/2007/PartnerControls"/>
    <ds:schemaRef ds:uri="b5be0915-69e6-4d4e-a1c6-945b3b01a39c"/>
    <ds:schemaRef ds:uri="b7d34528-3473-4742-944d-a3a5193154f6"/>
  </ds:schemaRefs>
</ds:datastoreItem>
</file>

<file path=customXml/itemProps3.xml><?xml version="1.0" encoding="utf-8"?>
<ds:datastoreItem xmlns:ds="http://schemas.openxmlformats.org/officeDocument/2006/customXml" ds:itemID="{C70DFBBD-E3E5-44D2-B41C-10C2740C17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draaitabel</vt:lpstr>
      <vt:lpstr>GENERAL</vt:lpstr>
      <vt:lpstr>941497</vt:lpstr>
      <vt:lpstr>941490</vt:lpstr>
      <vt:lpstr>941480</vt:lpstr>
      <vt:lpstr>941479</vt:lpstr>
      <vt:lpstr>941485</vt:lpstr>
      <vt:lpstr>941478</vt:lpstr>
      <vt:lpstr>Hegeman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Janssens Lynn</dc:creator>
  <cp:keywords/>
  <dc:description/>
  <cp:lastModifiedBy>Nick Schepel</cp:lastModifiedBy>
  <cp:revision/>
  <dcterms:created xsi:type="dcterms:W3CDTF">2018-02-28T08:48:25Z</dcterms:created>
  <dcterms:modified xsi:type="dcterms:W3CDTF">2026-05-13T12:05:57Z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0x0101006A29F1751BCBC84CBCC6394A499EC029</vt:lpwstr>
  </property>
  <property fmtid="{D5CDD505-2E9C-101B-9397-08002B2CF9AE}" pid="3" name="MediaServiceImageTags">
    <vt:lpwstr/>
  </property>
</Properties>
</file>